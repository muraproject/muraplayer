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 WORK WORK\2025\TAGIHAN LISTRIK PJU\"/>
    </mc:Choice>
  </mc:AlternateContent>
  <xr:revisionPtr revIDLastSave="0" documentId="8_{7AC98885-E9A8-4EB3-B630-6387BA1CAF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JUKAB-DPKP KAB" sheetId="1" r:id="rId1"/>
    <sheet name="Sheet2" sheetId="2" r:id="rId2"/>
    <sheet name="Sheet3" sheetId="3" r:id="rId3"/>
  </sheets>
  <externalReferences>
    <externalReference r:id="rId4"/>
  </externalReferences>
  <definedNames>
    <definedName name="_xlnm.Print_Area" localSheetId="0">'PJUKAB-DPKP KAB'!$A$1:$T$1359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35" i="1" l="1"/>
  <c r="D1334" i="1"/>
  <c r="D1333" i="1"/>
  <c r="D1332" i="1"/>
  <c r="D1331" i="1"/>
  <c r="D1330" i="1"/>
  <c r="D1329" i="1"/>
  <c r="R1324" i="1"/>
  <c r="S1324" i="1"/>
  <c r="H1335" i="1" s="1"/>
  <c r="Q1324" i="1"/>
  <c r="R1313" i="1"/>
  <c r="S1313" i="1"/>
  <c r="H1334" i="1" s="1"/>
  <c r="Q1313" i="1"/>
  <c r="D1336" i="1" l="1"/>
  <c r="R1063" i="1"/>
  <c r="R1068" i="1" s="1"/>
  <c r="R1110" i="1" s="1"/>
  <c r="R1115" i="1" s="1"/>
  <c r="R1157" i="1" s="1"/>
  <c r="R1162" i="1" s="1"/>
  <c r="R1204" i="1" s="1"/>
  <c r="R1210" i="1" s="1"/>
  <c r="R1252" i="1" s="1"/>
  <c r="R1258" i="1" s="1"/>
  <c r="R1285" i="1" s="1"/>
  <c r="S1063" i="1"/>
  <c r="S1068" i="1" s="1"/>
  <c r="S1110" i="1" s="1"/>
  <c r="S1115" i="1" s="1"/>
  <c r="S1157" i="1" s="1"/>
  <c r="S1162" i="1" s="1"/>
  <c r="S1204" i="1" s="1"/>
  <c r="S1210" i="1" s="1"/>
  <c r="S1252" i="1" s="1"/>
  <c r="S1258" i="1" s="1"/>
  <c r="S1285" i="1" s="1"/>
  <c r="H1333" i="1" s="1"/>
  <c r="Q1063" i="1"/>
  <c r="Q1068" i="1" s="1"/>
  <c r="Q1110" i="1" s="1"/>
  <c r="Q1115" i="1" s="1"/>
  <c r="Q1157" i="1" s="1"/>
  <c r="Q1162" i="1" s="1"/>
  <c r="Q1204" i="1" s="1"/>
  <c r="Q1210" i="1" s="1"/>
  <c r="Q1252" i="1" s="1"/>
  <c r="Q1258" i="1" s="1"/>
  <c r="Q1285" i="1" s="1"/>
  <c r="R833" i="1" l="1"/>
  <c r="R838" i="1" s="1"/>
  <c r="R880" i="1" s="1"/>
  <c r="R885" i="1" s="1"/>
  <c r="R927" i="1" s="1"/>
  <c r="R932" i="1" s="1"/>
  <c r="R974" i="1" s="1"/>
  <c r="R979" i="1" s="1"/>
  <c r="R1016" i="1" s="1"/>
  <c r="S833" i="1"/>
  <c r="S838" i="1" s="1"/>
  <c r="S880" i="1" s="1"/>
  <c r="S885" i="1" s="1"/>
  <c r="S927" i="1" s="1"/>
  <c r="S932" i="1" s="1"/>
  <c r="S974" i="1" s="1"/>
  <c r="S979" i="1" s="1"/>
  <c r="S1016" i="1" s="1"/>
  <c r="H1332" i="1" s="1"/>
  <c r="Q833" i="1"/>
  <c r="Q838" i="1" s="1"/>
  <c r="Q880" i="1" s="1"/>
  <c r="Q885" i="1" s="1"/>
  <c r="Q927" i="1" s="1"/>
  <c r="Q932" i="1" s="1"/>
  <c r="Q974" i="1" s="1"/>
  <c r="Q979" i="1" s="1"/>
  <c r="Q1016" i="1" s="1"/>
  <c r="R392" i="1"/>
  <c r="R397" i="1" s="1"/>
  <c r="R439" i="1" s="1"/>
  <c r="R444" i="1" s="1"/>
  <c r="R486" i="1" s="1"/>
  <c r="R491" i="1" s="1"/>
  <c r="R533" i="1" s="1"/>
  <c r="R538" i="1" s="1"/>
  <c r="R580" i="1" s="1"/>
  <c r="R586" i="1" s="1"/>
  <c r="R628" i="1" s="1"/>
  <c r="R634" i="1" s="1"/>
  <c r="R676" i="1" s="1"/>
  <c r="R681" i="1" s="1"/>
  <c r="R723" i="1" s="1"/>
  <c r="R728" i="1" s="1"/>
  <c r="R770" i="1" s="1"/>
  <c r="R775" i="1" s="1"/>
  <c r="R786" i="1" s="1"/>
  <c r="S392" i="1"/>
  <c r="S397" i="1" s="1"/>
  <c r="S439" i="1" s="1"/>
  <c r="S444" i="1" s="1"/>
  <c r="S486" i="1" s="1"/>
  <c r="S491" i="1" s="1"/>
  <c r="S533" i="1" s="1"/>
  <c r="S538" i="1" s="1"/>
  <c r="S580" i="1" s="1"/>
  <c r="S586" i="1" s="1"/>
  <c r="S628" i="1" s="1"/>
  <c r="S634" i="1" s="1"/>
  <c r="S676" i="1" s="1"/>
  <c r="S681" i="1" s="1"/>
  <c r="S723" i="1" s="1"/>
  <c r="S728" i="1" s="1"/>
  <c r="S770" i="1" s="1"/>
  <c r="S775" i="1" s="1"/>
  <c r="S786" i="1" s="1"/>
  <c r="H1331" i="1" s="1"/>
  <c r="Q392" i="1"/>
  <c r="Q397" i="1" s="1"/>
  <c r="Q439" i="1" s="1"/>
  <c r="Q444" i="1" s="1"/>
  <c r="Q486" i="1" s="1"/>
  <c r="Q491" i="1" s="1"/>
  <c r="Q533" i="1" s="1"/>
  <c r="Q538" i="1" s="1"/>
  <c r="Q580" i="1" s="1"/>
  <c r="Q586" i="1" s="1"/>
  <c r="Q628" i="1" s="1"/>
  <c r="Q634" i="1" s="1"/>
  <c r="Q676" i="1" s="1"/>
  <c r="Q681" i="1" s="1"/>
  <c r="Q723" i="1" s="1"/>
  <c r="Q728" i="1" s="1"/>
  <c r="Q770" i="1" s="1"/>
  <c r="Q775" i="1" s="1"/>
  <c r="Q786" i="1" s="1"/>
  <c r="R325" i="1"/>
  <c r="R330" i="1" s="1"/>
  <c r="R345" i="1" s="1"/>
  <c r="S325" i="1"/>
  <c r="S330" i="1" s="1"/>
  <c r="S345" i="1" s="1"/>
  <c r="H1330" i="1" s="1"/>
  <c r="Q325" i="1"/>
  <c r="Q330" i="1" s="1"/>
  <c r="Q345" i="1" s="1"/>
  <c r="T1322" i="1"/>
  <c r="T1321" i="1"/>
  <c r="T1320" i="1"/>
  <c r="T1319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84" i="1"/>
  <c r="T783" i="1"/>
  <c r="T782" i="1"/>
  <c r="T781" i="1"/>
  <c r="T780" i="1"/>
  <c r="T779" i="1"/>
  <c r="T778" i="1"/>
  <c r="T777" i="1"/>
  <c r="T776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11" i="1"/>
  <c r="R52" i="1"/>
  <c r="R57" i="1" s="1"/>
  <c r="R99" i="1" s="1"/>
  <c r="R104" i="1" s="1"/>
  <c r="R146" i="1" s="1"/>
  <c r="R151" i="1" s="1"/>
  <c r="R193" i="1" s="1"/>
  <c r="R198" i="1" s="1"/>
  <c r="R240" i="1" s="1"/>
  <c r="R245" i="1" s="1"/>
  <c r="R279" i="1" s="1"/>
  <c r="S52" i="1"/>
  <c r="S57" i="1" s="1"/>
  <c r="S99" i="1" s="1"/>
  <c r="S104" i="1" s="1"/>
  <c r="S146" i="1" s="1"/>
  <c r="S151" i="1" s="1"/>
  <c r="S193" i="1" s="1"/>
  <c r="S198" i="1" s="1"/>
  <c r="S240" i="1" s="1"/>
  <c r="S245" i="1" s="1"/>
  <c r="S279" i="1" s="1"/>
  <c r="H1329" i="1" s="1"/>
  <c r="Q52" i="1"/>
  <c r="Q57" i="1" s="1"/>
  <c r="Q99" i="1" s="1"/>
  <c r="Q104" i="1" s="1"/>
  <c r="Q146" i="1" s="1"/>
  <c r="Q151" i="1" s="1"/>
  <c r="Q193" i="1" s="1"/>
  <c r="Q198" i="1" s="1"/>
  <c r="Q240" i="1" s="1"/>
  <c r="Q245" i="1" s="1"/>
  <c r="Q279" i="1" s="1"/>
  <c r="H1336" i="1" l="1"/>
  <c r="T1324" i="1"/>
  <c r="J1335" i="1" s="1"/>
  <c r="T1313" i="1"/>
  <c r="J1334" i="1" s="1"/>
  <c r="T1063" i="1"/>
  <c r="T1068" i="1" s="1"/>
  <c r="T1110" i="1" s="1"/>
  <c r="T1115" i="1" s="1"/>
  <c r="T1157" i="1" s="1"/>
  <c r="T1162" i="1" s="1"/>
  <c r="T1204" i="1" s="1"/>
  <c r="T1210" i="1" s="1"/>
  <c r="T1252" i="1" s="1"/>
  <c r="T1258" i="1" s="1"/>
  <c r="T1285" i="1" s="1"/>
  <c r="J1333" i="1" s="1"/>
  <c r="T833" i="1"/>
  <c r="T838" i="1" s="1"/>
  <c r="T880" i="1" s="1"/>
  <c r="T885" i="1" s="1"/>
  <c r="T927" i="1" s="1"/>
  <c r="T932" i="1" s="1"/>
  <c r="T974" i="1" s="1"/>
  <c r="T979" i="1" s="1"/>
  <c r="T1016" i="1" s="1"/>
  <c r="J1332" i="1" s="1"/>
  <c r="T392" i="1"/>
  <c r="T397" i="1" s="1"/>
  <c r="T439" i="1" s="1"/>
  <c r="T444" i="1" s="1"/>
  <c r="T486" i="1" s="1"/>
  <c r="T491" i="1" s="1"/>
  <c r="T533" i="1" s="1"/>
  <c r="T538" i="1" s="1"/>
  <c r="T580" i="1" s="1"/>
  <c r="T586" i="1" s="1"/>
  <c r="T628" i="1" s="1"/>
  <c r="T634" i="1" s="1"/>
  <c r="T676" i="1" s="1"/>
  <c r="T681" i="1" s="1"/>
  <c r="T723" i="1" s="1"/>
  <c r="T728" i="1" s="1"/>
  <c r="T770" i="1" s="1"/>
  <c r="T775" i="1" s="1"/>
  <c r="T786" i="1" s="1"/>
  <c r="J1331" i="1" s="1"/>
  <c r="T325" i="1"/>
  <c r="T330" i="1" s="1"/>
  <c r="T345" i="1" s="1"/>
  <c r="J1330" i="1" s="1"/>
  <c r="T52" i="1"/>
  <c r="T57" i="1" s="1"/>
  <c r="T99" i="1" s="1"/>
  <c r="T104" i="1" s="1"/>
  <c r="T146" i="1" s="1"/>
  <c r="T151" i="1" s="1"/>
  <c r="U979" i="1" l="1"/>
  <c r="T193" i="1"/>
  <c r="T198" i="1" s="1"/>
  <c r="T240" i="1" s="1"/>
  <c r="T245" i="1" s="1"/>
  <c r="T279" i="1" s="1"/>
  <c r="J1329" i="1" s="1"/>
  <c r="J1336" i="1" s="1"/>
  <c r="C1338" i="1" a="1"/>
  <c r="C133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<sst xmlns="http://schemas.openxmlformats.org/spreadsheetml/2006/main" count="8125" uniqueCount="3672">
  <si>
    <t xml:space="preserve"> </t>
  </si>
  <si>
    <t>PLN</t>
  </si>
  <si>
    <t>DAFTAR TAGIHAN REKENING LISTRIK PENERANGAN JALAN UMUM</t>
  </si>
  <si>
    <t>WILAYAH ULP  KEDIRI KOTA</t>
  </si>
  <si>
    <t>NO.</t>
  </si>
  <si>
    <t>IDPEL</t>
  </si>
  <si>
    <t>N  A  M  A</t>
  </si>
  <si>
    <t>A L A M A T</t>
  </si>
  <si>
    <t xml:space="preserve"> TARIF</t>
  </si>
  <si>
    <t>D A Y A</t>
  </si>
  <si>
    <t>BLTH</t>
  </si>
  <si>
    <t>NOREK</t>
  </si>
  <si>
    <t>STAND AWAL</t>
  </si>
  <si>
    <t>STAND AKHIR</t>
  </si>
  <si>
    <t>KWH</t>
  </si>
  <si>
    <t>PTL</t>
  </si>
  <si>
    <t>ANGSURAN</t>
  </si>
  <si>
    <t>PPN</t>
  </si>
  <si>
    <t>PPJ</t>
  </si>
  <si>
    <t>MATERAI</t>
  </si>
  <si>
    <t>TAGIHAN</t>
  </si>
  <si>
    <t>514010020897</t>
  </si>
  <si>
    <t>KNT.KABUPATEN KEDIRI</t>
  </si>
  <si>
    <t>DN</t>
  </si>
  <si>
    <t>MORANGAN</t>
  </si>
  <si>
    <t>P3</t>
  </si>
  <si>
    <t>202506</t>
  </si>
  <si>
    <t>000464</t>
  </si>
  <si>
    <t>514010069462</t>
  </si>
  <si>
    <t>PJ GURAH</t>
  </si>
  <si>
    <t>DS</t>
  </si>
  <si>
    <t>GURAH</t>
  </si>
  <si>
    <t>000315</t>
  </si>
  <si>
    <t>514010106842</t>
  </si>
  <si>
    <t>PJU PUTIH (512)</t>
  </si>
  <si>
    <t>GAMPENGREJO</t>
  </si>
  <si>
    <t>000293</t>
  </si>
  <si>
    <t>514010171334</t>
  </si>
  <si>
    <t>PJU PAGU (218)</t>
  </si>
  <si>
    <t>PAGU</t>
  </si>
  <si>
    <t>000093</t>
  </si>
  <si>
    <t>514010171724</t>
  </si>
  <si>
    <t>PJU WISMA KATANG (204)</t>
  </si>
  <si>
    <t>000202</t>
  </si>
  <si>
    <t>514010250086</t>
  </si>
  <si>
    <t>PEN.JALAN PAPAR (051)</t>
  </si>
  <si>
    <t>PAPAR</t>
  </si>
  <si>
    <t>000348</t>
  </si>
  <si>
    <t>514010328979</t>
  </si>
  <si>
    <t>PJU DS NGEBRAK</t>
  </si>
  <si>
    <t>NGEBRAK</t>
  </si>
  <si>
    <t>000359</t>
  </si>
  <si>
    <t>514010328987</t>
  </si>
  <si>
    <t>PJU</t>
  </si>
  <si>
    <t>WANENGPATEN</t>
  </si>
  <si>
    <t>000166</t>
  </si>
  <si>
    <t>514010544679</t>
  </si>
  <si>
    <t>PJU DS MENANG</t>
  </si>
  <si>
    <t>MENANG</t>
  </si>
  <si>
    <t>000085</t>
  </si>
  <si>
    <t>514010572303</t>
  </si>
  <si>
    <t>PJU NGEBRAK (325)</t>
  </si>
  <si>
    <t>000389</t>
  </si>
  <si>
    <t>514010584882</t>
  </si>
  <si>
    <t>PJU KLANDERAN (428)</t>
  </si>
  <si>
    <t>KLANDERAN</t>
  </si>
  <si>
    <t>000446</t>
  </si>
  <si>
    <t>514010585013</t>
  </si>
  <si>
    <t>PJU DOKO</t>
  </si>
  <si>
    <t>DOKO</t>
  </si>
  <si>
    <t>000223</t>
  </si>
  <si>
    <t>514010585021</t>
  </si>
  <si>
    <t>PJU SIMPANG GEMPOLAN</t>
  </si>
  <si>
    <t>GEMPOLAN</t>
  </si>
  <si>
    <t>000094</t>
  </si>
  <si>
    <t>514010585096</t>
  </si>
  <si>
    <t>PJU SIMPANG WONOSARI</t>
  </si>
  <si>
    <t>WONOSARI PAGU</t>
  </si>
  <si>
    <t>000107</t>
  </si>
  <si>
    <t>514010585167</t>
  </si>
  <si>
    <t>PJU KAPUREJO</t>
  </si>
  <si>
    <t>KAPUREJO PAGU</t>
  </si>
  <si>
    <t>000300</t>
  </si>
  <si>
    <t>514010585220</t>
  </si>
  <si>
    <t>JL</t>
  </si>
  <si>
    <t>000298</t>
  </si>
  <si>
    <t>514010585317</t>
  </si>
  <si>
    <t>PJU PAGU (094)</t>
  </si>
  <si>
    <t>000070</t>
  </si>
  <si>
    <t>514010585358</t>
  </si>
  <si>
    <t>PJU TIRU KIDUL</t>
  </si>
  <si>
    <t>TIRU KIDUL</t>
  </si>
  <si>
    <t>000078</t>
  </si>
  <si>
    <t>514010585382</t>
  </si>
  <si>
    <t>PJU TAMBAKREJO (227)</t>
  </si>
  <si>
    <t>TAMBAKREJO GURAH</t>
  </si>
  <si>
    <t>000286</t>
  </si>
  <si>
    <t>514010585403</t>
  </si>
  <si>
    <t>PJU NGASEM</t>
  </si>
  <si>
    <t>NGASEM GAMPENGREJ</t>
  </si>
  <si>
    <t>000531</t>
  </si>
  <si>
    <t>514010585411</t>
  </si>
  <si>
    <t>PJU KREKEP GURAH</t>
  </si>
  <si>
    <t>KREKEP GURAH</t>
  </si>
  <si>
    <t>000203</t>
  </si>
  <si>
    <t>514010600224</t>
  </si>
  <si>
    <t>PJU DS. JAGUNG</t>
  </si>
  <si>
    <t>JAGUNG</t>
  </si>
  <si>
    <t>000311</t>
  </si>
  <si>
    <t>514010600232</t>
  </si>
  <si>
    <t>PJU DS. TANJUNG</t>
  </si>
  <si>
    <t>TANJUNG</t>
  </si>
  <si>
    <t>000291</t>
  </si>
  <si>
    <t>514010600265</t>
  </si>
  <si>
    <t>PJU DS. WONOJOYO TENGAH</t>
  </si>
  <si>
    <t>WONOJOYO</t>
  </si>
  <si>
    <t>000299</t>
  </si>
  <si>
    <t>514010600281</t>
  </si>
  <si>
    <t>PJU DS. GABRU</t>
  </si>
  <si>
    <t>GABRU</t>
  </si>
  <si>
    <t>000106</t>
  </si>
  <si>
    <t>514010600299</t>
  </si>
  <si>
    <t>PJU DS. DADAPAN</t>
  </si>
  <si>
    <t>DADAPAN</t>
  </si>
  <si>
    <t>000241</t>
  </si>
  <si>
    <t>514010600303</t>
  </si>
  <si>
    <t>PJU DS. GURAH</t>
  </si>
  <si>
    <t>000540</t>
  </si>
  <si>
    <t>514010600311</t>
  </si>
  <si>
    <t>PJ DS. WONOJOYO (223)</t>
  </si>
  <si>
    <t>000072</t>
  </si>
  <si>
    <t>514010605880</t>
  </si>
  <si>
    <t>P J U SUMBERCABGKRING</t>
  </si>
  <si>
    <t>SB CANGKRING</t>
  </si>
  <si>
    <t>000452</t>
  </si>
  <si>
    <t>514010605898</t>
  </si>
  <si>
    <t>P J U SUMUR (601)</t>
  </si>
  <si>
    <t>SUMUR</t>
  </si>
  <si>
    <t>000458</t>
  </si>
  <si>
    <t>514010605910</t>
  </si>
  <si>
    <t>P J U TENGGER PAGU</t>
  </si>
  <si>
    <t>TENGGER KIDUL</t>
  </si>
  <si>
    <t>000421</t>
  </si>
  <si>
    <t>514010605928</t>
  </si>
  <si>
    <t>P J U PERUM DOKO</t>
  </si>
  <si>
    <t>DOKO SRAGI</t>
  </si>
  <si>
    <t>000278</t>
  </si>
  <si>
    <t>514010608783</t>
  </si>
  <si>
    <t>P J U PEHWETAN (390)</t>
  </si>
  <si>
    <t>PEH WETAN</t>
  </si>
  <si>
    <t>000147</t>
  </si>
  <si>
    <t>514010608838</t>
  </si>
  <si>
    <t>P J U GEMPOLAN</t>
  </si>
  <si>
    <t>BAYE</t>
  </si>
  <si>
    <t>000449</t>
  </si>
  <si>
    <t>514010608846</t>
  </si>
  <si>
    <t>P J U BIBIS (579)</t>
  </si>
  <si>
    <t>BIBIS</t>
  </si>
  <si>
    <t>000235</t>
  </si>
  <si>
    <t>514010608853</t>
  </si>
  <si>
    <t>PJU GONDANG (460)</t>
  </si>
  <si>
    <t>GONDANG</t>
  </si>
  <si>
    <t>000375</t>
  </si>
  <si>
    <t>514010608861</t>
  </si>
  <si>
    <t>P J U JANTI (413)</t>
  </si>
  <si>
    <t>PLOSOREJO</t>
  </si>
  <si>
    <t>000135</t>
  </si>
  <si>
    <t>514010608879</t>
  </si>
  <si>
    <t>P J U KERGAN (347)</t>
  </si>
  <si>
    <t>DAWUHAN KIDUL</t>
  </si>
  <si>
    <t>000175</t>
  </si>
  <si>
    <t>514010608887</t>
  </si>
  <si>
    <t>P J U KERGAN (346)</t>
  </si>
  <si>
    <t>KERGAN</t>
  </si>
  <si>
    <t>000185</t>
  </si>
  <si>
    <t>514010608895</t>
  </si>
  <si>
    <t>P J U JANTI (221)</t>
  </si>
  <si>
    <t>JANTI</t>
  </si>
  <si>
    <t>000427</t>
  </si>
  <si>
    <t>Dipindahkan</t>
  </si>
  <si>
    <t/>
  </si>
  <si>
    <t>Pindahan</t>
  </si>
  <si>
    <t>514010608909</t>
  </si>
  <si>
    <t>P J U SAMBIREJO</t>
  </si>
  <si>
    <t>SAMBIREJO</t>
  </si>
  <si>
    <t>000499</t>
  </si>
  <si>
    <t>514010608925</t>
  </si>
  <si>
    <t>P J U PULOSARI</t>
  </si>
  <si>
    <t>PULOSARI</t>
  </si>
  <si>
    <t>000494</t>
  </si>
  <si>
    <t>514010608933</t>
  </si>
  <si>
    <t>P J U MADURETNO (230)</t>
  </si>
  <si>
    <t>SLAMBUR KIDUL</t>
  </si>
  <si>
    <t>000260</t>
  </si>
  <si>
    <t>514010608982</t>
  </si>
  <si>
    <t>P J U BOGEM</t>
  </si>
  <si>
    <t>BOGEM</t>
  </si>
  <si>
    <t>000126</t>
  </si>
  <si>
    <t>514010608990</t>
  </si>
  <si>
    <t>P J U KEMUNING</t>
  </si>
  <si>
    <t>KEMUNING</t>
  </si>
  <si>
    <t>000233</t>
  </si>
  <si>
    <t>514010609806</t>
  </si>
  <si>
    <t>PJU DS. GOGORANTE</t>
  </si>
  <si>
    <t>GOGORANTE</t>
  </si>
  <si>
    <t>000154</t>
  </si>
  <si>
    <t>514010611993</t>
  </si>
  <si>
    <t>P J U SIDORAWUH (470)</t>
  </si>
  <si>
    <t>SIDORAWUH</t>
  </si>
  <si>
    <t>000292</t>
  </si>
  <si>
    <t>514010612011</t>
  </si>
  <si>
    <t>P J U BOGANGIN</t>
  </si>
  <si>
    <t>BOGANGIN KIDUL</t>
  </si>
  <si>
    <t>000266</t>
  </si>
  <si>
    <t>514010612029</t>
  </si>
  <si>
    <t>P J U PADANGAN (538)</t>
  </si>
  <si>
    <t>PADANGAN</t>
  </si>
  <si>
    <t>000331</t>
  </si>
  <si>
    <t>514010612045</t>
  </si>
  <si>
    <t>P J U NGAMPEL (461)</t>
  </si>
  <si>
    <t>NGEMPLAK</t>
  </si>
  <si>
    <t>000439</t>
  </si>
  <si>
    <t>514010618924</t>
  </si>
  <si>
    <t>PJU NAMBAAN ( 191 )</t>
  </si>
  <si>
    <t>NAMBAAN</t>
  </si>
  <si>
    <t>000510</t>
  </si>
  <si>
    <t>514010618932</t>
  </si>
  <si>
    <t>PJU SOBO NAMBAAN ( 584 )</t>
  </si>
  <si>
    <t>SOBO</t>
  </si>
  <si>
    <t>000455</t>
  </si>
  <si>
    <t>514010618940</t>
  </si>
  <si>
    <t>PJU JENGGOLO INDAH (500)</t>
  </si>
  <si>
    <t>000224</t>
  </si>
  <si>
    <t>514010618965</t>
  </si>
  <si>
    <t>PJU PR DOKO SRAGI (630)</t>
  </si>
  <si>
    <t>BESUK</t>
  </si>
  <si>
    <t>000220</t>
  </si>
  <si>
    <t>514010618981</t>
  </si>
  <si>
    <t>PJU SAMBIRESIK (484)</t>
  </si>
  <si>
    <t>SAMBIRESIK</t>
  </si>
  <si>
    <t>000444</t>
  </si>
  <si>
    <t>514010618999</t>
  </si>
  <si>
    <t>PJU SUMBEREJO (398)</t>
  </si>
  <si>
    <t>SUMBEREJO</t>
  </si>
  <si>
    <t>000074</t>
  </si>
  <si>
    <t>514010619009</t>
  </si>
  <si>
    <t>PJU GUMUL ( 211 )</t>
  </si>
  <si>
    <t>GUMUL</t>
  </si>
  <si>
    <t>000100</t>
  </si>
  <si>
    <t>514010619017</t>
  </si>
  <si>
    <t>PJU DLOPO JOYOBOYO (72)</t>
  </si>
  <si>
    <t>DLOPO</t>
  </si>
  <si>
    <t>000161</t>
  </si>
  <si>
    <t>514010619025</t>
  </si>
  <si>
    <t>PJU PARON (369)</t>
  </si>
  <si>
    <t>PARON</t>
  </si>
  <si>
    <t>000432</t>
  </si>
  <si>
    <t>514010619041</t>
  </si>
  <si>
    <t>PJU PR KATANG ( 105 )</t>
  </si>
  <si>
    <t>PERUMNAS KATANG</t>
  </si>
  <si>
    <t>000132</t>
  </si>
  <si>
    <t>514010619058</t>
  </si>
  <si>
    <t>PJU AIRLANGGA ( 106 )</t>
  </si>
  <si>
    <t>AIRLANGGA</t>
  </si>
  <si>
    <t>000212</t>
  </si>
  <si>
    <t>514010619066</t>
  </si>
  <si>
    <t>PJU SUKARNO HATTA (146)</t>
  </si>
  <si>
    <t>SUKARNO HATTA</t>
  </si>
  <si>
    <t>000433</t>
  </si>
  <si>
    <t>514010619074</t>
  </si>
  <si>
    <t>PJU SUKARNO HATTA (516)</t>
  </si>
  <si>
    <t>000125</t>
  </si>
  <si>
    <t>514010619082</t>
  </si>
  <si>
    <t>PJU PR SUKOREJO (671)</t>
  </si>
  <si>
    <t>SUKOREJO</t>
  </si>
  <si>
    <t>000346</t>
  </si>
  <si>
    <t>514010619090</t>
  </si>
  <si>
    <t>PJU SUKOREJO INDAH (378)</t>
  </si>
  <si>
    <t>S. REJO INDAH</t>
  </si>
  <si>
    <t>000149</t>
  </si>
  <si>
    <t>514010619104</t>
  </si>
  <si>
    <t>PJU GOGORANTE ( 203 )</t>
  </si>
  <si>
    <t>000296</t>
  </si>
  <si>
    <t>514010619120</t>
  </si>
  <si>
    <t>PJU JERUK TUGUREJO (404)</t>
  </si>
  <si>
    <t>JERUK</t>
  </si>
  <si>
    <t>000061</t>
  </si>
  <si>
    <t>514010619138</t>
  </si>
  <si>
    <t>PJU DLOPO JOYOBOYO (157)</t>
  </si>
  <si>
    <t>000387</t>
  </si>
  <si>
    <t>514010619161</t>
  </si>
  <si>
    <t>PJU JONG BIRU (2)</t>
  </si>
  <si>
    <t>JONGBIRU</t>
  </si>
  <si>
    <t>000363</t>
  </si>
  <si>
    <t>514010619179</t>
  </si>
  <si>
    <t>PJU JONG BIRU (558)</t>
  </si>
  <si>
    <t>000357</t>
  </si>
  <si>
    <t>514010619187</t>
  </si>
  <si>
    <t>PJU SAMBIROBYONG (219)</t>
  </si>
  <si>
    <t>SAMBIROBYONG</t>
  </si>
  <si>
    <t>000370</t>
  </si>
  <si>
    <t>514010619216</t>
  </si>
  <si>
    <t>PJU PUTIH PERMAI (205)</t>
  </si>
  <si>
    <t>PUTIHPERMAI BLOK G</t>
  </si>
  <si>
    <t>000340</t>
  </si>
  <si>
    <t>514010619240</t>
  </si>
  <si>
    <t>PJU BOGEM (393)</t>
  </si>
  <si>
    <t>000083</t>
  </si>
  <si>
    <t>514010619257</t>
  </si>
  <si>
    <t>PJU BESUK (090)</t>
  </si>
  <si>
    <t>000242</t>
  </si>
  <si>
    <t>514010619265</t>
  </si>
  <si>
    <t>PJU BABADAB SBCANGK (466)</t>
  </si>
  <si>
    <t>000164</t>
  </si>
  <si>
    <t>514010619273</t>
  </si>
  <si>
    <t>PJU WONOJOYO (223)</t>
  </si>
  <si>
    <t>PR</t>
  </si>
  <si>
    <t>000467</t>
  </si>
  <si>
    <t>514010619281</t>
  </si>
  <si>
    <t>PJU BESUK (450)</t>
  </si>
  <si>
    <t>000217</t>
  </si>
  <si>
    <t>514010619311</t>
  </si>
  <si>
    <t>PJU SUKOREJO (167)</t>
  </si>
  <si>
    <t>000412</t>
  </si>
  <si>
    <t>514010619337</t>
  </si>
  <si>
    <t>PJU DADAPAN (114)</t>
  </si>
  <si>
    <t>000517</t>
  </si>
  <si>
    <t>514010619352</t>
  </si>
  <si>
    <t>PJU GAYAM (226)</t>
  </si>
  <si>
    <t>GAYAM</t>
  </si>
  <si>
    <t>000151</t>
  </si>
  <si>
    <t>514010619378</t>
  </si>
  <si>
    <t>PJU PURWOTENGAH (383)</t>
  </si>
  <si>
    <t>PURWOTENGAH</t>
  </si>
  <si>
    <t>000495</t>
  </si>
  <si>
    <t>514010619386</t>
  </si>
  <si>
    <t>PJU JAMBANGAN (297)</t>
  </si>
  <si>
    <t>PLOSOKUNING</t>
  </si>
  <si>
    <t>000504</t>
  </si>
  <si>
    <t>514010619415</t>
  </si>
  <si>
    <t>PJU PEHKULON (389)</t>
  </si>
  <si>
    <t>PEH KULON</t>
  </si>
  <si>
    <t>000146</t>
  </si>
  <si>
    <t>514010619423</t>
  </si>
  <si>
    <t>PJU BANGSONGAN (087)</t>
  </si>
  <si>
    <t>BANGSONGAN</t>
  </si>
  <si>
    <t>000176</t>
  </si>
  <si>
    <t>514010619431</t>
  </si>
  <si>
    <t>PJU MINGGIRAN (569)</t>
  </si>
  <si>
    <t>REJOWINANGUN</t>
  </si>
  <si>
    <t>000131</t>
  </si>
  <si>
    <t>514010662535</t>
  </si>
  <si>
    <t>PJU MENANG</t>
  </si>
  <si>
    <t>000483</t>
  </si>
  <si>
    <t>514010662550</t>
  </si>
  <si>
    <t>PJU TENGGER</t>
  </si>
  <si>
    <t>000187</t>
  </si>
  <si>
    <t>514010662576</t>
  </si>
  <si>
    <t>PJU DS WONOREJO</t>
  </si>
  <si>
    <t>WONOREJO</t>
  </si>
  <si>
    <t>000088</t>
  </si>
  <si>
    <t>514010662584</t>
  </si>
  <si>
    <t>PJU SENDEN</t>
  </si>
  <si>
    <t>SENDEN</t>
  </si>
  <si>
    <t>000420</t>
  </si>
  <si>
    <t>514010662639</t>
  </si>
  <si>
    <t>PJU BANYUANYAR</t>
  </si>
  <si>
    <t>BANYUANYAR</t>
  </si>
  <si>
    <t>000194</t>
  </si>
  <si>
    <t>514010662654</t>
  </si>
  <si>
    <t>PJU MANGUNREJO</t>
  </si>
  <si>
    <t>MANGUNREJO</t>
  </si>
  <si>
    <t>000393</t>
  </si>
  <si>
    <t>514010662662</t>
  </si>
  <si>
    <t>PJU TIRU LOR</t>
  </si>
  <si>
    <t>TIRU LOR</t>
  </si>
  <si>
    <t>000417</t>
  </si>
  <si>
    <t>514010662670</t>
  </si>
  <si>
    <t>PJU TAMBAKREJO</t>
  </si>
  <si>
    <t>TAMBAKREJO</t>
  </si>
  <si>
    <t>000343</t>
  </si>
  <si>
    <t>514010662734</t>
  </si>
  <si>
    <t>PJU KLANDERAN</t>
  </si>
  <si>
    <t>000383</t>
  </si>
  <si>
    <t>514010662759</t>
  </si>
  <si>
    <t>PJU MADURETNO (229)</t>
  </si>
  <si>
    <t>MADURETNO</t>
  </si>
  <si>
    <t>000466</t>
  </si>
  <si>
    <t>514010665819</t>
  </si>
  <si>
    <t>PJU GABRU</t>
  </si>
  <si>
    <t>000262</t>
  </si>
  <si>
    <t>514010665827</t>
  </si>
  <si>
    <t>PJU GAYAM</t>
  </si>
  <si>
    <t>000182</t>
  </si>
  <si>
    <t>514010665835</t>
  </si>
  <si>
    <t>PJU GONDANG - BANGKOK</t>
  </si>
  <si>
    <t>000103</t>
  </si>
  <si>
    <t>514010665850</t>
  </si>
  <si>
    <t>PJU KEMUNING - TIRU KIDUL</t>
  </si>
  <si>
    <t>000289</t>
  </si>
  <si>
    <t>514010665906</t>
  </si>
  <si>
    <t>PJU TURUS</t>
  </si>
  <si>
    <t>TURUS</t>
  </si>
  <si>
    <t>000471</t>
  </si>
  <si>
    <t>514010665914</t>
  </si>
  <si>
    <t>PJU WONOJOYO</t>
  </si>
  <si>
    <t>000349</t>
  </si>
  <si>
    <t>514010665930</t>
  </si>
  <si>
    <t>PJU BENDO</t>
  </si>
  <si>
    <t>BENDO</t>
  </si>
  <si>
    <t>000404</t>
  </si>
  <si>
    <t>514010665948</t>
  </si>
  <si>
    <t>PJU BUNGKAL (452)</t>
  </si>
  <si>
    <t>BUNGKAL</t>
  </si>
  <si>
    <t>000480</t>
  </si>
  <si>
    <t>514010665955</t>
  </si>
  <si>
    <t>PJU BOGANGIN</t>
  </si>
  <si>
    <t>000199</t>
  </si>
  <si>
    <t>514010665963</t>
  </si>
  <si>
    <t>PJU BRINGIN</t>
  </si>
  <si>
    <t>BRINGIN</t>
  </si>
  <si>
    <t>000173</t>
  </si>
  <si>
    <t>514010665971</t>
  </si>
  <si>
    <t>PJU BULU (380)</t>
  </si>
  <si>
    <t>BULU</t>
  </si>
  <si>
    <t>000180</t>
  </si>
  <si>
    <t>514010665989</t>
  </si>
  <si>
    <t>PJU GERDU (234)</t>
  </si>
  <si>
    <t>GERDU</t>
  </si>
  <si>
    <t>000395</t>
  </si>
  <si>
    <t>514010665997</t>
  </si>
  <si>
    <t>PJU JAGUNG</t>
  </si>
  <si>
    <t>000301</t>
  </si>
  <si>
    <t>514010666007</t>
  </si>
  <si>
    <t>PJU JATIWARINGIN (471)</t>
  </si>
  <si>
    <t>JATIWARINGIN</t>
  </si>
  <si>
    <t>000485</t>
  </si>
  <si>
    <t>514010666015</t>
  </si>
  <si>
    <t>PJU KAMBINGAN</t>
  </si>
  <si>
    <t>KAMBINGAN</t>
  </si>
  <si>
    <t>000401</t>
  </si>
  <si>
    <t>514010666023</t>
  </si>
  <si>
    <t>PJU GENUK WATU (459)</t>
  </si>
  <si>
    <t>GENUK WATU</t>
  </si>
  <si>
    <t>000384</t>
  </si>
  <si>
    <t>514010666031</t>
  </si>
  <si>
    <t>PJU MUKUH</t>
  </si>
  <si>
    <t>MUKUH</t>
  </si>
  <si>
    <t>000191</t>
  </si>
  <si>
    <t>514010666080</t>
  </si>
  <si>
    <t>PJU SAMBIROTO (220)</t>
  </si>
  <si>
    <t>SAMBIROTO</t>
  </si>
  <si>
    <t>000099</t>
  </si>
  <si>
    <t>514010666098</t>
  </si>
  <si>
    <t>PJU SANTREN (352)</t>
  </si>
  <si>
    <t>SANTREN</t>
  </si>
  <si>
    <t>000361</t>
  </si>
  <si>
    <t>514010666102</t>
  </si>
  <si>
    <t>PJU SEMAMBUNG</t>
  </si>
  <si>
    <t>SEMAMBUNG</t>
  </si>
  <si>
    <t>000354</t>
  </si>
  <si>
    <t>514010666110</t>
  </si>
  <si>
    <t>PJU SEMANDING</t>
  </si>
  <si>
    <t>SEMANDING</t>
  </si>
  <si>
    <t>000265</t>
  </si>
  <si>
    <t>514010666144</t>
  </si>
  <si>
    <t>PJU SITIMERTO</t>
  </si>
  <si>
    <t>SITIMERTO</t>
  </si>
  <si>
    <t>000307</t>
  </si>
  <si>
    <t>514010666169</t>
  </si>
  <si>
    <t>PJU WATES</t>
  </si>
  <si>
    <t>WATES - PAGU</t>
  </si>
  <si>
    <t>000435</t>
  </si>
  <si>
    <t>514010666185</t>
  </si>
  <si>
    <t>PJU BULU PASAR</t>
  </si>
  <si>
    <t>BULU PASAR</t>
  </si>
  <si>
    <t>000086</t>
  </si>
  <si>
    <t>514010666214</t>
  </si>
  <si>
    <t>PJU NGANDONG (410)</t>
  </si>
  <si>
    <t>NGANDONG</t>
  </si>
  <si>
    <t>000082</t>
  </si>
  <si>
    <t>514010666222</t>
  </si>
  <si>
    <t>PJU BALONG</t>
  </si>
  <si>
    <t>BALONG</t>
  </si>
  <si>
    <t>000110</t>
  </si>
  <si>
    <t>514010666255</t>
  </si>
  <si>
    <t>000170</t>
  </si>
  <si>
    <t>514010666327</t>
  </si>
  <si>
    <t>PJU JONGBIRU</t>
  </si>
  <si>
    <t>000462</t>
  </si>
  <si>
    <t>514010666335</t>
  </si>
  <si>
    <t>PJU KALIBELO</t>
  </si>
  <si>
    <t>KALIBELO</t>
  </si>
  <si>
    <t>000538</t>
  </si>
  <si>
    <t>514010666350</t>
  </si>
  <si>
    <t>PJU KEPUHREJO</t>
  </si>
  <si>
    <t>POJOK</t>
  </si>
  <si>
    <t>000398</t>
  </si>
  <si>
    <t>514010666368</t>
  </si>
  <si>
    <t>PJU KWADUNGAN</t>
  </si>
  <si>
    <t>KWADUNGAN</t>
  </si>
  <si>
    <t>000532</t>
  </si>
  <si>
    <t>514010666376</t>
  </si>
  <si>
    <t>PJU KWEDEN</t>
  </si>
  <si>
    <t>KWEDEN</t>
  </si>
  <si>
    <t>000184</t>
  </si>
  <si>
    <t>514010666384</t>
  </si>
  <si>
    <t>PJU NAMBAAN (191)</t>
  </si>
  <si>
    <t>000390</t>
  </si>
  <si>
    <t>514010666392</t>
  </si>
  <si>
    <t>NGASEM</t>
  </si>
  <si>
    <t>000323</t>
  </si>
  <si>
    <t>514010666439</t>
  </si>
  <si>
    <t>PJU CANDA BHIRAWA</t>
  </si>
  <si>
    <t>CANDA BHIRAWA ASRI</t>
  </si>
  <si>
    <t>000402</t>
  </si>
  <si>
    <t>514010666496</t>
  </si>
  <si>
    <t>PJU PUTIH</t>
  </si>
  <si>
    <t>PUTIH</t>
  </si>
  <si>
    <t>000482</t>
  </si>
  <si>
    <t>514010666518</t>
  </si>
  <si>
    <t>PJU NAMBAAN</t>
  </si>
  <si>
    <t>000290</t>
  </si>
  <si>
    <t>514010666526</t>
  </si>
  <si>
    <t>PJU SAMBIRESIK</t>
  </si>
  <si>
    <t>000505</t>
  </si>
  <si>
    <t>514010666542</t>
  </si>
  <si>
    <t>PJU PERUM BUDAYA CIPTA</t>
  </si>
  <si>
    <t>TEPUS</t>
  </si>
  <si>
    <t>000145</t>
  </si>
  <si>
    <t>514010666559</t>
  </si>
  <si>
    <t>PJU TOYORESMI</t>
  </si>
  <si>
    <t>TOYORESMI</t>
  </si>
  <si>
    <t>000314</t>
  </si>
  <si>
    <t>514010666575</t>
  </si>
  <si>
    <t>PJU WONOCATUR</t>
  </si>
  <si>
    <t>WONOCATUR</t>
  </si>
  <si>
    <t>000364</t>
  </si>
  <si>
    <t>514010666591</t>
  </si>
  <si>
    <t>PJU TUNDAN (234)</t>
  </si>
  <si>
    <t>TUNDAN</t>
  </si>
  <si>
    <t>000277</t>
  </si>
  <si>
    <t>514010666604</t>
  </si>
  <si>
    <t>PJU KORIPAN (308)</t>
  </si>
  <si>
    <t>KORIPAN</t>
  </si>
  <si>
    <t>000058</t>
  </si>
  <si>
    <t>514010666653</t>
  </si>
  <si>
    <t>PJU KAYEN KIDUL (135)</t>
  </si>
  <si>
    <t>KAYEN KIDUL</t>
  </si>
  <si>
    <t>000436</t>
  </si>
  <si>
    <t>514010666679</t>
  </si>
  <si>
    <t>PJU NGLEREP (633)</t>
  </si>
  <si>
    <t>NGLEREP WETAN</t>
  </si>
  <si>
    <t>000419</t>
  </si>
  <si>
    <t>514010666687</t>
  </si>
  <si>
    <t>PJU PAPAR (553)</t>
  </si>
  <si>
    <t>000312</t>
  </si>
  <si>
    <t>514010666733</t>
  </si>
  <si>
    <t>PJU KEPUH (391)</t>
  </si>
  <si>
    <t>SONO</t>
  </si>
  <si>
    <t>000430</t>
  </si>
  <si>
    <t>514010666774</t>
  </si>
  <si>
    <t>PJU PESING</t>
  </si>
  <si>
    <t>PESING</t>
  </si>
  <si>
    <t>000181</t>
  </si>
  <si>
    <t>514010669947</t>
  </si>
  <si>
    <t>PJU GRD. 52</t>
  </si>
  <si>
    <t>RAYA GURAH</t>
  </si>
  <si>
    <t>000342</t>
  </si>
  <si>
    <t>514010669954</t>
  </si>
  <si>
    <t>PJU GRD. 240</t>
  </si>
  <si>
    <t>000276</t>
  </si>
  <si>
    <t>514010669962</t>
  </si>
  <si>
    <t>PJU GRD. 106</t>
  </si>
  <si>
    <t>000409</t>
  </si>
  <si>
    <t>514010669970</t>
  </si>
  <si>
    <t>PJU GRD. 25</t>
  </si>
  <si>
    <t>000263</t>
  </si>
  <si>
    <t>514010669988</t>
  </si>
  <si>
    <t>PJU GRD. 167</t>
  </si>
  <si>
    <t>000174</t>
  </si>
  <si>
    <t>514010689115</t>
  </si>
  <si>
    <t>000190</t>
  </si>
  <si>
    <t>514010689123</t>
  </si>
  <si>
    <t>PJU SENDEN T 88</t>
  </si>
  <si>
    <t>000274</t>
  </si>
  <si>
    <t>514010700319</t>
  </si>
  <si>
    <t>LAMPU GAPURO PERBATASAN</t>
  </si>
  <si>
    <t>AHMAD YANI</t>
  </si>
  <si>
    <t>000178</t>
  </si>
  <si>
    <t>514010728046</t>
  </si>
  <si>
    <t>PJU A SIMPANG LIMA</t>
  </si>
  <si>
    <t>PROLIMAN</t>
  </si>
  <si>
    <t>000306</t>
  </si>
  <si>
    <t>514010728053</t>
  </si>
  <si>
    <t>PJU E SIMPANG LIMA</t>
  </si>
  <si>
    <t>JOHO SUMBEREJO</t>
  </si>
  <si>
    <t>000112</t>
  </si>
  <si>
    <t>514010728061</t>
  </si>
  <si>
    <t>PJU F SIMPANG LIMA</t>
  </si>
  <si>
    <t>000392</t>
  </si>
  <si>
    <t>514010732104</t>
  </si>
  <si>
    <t>PJU SLG JUR PESANTREN</t>
  </si>
  <si>
    <t>RAYA PESANTREN</t>
  </si>
  <si>
    <t>000065</t>
  </si>
  <si>
    <t>514010742742</t>
  </si>
  <si>
    <t>PJU JL MATARAM</t>
  </si>
  <si>
    <t>TAWANGSARI</t>
  </si>
  <si>
    <t>000271</t>
  </si>
  <si>
    <t>514010777932</t>
  </si>
  <si>
    <t>000122</t>
  </si>
  <si>
    <t>514010777940</t>
  </si>
  <si>
    <t>PJU JONGBIRU (069)</t>
  </si>
  <si>
    <t>000142</t>
  </si>
  <si>
    <t>514010777957</t>
  </si>
  <si>
    <t>PJU GURAH (240)</t>
  </si>
  <si>
    <t>GURAH I</t>
  </si>
  <si>
    <t>000491</t>
  </si>
  <si>
    <t>514010777965</t>
  </si>
  <si>
    <t>000169</t>
  </si>
  <si>
    <t>514010777973</t>
  </si>
  <si>
    <t>000221</t>
  </si>
  <si>
    <t>514010778449</t>
  </si>
  <si>
    <t>PJU BULUPASAR</t>
  </si>
  <si>
    <t>KUNIR</t>
  </si>
  <si>
    <t>000451</t>
  </si>
  <si>
    <t>514010778456</t>
  </si>
  <si>
    <t>PJU SEMANDING (396)</t>
  </si>
  <si>
    <t>000136</t>
  </si>
  <si>
    <t>514010778464</t>
  </si>
  <si>
    <t>PJU SEMEN</t>
  </si>
  <si>
    <t>SEMEN</t>
  </si>
  <si>
    <t>000219</t>
  </si>
  <si>
    <t>514010778472</t>
  </si>
  <si>
    <t>PJU BESUK ( 326 )</t>
  </si>
  <si>
    <t>000303</t>
  </si>
  <si>
    <t>514010778480</t>
  </si>
  <si>
    <t>PJU KRANGGAN 222</t>
  </si>
  <si>
    <t>000285</t>
  </si>
  <si>
    <t>514010778498</t>
  </si>
  <si>
    <t>PJU TAMBAKREJO ( 228 )</t>
  </si>
  <si>
    <t>000498</t>
  </si>
  <si>
    <t>514010778502</t>
  </si>
  <si>
    <t>PJU WANENGPATEN</t>
  </si>
  <si>
    <t>000246</t>
  </si>
  <si>
    <t>514010778510</t>
  </si>
  <si>
    <t>PJU TUGUREJO SLG (369)</t>
  </si>
  <si>
    <t>000282</t>
  </si>
  <si>
    <t>514010778528</t>
  </si>
  <si>
    <t>PJU GURAH (070)</t>
  </si>
  <si>
    <t>000475</t>
  </si>
  <si>
    <t>514010782061</t>
  </si>
  <si>
    <t>PJU PLOSOREJO (373)</t>
  </si>
  <si>
    <t>000434</t>
  </si>
  <si>
    <t>514010782079</t>
  </si>
  <si>
    <t>PJU GILANG (371)</t>
  </si>
  <si>
    <t>GILANG</t>
  </si>
  <si>
    <t>000267</t>
  </si>
  <si>
    <t>514010782087</t>
  </si>
  <si>
    <t>PJU GAMPENG (193)</t>
  </si>
  <si>
    <t>GAMPENG</t>
  </si>
  <si>
    <t>000123</t>
  </si>
  <si>
    <t>514010782095</t>
  </si>
  <si>
    <t>PJU SUKOHARJO 408</t>
  </si>
  <si>
    <t>SUKOHARJO</t>
  </si>
  <si>
    <t>000247</t>
  </si>
  <si>
    <t>514010782109</t>
  </si>
  <si>
    <t>PJU NGAMPEL 473</t>
  </si>
  <si>
    <t>TLANAK</t>
  </si>
  <si>
    <t>000410</t>
  </si>
  <si>
    <t>514010782117</t>
  </si>
  <si>
    <t>PJU PAPAR 492</t>
  </si>
  <si>
    <t>000060</t>
  </si>
  <si>
    <t>514010782125</t>
  </si>
  <si>
    <t>PJU PAPAR ( 553 )</t>
  </si>
  <si>
    <t>RAYA PAPAR</t>
  </si>
  <si>
    <t>000355</t>
  </si>
  <si>
    <t>514010782133</t>
  </si>
  <si>
    <t>PJU SRIKATON 465</t>
  </si>
  <si>
    <t>SLAMBUR LOR</t>
  </si>
  <si>
    <t>000111</t>
  </si>
  <si>
    <t>514010782141</t>
  </si>
  <si>
    <t>PJU PURWOTENGAH 632</t>
  </si>
  <si>
    <t>WONOSARI</t>
  </si>
  <si>
    <t>000327</t>
  </si>
  <si>
    <t>514010782158</t>
  </si>
  <si>
    <t>PJU JENGGOTAN 625</t>
  </si>
  <si>
    <t>JENGGOTAN</t>
  </si>
  <si>
    <t>000502</t>
  </si>
  <si>
    <t>514010782166</t>
  </si>
  <si>
    <t>PJU PUTIH (037)</t>
  </si>
  <si>
    <t>000336</t>
  </si>
  <si>
    <t>514010782174</t>
  </si>
  <si>
    <t>PJU TURUS (356)</t>
  </si>
  <si>
    <t>000443</t>
  </si>
  <si>
    <t>514010782182</t>
  </si>
  <si>
    <t>PJU DAWUHAN KIDUL 040</t>
  </si>
  <si>
    <t>DAWUHAN</t>
  </si>
  <si>
    <t>000539</t>
  </si>
  <si>
    <t>514010833918</t>
  </si>
  <si>
    <t>PJU PERUM GRAND SURYA ASR</t>
  </si>
  <si>
    <t>GRAND SURYA ASRI</t>
  </si>
  <si>
    <t>028922</t>
  </si>
  <si>
    <t>514010893331</t>
  </si>
  <si>
    <t>PJU MINGGIRAN</t>
  </si>
  <si>
    <t>MINGGIRAN</t>
  </si>
  <si>
    <t>000520</t>
  </si>
  <si>
    <t>514010936601</t>
  </si>
  <si>
    <t>PJU DS TANON TIMUR</t>
  </si>
  <si>
    <t>TANON</t>
  </si>
  <si>
    <t>000124</t>
  </si>
  <si>
    <t>514010936643</t>
  </si>
  <si>
    <t>PJU DSN GEMPOLAN</t>
  </si>
  <si>
    <t>GEMPOLAN DS BAYE</t>
  </si>
  <si>
    <t>000477</t>
  </si>
  <si>
    <t>514010936706</t>
  </si>
  <si>
    <t>PJU JL RAYA SALAM</t>
  </si>
  <si>
    <t>SALAM DS MRANGGEN</t>
  </si>
  <si>
    <t>000208</t>
  </si>
  <si>
    <t>514010937454</t>
  </si>
  <si>
    <t>PJU DS PESING</t>
  </si>
  <si>
    <t>PESING DS PESING</t>
  </si>
  <si>
    <t>000295</t>
  </si>
  <si>
    <t>514011029869</t>
  </si>
  <si>
    <t>PJU NGAMPEL</t>
  </si>
  <si>
    <t>NGAMPEL</t>
  </si>
  <si>
    <t>000509</t>
  </si>
  <si>
    <t>514011029877</t>
  </si>
  <si>
    <t>PJU GEMPOLAN</t>
  </si>
  <si>
    <t>000073</t>
  </si>
  <si>
    <t>514011029885</t>
  </si>
  <si>
    <t>PJU TUGUREJO</t>
  </si>
  <si>
    <t>TUGUREJO</t>
  </si>
  <si>
    <t>000160</t>
  </si>
  <si>
    <t>514011044476</t>
  </si>
  <si>
    <t>PJU WANENGPATEN 354</t>
  </si>
  <si>
    <t>WANENGWATEN</t>
  </si>
  <si>
    <t>000506</t>
  </si>
  <si>
    <t>514011044484</t>
  </si>
  <si>
    <t>PJU WANENGPATEN 382</t>
  </si>
  <si>
    <t>000416</t>
  </si>
  <si>
    <t>514011047503</t>
  </si>
  <si>
    <t>PJU SEMEN ( 530 )</t>
  </si>
  <si>
    <t>000114</t>
  </si>
  <si>
    <t>514011047511</t>
  </si>
  <si>
    <t>PJU PAPAR</t>
  </si>
  <si>
    <t>000396</t>
  </si>
  <si>
    <t>514011047529</t>
  </si>
  <si>
    <t>PJU KORIPAN ( 308 )</t>
  </si>
  <si>
    <t>000486</t>
  </si>
  <si>
    <t>514011047552</t>
  </si>
  <si>
    <t>PJU TANJUNG ( 53 )</t>
  </si>
  <si>
    <t>000076</t>
  </si>
  <si>
    <t>514011047560</t>
  </si>
  <si>
    <t>PJU TANON ( 59 )</t>
  </si>
  <si>
    <t>000254</t>
  </si>
  <si>
    <t>514011047578</t>
  </si>
  <si>
    <t>PJU TANJUNG ( 217 )</t>
  </si>
  <si>
    <t>000397</t>
  </si>
  <si>
    <t>514011047586</t>
  </si>
  <si>
    <t>PJU DS PARON ( 207 )</t>
  </si>
  <si>
    <t>000426</t>
  </si>
  <si>
    <t>514011047594</t>
  </si>
  <si>
    <t>PJU KAYEN KIDUL ( 136 )</t>
  </si>
  <si>
    <t>000133</t>
  </si>
  <si>
    <t>514011047607</t>
  </si>
  <si>
    <t>PJU BESUK ( 450 )</t>
  </si>
  <si>
    <t>000353</t>
  </si>
  <si>
    <t>514011047615</t>
  </si>
  <si>
    <t>PJU TANGKILAN ( 411 )</t>
  </si>
  <si>
    <t>TANGKILAN</t>
  </si>
  <si>
    <t>000373</t>
  </si>
  <si>
    <t>514011047623</t>
  </si>
  <si>
    <t>PJU TIRU ( 29 )</t>
  </si>
  <si>
    <t>TIRU</t>
  </si>
  <si>
    <t>000092</t>
  </si>
  <si>
    <t>514011047631</t>
  </si>
  <si>
    <t>PJU SUKOREJO EA385</t>
  </si>
  <si>
    <t>000090</t>
  </si>
  <si>
    <t>514011047649</t>
  </si>
  <si>
    <t>000330</t>
  </si>
  <si>
    <t>514011047656</t>
  </si>
  <si>
    <t>PJU BOLOREJO</t>
  </si>
  <si>
    <t>BOLOREJO</t>
  </si>
  <si>
    <t>000326</t>
  </si>
  <si>
    <t>514011047664</t>
  </si>
  <si>
    <t>000333</t>
  </si>
  <si>
    <t>514011071713</t>
  </si>
  <si>
    <t>PJU WATES PAGU</t>
  </si>
  <si>
    <t>WATES</t>
  </si>
  <si>
    <t>000388</t>
  </si>
  <si>
    <t>514011074188</t>
  </si>
  <si>
    <t>PJU SAMBIROBYONG</t>
  </si>
  <si>
    <t>000264</t>
  </si>
  <si>
    <t>514011074196</t>
  </si>
  <si>
    <t>BULUPASAR</t>
  </si>
  <si>
    <t>000320</t>
  </si>
  <si>
    <t>514011118331</t>
  </si>
  <si>
    <t>PJU PERUM BELLA MANSION</t>
  </si>
  <si>
    <t>SOBO DESA NGASEM</t>
  </si>
  <si>
    <t>000337</t>
  </si>
  <si>
    <t>514011124571</t>
  </si>
  <si>
    <t>PJU 3 DS SENDEN</t>
  </si>
  <si>
    <t>MARON DS SENDEN</t>
  </si>
  <si>
    <t>043586</t>
  </si>
  <si>
    <t>514011167915</t>
  </si>
  <si>
    <t>PJU PR WANENGPATEN INDAH</t>
  </si>
  <si>
    <t>WANENGPATEN INDAH</t>
  </si>
  <si>
    <t>004572</t>
  </si>
  <si>
    <t>514011167923</t>
  </si>
  <si>
    <t>PJU GRIYA TANJUNG INDAH</t>
  </si>
  <si>
    <t>GRIYA TANJUNG INDAH</t>
  </si>
  <si>
    <t>000128</t>
  </si>
  <si>
    <t>514011167931</t>
  </si>
  <si>
    <t>PJU PERUM KADIRI PALACE</t>
  </si>
  <si>
    <t>KADIRI PALACE</t>
  </si>
  <si>
    <t>000445</t>
  </si>
  <si>
    <t>514011170272</t>
  </si>
  <si>
    <t>PJU PERUM NGASEM VIEW</t>
  </si>
  <si>
    <t>NGASEM VIEW</t>
  </si>
  <si>
    <t>056393</t>
  </si>
  <si>
    <t>514011171786</t>
  </si>
  <si>
    <t>PJU PERUM WONOJOYO</t>
  </si>
  <si>
    <t>037264</t>
  </si>
  <si>
    <t>514011176107</t>
  </si>
  <si>
    <t>PJU KALIBELO RT 2 RW 1</t>
  </si>
  <si>
    <t>000512</t>
  </si>
  <si>
    <t>514011195186</t>
  </si>
  <si>
    <t>PJU SUKOREJO</t>
  </si>
  <si>
    <t>000138</t>
  </si>
  <si>
    <t>514011196656</t>
  </si>
  <si>
    <t>PJU PERUM GRIYA MENTARI</t>
  </si>
  <si>
    <t>GRIYA MENTARI SAMBIREJO</t>
  </si>
  <si>
    <t>000069</t>
  </si>
  <si>
    <t>514011198382</t>
  </si>
  <si>
    <t>PJU PERUM AIRLANGGA</t>
  </si>
  <si>
    <t>PERUM AIRLANGGA ROYAL RESIDENC</t>
  </si>
  <si>
    <t>000150</t>
  </si>
  <si>
    <t>514011200285</t>
  </si>
  <si>
    <t>PJU PERUM SURURI ESTATE</t>
  </si>
  <si>
    <t>PAMENANG SURURI ESTATE</t>
  </si>
  <si>
    <t>000371</t>
  </si>
  <si>
    <t>514011201590</t>
  </si>
  <si>
    <t>PJU PERUM PAGU HASANAH</t>
  </si>
  <si>
    <t>PERUM PAGU HASANAH</t>
  </si>
  <si>
    <t>000140</t>
  </si>
  <si>
    <t>514011202302</t>
  </si>
  <si>
    <t>PJU PERUM TANON VIEW</t>
  </si>
  <si>
    <t>TANON VIEW</t>
  </si>
  <si>
    <t>000279</t>
  </si>
  <si>
    <t>514011207901</t>
  </si>
  <si>
    <t>PJU PERUMAHAN GRAHA KITA</t>
  </si>
  <si>
    <t>GRAHA KITA</t>
  </si>
  <si>
    <t>000156</t>
  </si>
  <si>
    <t>514011208795</t>
  </si>
  <si>
    <t>LPJU RUAS JONGBIRU-KWADUN</t>
  </si>
  <si>
    <t>010482</t>
  </si>
  <si>
    <t>514011224786</t>
  </si>
  <si>
    <t>PJU PR KEBUN MAS REGENCY</t>
  </si>
  <si>
    <t>PERUM KEBUN MAS REGENCY</t>
  </si>
  <si>
    <t>037247</t>
  </si>
  <si>
    <t>514011243213</t>
  </si>
  <si>
    <t>PJU DESA NGASEM 3</t>
  </si>
  <si>
    <t>DS NGASEM</t>
  </si>
  <si>
    <t>037859</t>
  </si>
  <si>
    <t>514011243221</t>
  </si>
  <si>
    <t>PJU DESA PAGU 2</t>
  </si>
  <si>
    <t>DS PAGU</t>
  </si>
  <si>
    <t>025444</t>
  </si>
  <si>
    <t>514011266504</t>
  </si>
  <si>
    <t>PJU JEMBATAN JONGBIRU</t>
  </si>
  <si>
    <t>JONGBIRU - DS JONGBIRU RT 6 RW</t>
  </si>
  <si>
    <t>065475</t>
  </si>
  <si>
    <t>JUMLAH ULP KEDIRI KOTA</t>
  </si>
  <si>
    <t>WILAYAH ULP TULUNGAGUNG</t>
  </si>
  <si>
    <t>KRAS</t>
  </si>
  <si>
    <t>105816</t>
  </si>
  <si>
    <t>KRANDANG</t>
  </si>
  <si>
    <t>106033</t>
  </si>
  <si>
    <t>106068</t>
  </si>
  <si>
    <t>BENDOSARI</t>
  </si>
  <si>
    <t>105969</t>
  </si>
  <si>
    <t>KROMASAN</t>
  </si>
  <si>
    <t>105720</t>
  </si>
  <si>
    <t>KANIGORO</t>
  </si>
  <si>
    <t>106013</t>
  </si>
  <si>
    <t>JABANG</t>
  </si>
  <si>
    <t>105848</t>
  </si>
  <si>
    <t>JEMEKAN</t>
  </si>
  <si>
    <t>106147</t>
  </si>
  <si>
    <t>106012</t>
  </si>
  <si>
    <t>106126</t>
  </si>
  <si>
    <t>106160</t>
  </si>
  <si>
    <t>MOJOSARI</t>
  </si>
  <si>
    <t>106157</t>
  </si>
  <si>
    <t>105709</t>
  </si>
  <si>
    <t>105852</t>
  </si>
  <si>
    <t>BUTUH</t>
  </si>
  <si>
    <t>106165</t>
  </si>
  <si>
    <t>KARANGTALUN</t>
  </si>
  <si>
    <t>106134</t>
  </si>
  <si>
    <t>PURWODADI</t>
  </si>
  <si>
    <t>105957</t>
  </si>
  <si>
    <t>105861</t>
  </si>
  <si>
    <t>105892</t>
  </si>
  <si>
    <t>106060</t>
  </si>
  <si>
    <t>106101</t>
  </si>
  <si>
    <t>105890</t>
  </si>
  <si>
    <t>SRIKATON</t>
  </si>
  <si>
    <t>105716</t>
  </si>
  <si>
    <t>106003</t>
  </si>
  <si>
    <t>105707</t>
  </si>
  <si>
    <t>105732</t>
  </si>
  <si>
    <t>KR TALUN</t>
  </si>
  <si>
    <t>106268</t>
  </si>
  <si>
    <t>106307</t>
  </si>
  <si>
    <t>105649</t>
  </si>
  <si>
    <t>105963</t>
  </si>
  <si>
    <t>CANGAK</t>
  </si>
  <si>
    <t>106023</t>
  </si>
  <si>
    <t>NYAWANGAN</t>
  </si>
  <si>
    <t>105747</t>
  </si>
  <si>
    <t>TEJO</t>
  </si>
  <si>
    <t>105904</t>
  </si>
  <si>
    <t>106141</t>
  </si>
  <si>
    <t>SENTONOREJO</t>
  </si>
  <si>
    <t>105652</t>
  </si>
  <si>
    <t>106312</t>
  </si>
  <si>
    <t>105953</t>
  </si>
  <si>
    <t>106287</t>
  </si>
  <si>
    <t>SETONOREJO</t>
  </si>
  <si>
    <t>105929</t>
  </si>
  <si>
    <t>106114</t>
  </si>
  <si>
    <t>BULUR</t>
  </si>
  <si>
    <t>105970</t>
  </si>
  <si>
    <t>106133</t>
  </si>
  <si>
    <t>105962</t>
  </si>
  <si>
    <t>106264</t>
  </si>
  <si>
    <t>106036</t>
  </si>
  <si>
    <t>106077</t>
  </si>
  <si>
    <t>105985</t>
  </si>
  <si>
    <t>105868</t>
  </si>
  <si>
    <t>PJU KARANGTALUN KRAS</t>
  </si>
  <si>
    <t>105764</t>
  </si>
  <si>
    <t>PJU DESA JABANG KEC KRAS</t>
  </si>
  <si>
    <t>038532</t>
  </si>
  <si>
    <t>PJU PR PURWODADI VIEW</t>
  </si>
  <si>
    <t>057956</t>
  </si>
  <si>
    <t>PJU KR TALUN KRAS</t>
  </si>
  <si>
    <t>105998</t>
  </si>
  <si>
    <t>JUMLAH ULP TULUNGAGUNG</t>
  </si>
  <si>
    <t>WILAYAH ULP PARE</t>
  </si>
  <si>
    <t>514060009800</t>
  </si>
  <si>
    <t>T.M.P.</t>
  </si>
  <si>
    <t>KEDIRI NO   0 PARE</t>
  </si>
  <si>
    <t>052767</t>
  </si>
  <si>
    <t>514060041617</t>
  </si>
  <si>
    <t>PENERANGAN JALAN EF021</t>
  </si>
  <si>
    <t>SIMPANG 4 ANNUR NO   0 PARE</t>
  </si>
  <si>
    <t>052796</t>
  </si>
  <si>
    <t>514060109306</t>
  </si>
  <si>
    <t>WONOKERTO NO   0 WONOKERTO</t>
  </si>
  <si>
    <t>052699</t>
  </si>
  <si>
    <t>514060176519</t>
  </si>
  <si>
    <t>PJ PUNJUL</t>
  </si>
  <si>
    <t>PUNJUL NO   0 PUNJUL</t>
  </si>
  <si>
    <t>052700</t>
  </si>
  <si>
    <t>514060176535</t>
  </si>
  <si>
    <t>PJ WATES</t>
  </si>
  <si>
    <t>WATES NO   0 WATES</t>
  </si>
  <si>
    <t>052659</t>
  </si>
  <si>
    <t>514060307203</t>
  </si>
  <si>
    <t>PJ</t>
  </si>
  <si>
    <t>KK</t>
  </si>
  <si>
    <t>TERMINAL BUS NO   0 PARE</t>
  </si>
  <si>
    <t>052801</t>
  </si>
  <si>
    <t>514060348824</t>
  </si>
  <si>
    <t>NURWAKIT NO   0 BENDO</t>
  </si>
  <si>
    <t>052657</t>
  </si>
  <si>
    <t>514060382174</t>
  </si>
  <si>
    <t>MASTRIP NO   0 PARE</t>
  </si>
  <si>
    <t>053006</t>
  </si>
  <si>
    <t>514060382182</t>
  </si>
  <si>
    <t>PJU EF010</t>
  </si>
  <si>
    <t>WR SUPRATMAN NO   0 PARE</t>
  </si>
  <si>
    <t>052900</t>
  </si>
  <si>
    <t>514060382190</t>
  </si>
  <si>
    <t>AHMAD YANI NO   0 PARE</t>
  </si>
  <si>
    <t>052928</t>
  </si>
  <si>
    <t>514060397054</t>
  </si>
  <si>
    <t>PJU PK 5 PARE</t>
  </si>
  <si>
    <t>PANGLIMA S NO   0 PARE</t>
  </si>
  <si>
    <t>052701</t>
  </si>
  <si>
    <t>514060528784</t>
  </si>
  <si>
    <t>HOS COKRO AMINOTO NO   0 PARE</t>
  </si>
  <si>
    <t>053037</t>
  </si>
  <si>
    <t>514060528792</t>
  </si>
  <si>
    <t>HOS COKROAMINOTO NO   0 PARE</t>
  </si>
  <si>
    <t>052674</t>
  </si>
  <si>
    <t>514060528805</t>
  </si>
  <si>
    <t>052859</t>
  </si>
  <si>
    <t>514060581782</t>
  </si>
  <si>
    <t>DR WAHIDIN S NO   0 TULUNGREJO</t>
  </si>
  <si>
    <t>052693</t>
  </si>
  <si>
    <t>514060581790</t>
  </si>
  <si>
    <t>GAJAHMADA NO   0 PARE</t>
  </si>
  <si>
    <t>053056</t>
  </si>
  <si>
    <t>514060595317</t>
  </si>
  <si>
    <t>LAMPU HIAS EF077</t>
  </si>
  <si>
    <t>PB SUDIRMAN NO   0 PARE</t>
  </si>
  <si>
    <t>052941</t>
  </si>
  <si>
    <t>514060595325</t>
  </si>
  <si>
    <t>LAMPU HIAS</t>
  </si>
  <si>
    <t>KUSUMA BANGSA NO   0 PARE</t>
  </si>
  <si>
    <t>052836</t>
  </si>
  <si>
    <t>514060621729</t>
  </si>
  <si>
    <t>PJU NGANCAR</t>
  </si>
  <si>
    <t>NGANCAR NO     NGANCAR</t>
  </si>
  <si>
    <t>052799</t>
  </si>
  <si>
    <t>514060621737</t>
  </si>
  <si>
    <t>PJU KEPUNG</t>
  </si>
  <si>
    <t>KEPUNG NO     KEPUNG</t>
  </si>
  <si>
    <t>052818</t>
  </si>
  <si>
    <t>514060621745</t>
  </si>
  <si>
    <t>PJU TRANSAD</t>
  </si>
  <si>
    <t>BANDULAN NO     SB AGUNG</t>
  </si>
  <si>
    <t>052923</t>
  </si>
  <si>
    <t>514060621794</t>
  </si>
  <si>
    <t>PJU PERBATASAN</t>
  </si>
  <si>
    <t>LANGEN HARJO NO     L HARDJO</t>
  </si>
  <si>
    <t>052705</t>
  </si>
  <si>
    <t>514060621815</t>
  </si>
  <si>
    <t>PJU DIPONEGORO EF078</t>
  </si>
  <si>
    <t>DIPONEGORO NO     PARE</t>
  </si>
  <si>
    <t>052720</t>
  </si>
  <si>
    <t>514060621823</t>
  </si>
  <si>
    <t>PJU IMAM BONJOL</t>
  </si>
  <si>
    <t>IMAM BONJOL NO     PARE</t>
  </si>
  <si>
    <t>052946</t>
  </si>
  <si>
    <t>514060622132</t>
  </si>
  <si>
    <t>PJU TPA</t>
  </si>
  <si>
    <t>SEKOTO NO     SEKOTO</t>
  </si>
  <si>
    <t>052838</t>
  </si>
  <si>
    <t>514060622356</t>
  </si>
  <si>
    <t>LAMPU HIAS PK BANGSA</t>
  </si>
  <si>
    <t>PB SUDIRMAN NO     PARE</t>
  </si>
  <si>
    <t>052702</t>
  </si>
  <si>
    <t>514060626753</t>
  </si>
  <si>
    <t>PJU KH DEWANTORO EF121</t>
  </si>
  <si>
    <t>KH DEWANTORO NO     BRINGIN</t>
  </si>
  <si>
    <t>052845</t>
  </si>
  <si>
    <t>514060643037</t>
  </si>
  <si>
    <t>PJ CANGGU GD 24</t>
  </si>
  <si>
    <t>CANGGU NO 0 CANGGU</t>
  </si>
  <si>
    <t>053045</t>
  </si>
  <si>
    <t>514060651016</t>
  </si>
  <si>
    <t>PJ DS SIDOMULYO /27</t>
  </si>
  <si>
    <t>SIDOMULYO NO 027 SIDOMULYO</t>
  </si>
  <si>
    <t>052688</t>
  </si>
  <si>
    <t>514060656082</t>
  </si>
  <si>
    <t>PJU PRANGGANG ( 13 )</t>
  </si>
  <si>
    <t>PRANGGANG NO 0 PRANGGANG</t>
  </si>
  <si>
    <t>052967</t>
  </si>
  <si>
    <t>514060659708</t>
  </si>
  <si>
    <t>PJU DS PLOSOLOR ( 29 )</t>
  </si>
  <si>
    <t>PLOSOLOR NO 0 PLOSO</t>
  </si>
  <si>
    <t>053025</t>
  </si>
  <si>
    <t>514060662551</t>
  </si>
  <si>
    <t>PJU DS PLOSO LOR</t>
  </si>
  <si>
    <t>052684</t>
  </si>
  <si>
    <t>514060662655</t>
  </si>
  <si>
    <t>PJU DS PELEM</t>
  </si>
  <si>
    <t>PELEM NO 0 PELEM</t>
  </si>
  <si>
    <t>053012</t>
  </si>
  <si>
    <t>514060682604</t>
  </si>
  <si>
    <t>PJU SUKARNO - HATTA EF075</t>
  </si>
  <si>
    <t>SUKARNO HATTA NO 0 BENDO</t>
  </si>
  <si>
    <t>052904</t>
  </si>
  <si>
    <t>514060682638</t>
  </si>
  <si>
    <t>PJU SUKARNO HATTA 3</t>
  </si>
  <si>
    <t>052948</t>
  </si>
  <si>
    <t>514060682646</t>
  </si>
  <si>
    <t>PJU DR SUTOMO 4</t>
  </si>
  <si>
    <t>DR SUTOMO NO 0 PELEM</t>
  </si>
  <si>
    <t>052935</t>
  </si>
  <si>
    <t>514060682653</t>
  </si>
  <si>
    <t>PJU DR SUTOMO 5</t>
  </si>
  <si>
    <t>052694</t>
  </si>
  <si>
    <t>514060682661</t>
  </si>
  <si>
    <t>PJU SUKARNO HATTA 2</t>
  </si>
  <si>
    <t>053005</t>
  </si>
  <si>
    <t>514060727060</t>
  </si>
  <si>
    <t>PENERANGAN JALAN GD1</t>
  </si>
  <si>
    <t>PB SUDIRMAN NO 0 PARE</t>
  </si>
  <si>
    <t>052719</t>
  </si>
  <si>
    <t>514060727078</t>
  </si>
  <si>
    <t>PENERANGAN JALAN GD 2 D7</t>
  </si>
  <si>
    <t>MASJID TAQWA NO 0 PARE</t>
  </si>
  <si>
    <t>052833</t>
  </si>
  <si>
    <t>514060727086</t>
  </si>
  <si>
    <t>PENERANGAN JALAN GD 3</t>
  </si>
  <si>
    <t>LETJEND SUTOYO NO 0 PARE</t>
  </si>
  <si>
    <t>053044</t>
  </si>
  <si>
    <t>514060727094</t>
  </si>
  <si>
    <t>PENERANGAN JALAN</t>
  </si>
  <si>
    <t>052676</t>
  </si>
  <si>
    <t>514060727108</t>
  </si>
  <si>
    <t>PENERANGAN JALAN GD 21</t>
  </si>
  <si>
    <t>MATAHARI NO 0 TULUNGREJO</t>
  </si>
  <si>
    <t>052707</t>
  </si>
  <si>
    <t>514060727116</t>
  </si>
  <si>
    <t>PENERANGAN JALAN GD 22</t>
  </si>
  <si>
    <t>BRAWIJYA NO 0 TULUNGREJO</t>
  </si>
  <si>
    <t>052834</t>
  </si>
  <si>
    <t>514060727124</t>
  </si>
  <si>
    <t>PENERANGAN JALAN GD 61</t>
  </si>
  <si>
    <t>TEGALSARI NO 0 TULUNGREJO</t>
  </si>
  <si>
    <t>052741</t>
  </si>
  <si>
    <t>514060727132</t>
  </si>
  <si>
    <t>PENERANGAN JALAN GD 23</t>
  </si>
  <si>
    <t>LAMONG NO 0 LAMONG</t>
  </si>
  <si>
    <t>052938</t>
  </si>
  <si>
    <t>514060727140</t>
  </si>
  <si>
    <t>PENERANGAN JALAN GD 25</t>
  </si>
  <si>
    <t>GAMOL NO 0 L HARDJO</t>
  </si>
  <si>
    <t>053039</t>
  </si>
  <si>
    <t>514060727157</t>
  </si>
  <si>
    <t>PENERANGAN JALAN GD28</t>
  </si>
  <si>
    <t>WILIS NO 0 PARE</t>
  </si>
  <si>
    <t>052975</t>
  </si>
  <si>
    <t>514060727165</t>
  </si>
  <si>
    <t>PENERANGAN JALAN GD 39</t>
  </si>
  <si>
    <t>SAKURA NO 0 TULUNGREJO</t>
  </si>
  <si>
    <t>052949</t>
  </si>
  <si>
    <t>514060727173</t>
  </si>
  <si>
    <t>PENERANGAN JALAN GD 56</t>
  </si>
  <si>
    <t>MASTRIP NO 0 PARE</t>
  </si>
  <si>
    <t>052728</t>
  </si>
  <si>
    <t>514060727181</t>
  </si>
  <si>
    <t>PJU GARDU GD 1</t>
  </si>
  <si>
    <t>052715</t>
  </si>
  <si>
    <t>514060727199</t>
  </si>
  <si>
    <t>PJU GARDU 3</t>
  </si>
  <si>
    <t>052873</t>
  </si>
  <si>
    <t>514060727202</t>
  </si>
  <si>
    <t>PJU GARDU 4</t>
  </si>
  <si>
    <t>A YANI NO 0 PARE</t>
  </si>
  <si>
    <t>052930</t>
  </si>
  <si>
    <t>514060727210</t>
  </si>
  <si>
    <t>PJU GARDU 10 D</t>
  </si>
  <si>
    <t>052905</t>
  </si>
  <si>
    <t>514060727228</t>
  </si>
  <si>
    <t>PJU GARDU 79</t>
  </si>
  <si>
    <t>GAJAH MADA NO 0 PARE</t>
  </si>
  <si>
    <t>052745</t>
  </si>
  <si>
    <t>514060727236</t>
  </si>
  <si>
    <t>PJU GARDU 79 B11</t>
  </si>
  <si>
    <t>SEMANDING NO 0 TERTEK</t>
  </si>
  <si>
    <t>052882</t>
  </si>
  <si>
    <t>514060727244</t>
  </si>
  <si>
    <t>PJU GARDU 134</t>
  </si>
  <si>
    <t>052896</t>
  </si>
  <si>
    <t>514060727251</t>
  </si>
  <si>
    <t>PJU GARDU 80 A12</t>
  </si>
  <si>
    <t>PANGLIMA POLIM NO 0 TERTEK</t>
  </si>
  <si>
    <t>052761</t>
  </si>
  <si>
    <t>514060727269</t>
  </si>
  <si>
    <t>PJU GARDU 80</t>
  </si>
  <si>
    <t>052739</t>
  </si>
  <si>
    <t>514060727277</t>
  </si>
  <si>
    <t>PJU GARDU 10</t>
  </si>
  <si>
    <t>KAWI NO 0 PARE</t>
  </si>
  <si>
    <t>052791</t>
  </si>
  <si>
    <t>514060727285</t>
  </si>
  <si>
    <t>PJU WR SUPRATMAN EF010</t>
  </si>
  <si>
    <t>WR SUPRATMAN NO 0 PARE</t>
  </si>
  <si>
    <t>052830</t>
  </si>
  <si>
    <t>514060727293</t>
  </si>
  <si>
    <t>PJU GAPURO BRINGIN</t>
  </si>
  <si>
    <t>BRINGIN NO 0 BRINGIN</t>
  </si>
  <si>
    <t>052881</t>
  </si>
  <si>
    <t>514060727307</t>
  </si>
  <si>
    <t>PJU LANGENHARJO</t>
  </si>
  <si>
    <t>LANGEN HARJO NO 0 L HARDJO</t>
  </si>
  <si>
    <t>052931</t>
  </si>
  <si>
    <t>514060727443</t>
  </si>
  <si>
    <t>PJU KH DEWANTORO EF122</t>
  </si>
  <si>
    <t>KH DEWANTORO NO 0 BRINGIN</t>
  </si>
  <si>
    <t>052899</t>
  </si>
  <si>
    <t>514060729327</t>
  </si>
  <si>
    <t>PJU GARDU 43</t>
  </si>
  <si>
    <t>KAYEN LOR NO 0 KAYEN LOR</t>
  </si>
  <si>
    <t>052769</t>
  </si>
  <si>
    <t>514060729335</t>
  </si>
  <si>
    <t>PJU GARDU 138</t>
  </si>
  <si>
    <t>BOGO KIDUL NO 0 BOGO</t>
  </si>
  <si>
    <t>052886</t>
  </si>
  <si>
    <t>514060729343</t>
  </si>
  <si>
    <t>052765</t>
  </si>
  <si>
    <t>514060729350</t>
  </si>
  <si>
    <t>PJU GARDU 42</t>
  </si>
  <si>
    <t>KEDUNG MALANG NO 0 WONOKERTO</t>
  </si>
  <si>
    <t>052862</t>
  </si>
  <si>
    <t>514060729368</t>
  </si>
  <si>
    <t>PJU BRENGGOLO 2</t>
  </si>
  <si>
    <t>BRENGGOLO NO 0 BRENGGOLO</t>
  </si>
  <si>
    <t>052831</t>
  </si>
  <si>
    <t>514060729376</t>
  </si>
  <si>
    <t>PJU WATES 2</t>
  </si>
  <si>
    <t>WATES NO 0 WATES</t>
  </si>
  <si>
    <t>052964</t>
  </si>
  <si>
    <t>514060729384</t>
  </si>
  <si>
    <t>PJU WATES 3</t>
  </si>
  <si>
    <t>052763</t>
  </si>
  <si>
    <t>514060729392</t>
  </si>
  <si>
    <t>PJU WATES 4</t>
  </si>
  <si>
    <t>052959</t>
  </si>
  <si>
    <t>514060729405</t>
  </si>
  <si>
    <t>PJU TAWANG 1</t>
  </si>
  <si>
    <t>TAWANG NO 0 TAWANG</t>
  </si>
  <si>
    <t>052826</t>
  </si>
  <si>
    <t>514060729413</t>
  </si>
  <si>
    <t>PJU TAWANG 2</t>
  </si>
  <si>
    <t>052759</t>
  </si>
  <si>
    <t>514060729421</t>
  </si>
  <si>
    <t>PJU TAWANG 3</t>
  </si>
  <si>
    <t>053010</t>
  </si>
  <si>
    <t>514060729439</t>
  </si>
  <si>
    <t>GEDANG SEWU NO 0 GEDANGSEWU</t>
  </si>
  <si>
    <t>053009</t>
  </si>
  <si>
    <t>514060729447</t>
  </si>
  <si>
    <t>PJU SEMERU</t>
  </si>
  <si>
    <t>SEMERU NO 0 PARE</t>
  </si>
  <si>
    <t>052742</t>
  </si>
  <si>
    <t>514060729454</t>
  </si>
  <si>
    <t>PJU TULUNGREJO</t>
  </si>
  <si>
    <t>TULUNGREJO NO 0 TULUNGREJO</t>
  </si>
  <si>
    <t>052877</t>
  </si>
  <si>
    <t>514060729462</t>
  </si>
  <si>
    <t>PJU BRENGGOLO 1</t>
  </si>
  <si>
    <t>052907</t>
  </si>
  <si>
    <t>514060749581</t>
  </si>
  <si>
    <t>PJU GEDANG SEWU B</t>
  </si>
  <si>
    <t>052897</t>
  </si>
  <si>
    <t>514060749599</t>
  </si>
  <si>
    <t>PJU GEDANG SEWU D</t>
  </si>
  <si>
    <t>052850</t>
  </si>
  <si>
    <t>514060749602</t>
  </si>
  <si>
    <t>PJU PAREREJO C</t>
  </si>
  <si>
    <t>PAREREJO NO 0 GEDANGSEWU</t>
  </si>
  <si>
    <t>052889</t>
  </si>
  <si>
    <t>514060749610</t>
  </si>
  <si>
    <t>PJU PAREREJO</t>
  </si>
  <si>
    <t>052753</t>
  </si>
  <si>
    <t>514060755914</t>
  </si>
  <si>
    <t>PJU WATES 35</t>
  </si>
  <si>
    <t>052663</t>
  </si>
  <si>
    <t>514060755922</t>
  </si>
  <si>
    <t>PJU WATES 38</t>
  </si>
  <si>
    <t>SIKATAN NO 0 TAWANG</t>
  </si>
  <si>
    <t>052689</t>
  </si>
  <si>
    <t>514060807124</t>
  </si>
  <si>
    <t>TAMAN WISATA RINGIN BUDHO</t>
  </si>
  <si>
    <t>009710</t>
  </si>
  <si>
    <t>514060869001</t>
  </si>
  <si>
    <t>PJU KAWASAN KELUD II</t>
  </si>
  <si>
    <t>NGANCAR NO 0 NGANCAR</t>
  </si>
  <si>
    <t>052726</t>
  </si>
  <si>
    <t>514060879274</t>
  </si>
  <si>
    <t>PJU BABADAN 250</t>
  </si>
  <si>
    <t>SANDING NO 0 BABADAN</t>
  </si>
  <si>
    <t>052903</t>
  </si>
  <si>
    <t>514060879282</t>
  </si>
  <si>
    <t>PJU BABADAN 249</t>
  </si>
  <si>
    <t>052865</t>
  </si>
  <si>
    <t>514060879290</t>
  </si>
  <si>
    <t>PJU SEMPU 247</t>
  </si>
  <si>
    <t>SB PETUNG NO 0 SEMPU</t>
  </si>
  <si>
    <t>052916</t>
  </si>
  <si>
    <t>514060879304</t>
  </si>
  <si>
    <t>PJU SEMPU 246</t>
  </si>
  <si>
    <t>SUMBER PETUNG NO 0 SEMPU</t>
  </si>
  <si>
    <t>053051</t>
  </si>
  <si>
    <t>514060879312</t>
  </si>
  <si>
    <t>PJU SEMPU 245</t>
  </si>
  <si>
    <t>SEMPU NO 0 SEMPU</t>
  </si>
  <si>
    <t>052993</t>
  </si>
  <si>
    <t>514060879320</t>
  </si>
  <si>
    <t>PJU BABADAN 251 C4</t>
  </si>
  <si>
    <t>BABADAN NO 0 BABADAN</t>
  </si>
  <si>
    <t>053040</t>
  </si>
  <si>
    <t>514060879338</t>
  </si>
  <si>
    <t>PJU KENCONG 236</t>
  </si>
  <si>
    <t>SENOWO NO 0 KENCONG</t>
  </si>
  <si>
    <t>052782</t>
  </si>
  <si>
    <t>514060879346</t>
  </si>
  <si>
    <t>PJU SEPAWON EF310</t>
  </si>
  <si>
    <t>NGRANGKAH NO 0 SEPAWON</t>
  </si>
  <si>
    <t>052809</t>
  </si>
  <si>
    <t>514060879353</t>
  </si>
  <si>
    <t>PJU SATAK 231</t>
  </si>
  <si>
    <t>SATAK NO 0 SATAK</t>
  </si>
  <si>
    <t>052875</t>
  </si>
  <si>
    <t>514060879361</t>
  </si>
  <si>
    <t>PJU JARAK 228</t>
  </si>
  <si>
    <t>KALASAN NO 0 JARAK</t>
  </si>
  <si>
    <t>052672</t>
  </si>
  <si>
    <t>514060879379</t>
  </si>
  <si>
    <t>PJU PUNJUL 243</t>
  </si>
  <si>
    <t>PURWOREJO NO 0 PUNJUL</t>
  </si>
  <si>
    <t>052747</t>
  </si>
  <si>
    <t>514060879387</t>
  </si>
  <si>
    <t>PJU GADUNGAN 248</t>
  </si>
  <si>
    <t>GADUNGAN NO 0 GADUNGAN</t>
  </si>
  <si>
    <t>052848</t>
  </si>
  <si>
    <t>514060879395</t>
  </si>
  <si>
    <t>PJU BABADAN EF237</t>
  </si>
  <si>
    <t>052669</t>
  </si>
  <si>
    <t>514060879408</t>
  </si>
  <si>
    <t>PJU LAMONG 253</t>
  </si>
  <si>
    <t>MANGIRAN NO 0 LAMONG</t>
  </si>
  <si>
    <t>052660</t>
  </si>
  <si>
    <t>514060879416</t>
  </si>
  <si>
    <t>PJU SEPAWON EF215</t>
  </si>
  <si>
    <t>NGRANGKAH NO 10 SEPAWON</t>
  </si>
  <si>
    <t>052989</t>
  </si>
  <si>
    <t>514060879424</t>
  </si>
  <si>
    <t>PJU SEMPU 244</t>
  </si>
  <si>
    <t>RINGIN SARI NO 0 SEMPU</t>
  </si>
  <si>
    <t>052954</t>
  </si>
  <si>
    <t>514060879432</t>
  </si>
  <si>
    <t>PJU GADUNGAN EF062</t>
  </si>
  <si>
    <t>SBR BAGE NO 0 GADUNGAN</t>
  </si>
  <si>
    <t>053011</t>
  </si>
  <si>
    <t>514060879440</t>
  </si>
  <si>
    <t>PJU JATIREJO 241</t>
  </si>
  <si>
    <t>JATIREJO NO 0 GADUNGAN</t>
  </si>
  <si>
    <t>052786</t>
  </si>
  <si>
    <t>514060879465</t>
  </si>
  <si>
    <t>PJU SEKOTO 121</t>
  </si>
  <si>
    <t>SEKOTO NO 0 SEKOTO</t>
  </si>
  <si>
    <t>052921</t>
  </si>
  <si>
    <t>514060879481</t>
  </si>
  <si>
    <t>PJU NGANCAR 108</t>
  </si>
  <si>
    <t>REJOMULYO NO 0 NGANCAR</t>
  </si>
  <si>
    <t>052744</t>
  </si>
  <si>
    <t>514060879499</t>
  </si>
  <si>
    <t>PJU TANGGUNGMULYO 226</t>
  </si>
  <si>
    <t>TANGGUNG MULYO NO 0 WONOREJO</t>
  </si>
  <si>
    <t>052656</t>
  </si>
  <si>
    <t>514060879503</t>
  </si>
  <si>
    <t>PJU PELEM 304</t>
  </si>
  <si>
    <t>DR SUTOMO NO 2 PELEM</t>
  </si>
  <si>
    <t>052909</t>
  </si>
  <si>
    <t>514060879511</t>
  </si>
  <si>
    <t>PJU BABADAN 251 C3</t>
  </si>
  <si>
    <t>052781</t>
  </si>
  <si>
    <t>514060879529</t>
  </si>
  <si>
    <t>PJU TEGOWANGI 150</t>
  </si>
  <si>
    <t>TEGOWANGI NO 0 TEGOWANGI</t>
  </si>
  <si>
    <t>052776</t>
  </si>
  <si>
    <t>514060879537</t>
  </si>
  <si>
    <t>PJU DARUNGAN 147</t>
  </si>
  <si>
    <t>DARUNGAN NO 0 DARUNGAN</t>
  </si>
  <si>
    <t>053017</t>
  </si>
  <si>
    <t>514060879545</t>
  </si>
  <si>
    <t>PJU SEPAWON 215</t>
  </si>
  <si>
    <t>BADEK NO 0 SEPAWON</t>
  </si>
  <si>
    <t>052986</t>
  </si>
  <si>
    <t>514060879552</t>
  </si>
  <si>
    <t>PJU LESTARI 224</t>
  </si>
  <si>
    <t>LESTARI NO 0 WONOREJO</t>
  </si>
  <si>
    <t>052942</t>
  </si>
  <si>
    <t>514060879560</t>
  </si>
  <si>
    <t>PJU SEPAWON EF195</t>
  </si>
  <si>
    <t>PETUNGOMBO NO 0 SEPAWON</t>
  </si>
  <si>
    <t>052988</t>
  </si>
  <si>
    <t>514060879578</t>
  </si>
  <si>
    <t>PJU KRENCENG 214</t>
  </si>
  <si>
    <t>KRENCENG NO 0 KRENCENG</t>
  </si>
  <si>
    <t>052773</t>
  </si>
  <si>
    <t>514060879586</t>
  </si>
  <si>
    <t>PJU SEPAWON 216</t>
  </si>
  <si>
    <t>SEPAWON NO 0 SEPAWON</t>
  </si>
  <si>
    <t>053028</t>
  </si>
  <si>
    <t>514060879594</t>
  </si>
  <si>
    <t>PJU POJOK 218</t>
  </si>
  <si>
    <t>BANGSRI NO 0 SELOSARI</t>
  </si>
  <si>
    <t>052795</t>
  </si>
  <si>
    <t>514060879607</t>
  </si>
  <si>
    <t>PJU KEPUNG BARAT EF095</t>
  </si>
  <si>
    <t>KEPUNG BARAT NO 0 KEPUNG</t>
  </si>
  <si>
    <t>052901</t>
  </si>
  <si>
    <t>514060879615</t>
  </si>
  <si>
    <t>PJU POJOK EF058</t>
  </si>
  <si>
    <t>POJOK NO 0 SELOSARI</t>
  </si>
  <si>
    <t>052883</t>
  </si>
  <si>
    <t>514060879623</t>
  </si>
  <si>
    <t>PJU SUMBERAGUNG 223</t>
  </si>
  <si>
    <t>SUMBERAGUNG NO 0 SB AGUNG</t>
  </si>
  <si>
    <t>052825</t>
  </si>
  <si>
    <t>514060879631</t>
  </si>
  <si>
    <t>PJU SUROWONO EF310</t>
  </si>
  <si>
    <t>SUROWONO NO 183 CANGGU</t>
  </si>
  <si>
    <t>052777</t>
  </si>
  <si>
    <t>514060879649</t>
  </si>
  <si>
    <t>PJU MARGOURIP EF041</t>
  </si>
  <si>
    <t>POHGUNUNG NO 0 MARGOURIP</t>
  </si>
  <si>
    <t>052864</t>
  </si>
  <si>
    <t>514060879656</t>
  </si>
  <si>
    <t>PJU BENDO EF027</t>
  </si>
  <si>
    <t>KEDIRI NO 60 BENDO</t>
  </si>
  <si>
    <t>052749</t>
  </si>
  <si>
    <t>514060879664</t>
  </si>
  <si>
    <t>PJU NGANCAR EF119</t>
  </si>
  <si>
    <t>052760</t>
  </si>
  <si>
    <t>514060879672</t>
  </si>
  <si>
    <t>PJU CANGGU EF015</t>
  </si>
  <si>
    <t>MELATI NO 53 CANGGU</t>
  </si>
  <si>
    <t>052910</t>
  </si>
  <si>
    <t>514060879680</t>
  </si>
  <si>
    <t>PJU MARGOURIP 196</t>
  </si>
  <si>
    <t>SUMBER LUMBU NO 0 MARGO URIP</t>
  </si>
  <si>
    <t>052683</t>
  </si>
  <si>
    <t>514060879698</t>
  </si>
  <si>
    <t>PJU GADUNGAN 20</t>
  </si>
  <si>
    <t>TONDO MULYO NO 0 PUNCU</t>
  </si>
  <si>
    <t>068158</t>
  </si>
  <si>
    <t>514060879702</t>
  </si>
  <si>
    <t>PJU TEMPUREJO EF104</t>
  </si>
  <si>
    <t>TEMPUREJO NO 300 TEMPUREJO</t>
  </si>
  <si>
    <t>052808</t>
  </si>
  <si>
    <t>514060879710</t>
  </si>
  <si>
    <t>PJU BENDO 75</t>
  </si>
  <si>
    <t>BENDO KIDUL NO 0 BENDO</t>
  </si>
  <si>
    <t>052843</t>
  </si>
  <si>
    <t>514060879728</t>
  </si>
  <si>
    <t>PJU JATIMULYO 212</t>
  </si>
  <si>
    <t>JATIMULYO NO 0 JATIMULYO</t>
  </si>
  <si>
    <t>052996</t>
  </si>
  <si>
    <t>514060879736</t>
  </si>
  <si>
    <t>PJU TUNGE EF104</t>
  </si>
  <si>
    <t>TUNGE NO 0 TUNGE</t>
  </si>
  <si>
    <t>052866</t>
  </si>
  <si>
    <t>514060879744</t>
  </si>
  <si>
    <t>PJU TEMPUREJO 33</t>
  </si>
  <si>
    <t>TEMPUREJO NO 114 TEMPUREJO</t>
  </si>
  <si>
    <t>052970</t>
  </si>
  <si>
    <t>514060879751</t>
  </si>
  <si>
    <t>PJU DOROK 99</t>
  </si>
  <si>
    <t>DOROK NO 0 MANGGIS</t>
  </si>
  <si>
    <t>053016</t>
  </si>
  <si>
    <t>514060879769</t>
  </si>
  <si>
    <t>PJU KRENCENG 203</t>
  </si>
  <si>
    <t>KWAGEAN NO 0 KRENCENG</t>
  </si>
  <si>
    <t>053002</t>
  </si>
  <si>
    <t>514060879777</t>
  </si>
  <si>
    <t>PJU BRENGGOLO 71 B2</t>
  </si>
  <si>
    <t>RAYA NO 102 BRENGGOLO</t>
  </si>
  <si>
    <t>052789</t>
  </si>
  <si>
    <t>514060879785</t>
  </si>
  <si>
    <t>PJU TULUNGREJO 21</t>
  </si>
  <si>
    <t>LETJEN SUTOYO NO 20 TULUNGREJO</t>
  </si>
  <si>
    <t>052841</t>
  </si>
  <si>
    <t>514060879793</t>
  </si>
  <si>
    <t>PJU PLOSOLOR 30</t>
  </si>
  <si>
    <t>PLOSOLOR NO 37 PLOSOLOR</t>
  </si>
  <si>
    <t>052823</t>
  </si>
  <si>
    <t>514060879806</t>
  </si>
  <si>
    <t>PJU BEDALI EF265</t>
  </si>
  <si>
    <t>BEDALI NO 0 BEDALI</t>
  </si>
  <si>
    <t>053038</t>
  </si>
  <si>
    <t>514060879814</t>
  </si>
  <si>
    <t>PJU SEPAWON EF030</t>
  </si>
  <si>
    <t>052973</t>
  </si>
  <si>
    <t>514060879822</t>
  </si>
  <si>
    <t>PJU BEDALI EF199</t>
  </si>
  <si>
    <t>SUMBER JATI NO 0 BEDALI</t>
  </si>
  <si>
    <t>052734</t>
  </si>
  <si>
    <t>514060879830</t>
  </si>
  <si>
    <t>PJU PELEM 303</t>
  </si>
  <si>
    <t>VETERAN NO 0 PELEM</t>
  </si>
  <si>
    <t>052828</t>
  </si>
  <si>
    <t>514060879848</t>
  </si>
  <si>
    <t>PJU DS JARAK 311 C1</t>
  </si>
  <si>
    <t>ASPARAGA NO 0 TULUNGREJO</t>
  </si>
  <si>
    <t>052738</t>
  </si>
  <si>
    <t>514060879855</t>
  </si>
  <si>
    <t>PJU CENTONG 206</t>
  </si>
  <si>
    <t>BABADAN NO 1 PUHJARAK</t>
  </si>
  <si>
    <t>053023</t>
  </si>
  <si>
    <t>514060879863</t>
  </si>
  <si>
    <t>PJU CENTONG 204</t>
  </si>
  <si>
    <t>GEBYARAN NO 0 PUH JARAK</t>
  </si>
  <si>
    <t>052892</t>
  </si>
  <si>
    <t>514060879871</t>
  </si>
  <si>
    <t>PJU DOROK</t>
  </si>
  <si>
    <t>052974</t>
  </si>
  <si>
    <t>514060879889</t>
  </si>
  <si>
    <t>PJU MANGGIS EF227</t>
  </si>
  <si>
    <t>SUMBERURIP NO 0 MANGGIS</t>
  </si>
  <si>
    <t>052991</t>
  </si>
  <si>
    <t>514060879897</t>
  </si>
  <si>
    <t>PJU MANGGIS 194</t>
  </si>
  <si>
    <t>MANGGIS NO 0 MANGGIS</t>
  </si>
  <si>
    <t>052844</t>
  </si>
  <si>
    <t>514060879901</t>
  </si>
  <si>
    <t>PJU BENDOREJO 207</t>
  </si>
  <si>
    <t>BENDOREJO NO 0 TAWANG</t>
  </si>
  <si>
    <t>052952</t>
  </si>
  <si>
    <t>514060879919</t>
  </si>
  <si>
    <t>PJU BEDALI 270</t>
  </si>
  <si>
    <t>SUMBERPUCUNG NO 0 BEDALI</t>
  </si>
  <si>
    <t>053048</t>
  </si>
  <si>
    <t>514060879927</t>
  </si>
  <si>
    <t>PJU KARANGNONGKO 276</t>
  </si>
  <si>
    <t>KARANG NONGKO NO 0 SB AGUNG</t>
  </si>
  <si>
    <t>052714</t>
  </si>
  <si>
    <t>514060879935</t>
  </si>
  <si>
    <t>PJU SINGGAHAN 281</t>
  </si>
  <si>
    <t>SUMATRA NO 31 PELEM</t>
  </si>
  <si>
    <t>052894</t>
  </si>
  <si>
    <t>514060879943</t>
  </si>
  <si>
    <t>PJU MARGOURIP EF175</t>
  </si>
  <si>
    <t>MARGOURIP NO 0 MARGOURIP</t>
  </si>
  <si>
    <t>052887</t>
  </si>
  <si>
    <t>514060879950</t>
  </si>
  <si>
    <t>PJU SUKOMRAMBIL 267</t>
  </si>
  <si>
    <t>SUKOMRAMBIL NO 0 BEDALI</t>
  </si>
  <si>
    <t>052731</t>
  </si>
  <si>
    <t>514060879968</t>
  </si>
  <si>
    <t>PJU SUMBERBENDO 285</t>
  </si>
  <si>
    <t>SUMBEREJO NO 0 SBR BENDO</t>
  </si>
  <si>
    <t>052712</t>
  </si>
  <si>
    <t>514060879976</t>
  </si>
  <si>
    <t>PJU SUMBERAGUNG 279</t>
  </si>
  <si>
    <t>SUMBER AGUNG NO 0 SB AGUNG</t>
  </si>
  <si>
    <t>052956</t>
  </si>
  <si>
    <t>514060879984</t>
  </si>
  <si>
    <t>PJU DUWET EF176</t>
  </si>
  <si>
    <t>PUCANG ANOM NO 0 DUWET</t>
  </si>
  <si>
    <t>052854</t>
  </si>
  <si>
    <t>514060879992</t>
  </si>
  <si>
    <t>PJU DERMO 284</t>
  </si>
  <si>
    <t>DERMO NO 0 PRANGGANG</t>
  </si>
  <si>
    <t>052774</t>
  </si>
  <si>
    <t>514060880008</t>
  </si>
  <si>
    <t>PJU JIMUS 259</t>
  </si>
  <si>
    <t>JIMUS NO 0 KRG ANYAR</t>
  </si>
  <si>
    <t>052797</t>
  </si>
  <si>
    <t>514060880016</t>
  </si>
  <si>
    <t>PJU PANDANTOYO 305</t>
  </si>
  <si>
    <t>GONDANGLEGI NO 0 GONDANG</t>
  </si>
  <si>
    <t>052893</t>
  </si>
  <si>
    <t>514060880024</t>
  </si>
  <si>
    <t>PJU PLOSOKIDUL 274</t>
  </si>
  <si>
    <t>LOREJO NO 0 PLOSOKIDUL</t>
  </si>
  <si>
    <t>052757</t>
  </si>
  <si>
    <t>514060880032</t>
  </si>
  <si>
    <t>PJU MEJONO 300</t>
  </si>
  <si>
    <t>RAYA NO 177 MEJONO</t>
  </si>
  <si>
    <t>052911</t>
  </si>
  <si>
    <t>514060880040</t>
  </si>
  <si>
    <t>PJU TULUNGREJO 299</t>
  </si>
  <si>
    <t>KUSUMA BANGSA NO 0 TULUNGREJO</t>
  </si>
  <si>
    <t>052709</t>
  </si>
  <si>
    <t>514060880057</t>
  </si>
  <si>
    <t>PJU BEDALI 268</t>
  </si>
  <si>
    <t>052681</t>
  </si>
  <si>
    <t>514060880065</t>
  </si>
  <si>
    <t>PJU MARGOURIP 273</t>
  </si>
  <si>
    <t>KALIGEDOG NO 0 MARGO URIP</t>
  </si>
  <si>
    <t>052984</t>
  </si>
  <si>
    <t>514060880073</t>
  </si>
  <si>
    <t>PJU MARGOURIP 272</t>
  </si>
  <si>
    <t>MARGOURIP NO 0 NGANCAR</t>
  </si>
  <si>
    <t>052755</t>
  </si>
  <si>
    <t>514060880081</t>
  </si>
  <si>
    <t>PJU BEDALI 287</t>
  </si>
  <si>
    <t>052835</t>
  </si>
  <si>
    <t>514060880178</t>
  </si>
  <si>
    <t>PJU SEGARAN T092</t>
  </si>
  <si>
    <t>PARIKESIT NO 0 DUWET</t>
  </si>
  <si>
    <t>052718</t>
  </si>
  <si>
    <t>514060880186</t>
  </si>
  <si>
    <t>PJU KAYUNAN EF114</t>
  </si>
  <si>
    <t>KANTOR DESA NO 0 KAYUNAN</t>
  </si>
  <si>
    <t>052667</t>
  </si>
  <si>
    <t>514060880194</t>
  </si>
  <si>
    <t>PJU JARAK T031</t>
  </si>
  <si>
    <t>053000</t>
  </si>
  <si>
    <t>514060880207</t>
  </si>
  <si>
    <t>PJU KAYUNAN EF114 B13</t>
  </si>
  <si>
    <t>GEREJA NO 0 KAYUNAN</t>
  </si>
  <si>
    <t>052914</t>
  </si>
  <si>
    <t>514060880215</t>
  </si>
  <si>
    <t>PJU PRANGGANG EF165</t>
  </si>
  <si>
    <t>SBR REJO NO 0 PARNGGANG</t>
  </si>
  <si>
    <t>052804</t>
  </si>
  <si>
    <t>514060880223</t>
  </si>
  <si>
    <t>PJU MANGGIS EF132</t>
  </si>
  <si>
    <t>SUMBER URIP NO 0 MANGGIS</t>
  </si>
  <si>
    <t>052822</t>
  </si>
  <si>
    <t>514060880231</t>
  </si>
  <si>
    <t>PJU MIPITAN EF214</t>
  </si>
  <si>
    <t>MIPITAN NO 239 PLOSOLOR</t>
  </si>
  <si>
    <t>052966</t>
  </si>
  <si>
    <t>514060880249</t>
  </si>
  <si>
    <t>PJU KLAMPISAN EF160</t>
  </si>
  <si>
    <t>BANGKOK NO 0 KLAMPISAN</t>
  </si>
  <si>
    <t>053032</t>
  </si>
  <si>
    <t>514060880256</t>
  </si>
  <si>
    <t>PJU SUMBERAGUNG EF055</t>
  </si>
  <si>
    <t>BANJARJO NO 0 PRANGGANG</t>
  </si>
  <si>
    <t>053030</t>
  </si>
  <si>
    <t>514060880264</t>
  </si>
  <si>
    <t>PJU KEPUNG TIMUR D1</t>
  </si>
  <si>
    <t>KEPUNG TIMUR NO 0 KEPUNG</t>
  </si>
  <si>
    <t>053007</t>
  </si>
  <si>
    <t>514060880272</t>
  </si>
  <si>
    <t>PJU KRENCENG EF161</t>
  </si>
  <si>
    <t>JATISARI NO 0 KRENCENG</t>
  </si>
  <si>
    <t>052933</t>
  </si>
  <si>
    <t>514060880280</t>
  </si>
  <si>
    <t>PJU KANDANGAN EF097</t>
  </si>
  <si>
    <t>SARIREJO NO 0 KRGTENGAH</t>
  </si>
  <si>
    <t>052908</t>
  </si>
  <si>
    <t>514060880298</t>
  </si>
  <si>
    <t>PJU KRENCENG EF112</t>
  </si>
  <si>
    <t>TRUNOJOYO NO 0 KRENCENG</t>
  </si>
  <si>
    <t>052778</t>
  </si>
  <si>
    <t>514060880302</t>
  </si>
  <si>
    <t>PJU KARANG TENGAH EF270</t>
  </si>
  <si>
    <t>SARIREJO NO 95 KRGTENGAH</t>
  </si>
  <si>
    <t>052965</t>
  </si>
  <si>
    <t>514060880310</t>
  </si>
  <si>
    <t>PJU PARE EF123 D1</t>
  </si>
  <si>
    <t>ALON ALON NO 0 PARE</t>
  </si>
  <si>
    <t>052670</t>
  </si>
  <si>
    <t>514060880328</t>
  </si>
  <si>
    <t>PJU TEMBORO T090</t>
  </si>
  <si>
    <t>TEMBORO NO 0 PLAOSAN</t>
  </si>
  <si>
    <t>053047</t>
  </si>
  <si>
    <t>514060880336</t>
  </si>
  <si>
    <t>PJU GONDANG EF103</t>
  </si>
  <si>
    <t>NGAGLIK NO 191 GONDANG</t>
  </si>
  <si>
    <t>052783</t>
  </si>
  <si>
    <t>514060880344</t>
  </si>
  <si>
    <t>PJU BRENGGOLO EF166</t>
  </si>
  <si>
    <t>BRENGGOLO NO 215 BRENGGOLO</t>
  </si>
  <si>
    <t>052698</t>
  </si>
  <si>
    <t>514060880351</t>
  </si>
  <si>
    <t>PJU WONOASRI T063</t>
  </si>
  <si>
    <t>WONOASRI NO 0 DARUNGAN</t>
  </si>
  <si>
    <t>053004</t>
  </si>
  <si>
    <t>514060880369</t>
  </si>
  <si>
    <t>PJU KRECEK EF163</t>
  </si>
  <si>
    <t>JOMBANG NO 0 BRINGIN</t>
  </si>
  <si>
    <t>052794</t>
  </si>
  <si>
    <t>514060880377</t>
  </si>
  <si>
    <t>PJU KARANGDINOYO T084</t>
  </si>
  <si>
    <t>KARANGDINOYO NO 0 KEPUNG</t>
  </si>
  <si>
    <t>052807</t>
  </si>
  <si>
    <t>514060880385</t>
  </si>
  <si>
    <t>PJU BRINGIN EF163</t>
  </si>
  <si>
    <t>BUNUT NO 0 BRINGIN</t>
  </si>
  <si>
    <t>052768</t>
  </si>
  <si>
    <t>514060880393</t>
  </si>
  <si>
    <t>PJU TANJUNGANOM EF185</t>
  </si>
  <si>
    <t>TANJUNGANOM NO 0 TUNGE</t>
  </si>
  <si>
    <t>052798</t>
  </si>
  <si>
    <t>514060880406</t>
  </si>
  <si>
    <t>PJU KEPUNG TIMUR T088</t>
  </si>
  <si>
    <t>KEPUNG TIMUR NO 26 KEPUNG</t>
  </si>
  <si>
    <t>052682</t>
  </si>
  <si>
    <t>514060880422</t>
  </si>
  <si>
    <t>PJU PLAOSAN T089</t>
  </si>
  <si>
    <t>PLAOSAN NO 0 PLAOSAN</t>
  </si>
  <si>
    <t>052815</t>
  </si>
  <si>
    <t>514060880430</t>
  </si>
  <si>
    <t>PJU MANGGIS EF132 D7</t>
  </si>
  <si>
    <t>SUMBERURIP NO 353 MANGGIS</t>
  </si>
  <si>
    <t>052708</t>
  </si>
  <si>
    <t>514060880448</t>
  </si>
  <si>
    <t>PJU BUMIREJO EF102</t>
  </si>
  <si>
    <t>053035</t>
  </si>
  <si>
    <t>514060880455</t>
  </si>
  <si>
    <t>PJU WONOREJO TRI EF187</t>
  </si>
  <si>
    <t>WONOREJO TRISULO NO 0 WNREJO TRI</t>
  </si>
  <si>
    <t>052999</t>
  </si>
  <si>
    <t>514060880463</t>
  </si>
  <si>
    <t>PJU DUWET EF174</t>
  </si>
  <si>
    <t>BABATAN NO 0 DUWET</t>
  </si>
  <si>
    <t>052971</t>
  </si>
  <si>
    <t>514060880471</t>
  </si>
  <si>
    <t>PJU KENCONG T094</t>
  </si>
  <si>
    <t>SUMBERSARI NO 0 KENCONG</t>
  </si>
  <si>
    <t>053027</t>
  </si>
  <si>
    <t>514060880489</t>
  </si>
  <si>
    <t>PJU TUNGLUR EF122 B5C7</t>
  </si>
  <si>
    <t>DATUK NO 218 BRINGIN</t>
  </si>
  <si>
    <t>052874</t>
  </si>
  <si>
    <t>514060880497</t>
  </si>
  <si>
    <t>PJU SIDOMULYO EF177</t>
  </si>
  <si>
    <t>SIDOMULYO NO 0 SIDOMULYO</t>
  </si>
  <si>
    <t>052803</t>
  </si>
  <si>
    <t>514060880501</t>
  </si>
  <si>
    <t>PJU SUMBERBENDO EF136</t>
  </si>
  <si>
    <t>LAWU NO 72 SBR BENDO</t>
  </si>
  <si>
    <t>052869</t>
  </si>
  <si>
    <t>514060880519</t>
  </si>
  <si>
    <t>PJU GADUNGAN EF277</t>
  </si>
  <si>
    <t>KELUD NO 51 GADUNGAN</t>
  </si>
  <si>
    <t>053026</t>
  </si>
  <si>
    <t>514060880527</t>
  </si>
  <si>
    <t>PJU SUMBERAGUNG T.50</t>
  </si>
  <si>
    <t>BONDO NO 0 BONDO</t>
  </si>
  <si>
    <t>052713</t>
  </si>
  <si>
    <t>514060880535</t>
  </si>
  <si>
    <t>PJU WATUGEDE C3</t>
  </si>
  <si>
    <t>WATU GEDE NO 0 WATU GEDE</t>
  </si>
  <si>
    <t>053042</t>
  </si>
  <si>
    <t>514060880543</t>
  </si>
  <si>
    <t>PJU GADUNGAN T060</t>
  </si>
  <si>
    <t>052729</t>
  </si>
  <si>
    <t>514060880550</t>
  </si>
  <si>
    <t>PJU MARGOSANTOSO EF083</t>
  </si>
  <si>
    <t>053059</t>
  </si>
  <si>
    <t>514060880568</t>
  </si>
  <si>
    <t>PJU GADUNGAN EF157</t>
  </si>
  <si>
    <t>GADUNGAN NO 60 GADUNGAN</t>
  </si>
  <si>
    <t>052787</t>
  </si>
  <si>
    <t>514060880576</t>
  </si>
  <si>
    <t>PJU KARANG TENGAH EF095</t>
  </si>
  <si>
    <t>TEUKU UMAR NO 345 KLAMPISAN</t>
  </si>
  <si>
    <t>052940</t>
  </si>
  <si>
    <t>514060880584</t>
  </si>
  <si>
    <t>PJU POHREJO T021</t>
  </si>
  <si>
    <t>LETJEN SUTOYO NO 80 TULUNGREJO</t>
  </si>
  <si>
    <t>053015</t>
  </si>
  <si>
    <t>514060880592</t>
  </si>
  <si>
    <t>PJU BETONAN EF113</t>
  </si>
  <si>
    <t>BETONAN NO 0 PELEM</t>
  </si>
  <si>
    <t>052847</t>
  </si>
  <si>
    <t>514060880605</t>
  </si>
  <si>
    <t>PJU CANGGU EF143</t>
  </si>
  <si>
    <t>SIDODADI NO 37 CANGGU</t>
  </si>
  <si>
    <t>052790</t>
  </si>
  <si>
    <t>514060880613</t>
  </si>
  <si>
    <t>PJU DUWET EF173</t>
  </si>
  <si>
    <t>DUWET NO 0 DUWET</t>
  </si>
  <si>
    <t>052856</t>
  </si>
  <si>
    <t>514060880621</t>
  </si>
  <si>
    <t>PJU DONGANTI EF167</t>
  </si>
  <si>
    <t>DONGANTI NO 0 DONGANTI</t>
  </si>
  <si>
    <t>052661</t>
  </si>
  <si>
    <t>514060880639</t>
  </si>
  <si>
    <t>PJU DS JARAK 311 C6</t>
  </si>
  <si>
    <t>SUMATRA NO 3 PELEM</t>
  </si>
  <si>
    <t>052913</t>
  </si>
  <si>
    <t>514060880647</t>
  </si>
  <si>
    <t>JOMBANG NO 244 BRINGIN</t>
  </si>
  <si>
    <t>052855</t>
  </si>
  <si>
    <t>514060880654</t>
  </si>
  <si>
    <t>PJU TUNGLUR EF122</t>
  </si>
  <si>
    <t>POGAR NO 0 TUNGLUR</t>
  </si>
  <si>
    <t>052788</t>
  </si>
  <si>
    <t>514060880662</t>
  </si>
  <si>
    <t>PJU JARAK EF139</t>
  </si>
  <si>
    <t>SAGI NO 249 JARAK</t>
  </si>
  <si>
    <t>052806</t>
  </si>
  <si>
    <t>514060880670</t>
  </si>
  <si>
    <t>PJU TEGOWANGI EF152</t>
  </si>
  <si>
    <t>TANJUNG ANOM NO 0 TEGOWANGI</t>
  </si>
  <si>
    <t>052690</t>
  </si>
  <si>
    <t>514060880688</t>
  </si>
  <si>
    <t>PJU NGANCAR EF109</t>
  </si>
  <si>
    <t>MULYOREJO NO 0 NGANCAR</t>
  </si>
  <si>
    <t>052771</t>
  </si>
  <si>
    <t>514060880696</t>
  </si>
  <si>
    <t>PJU KAYENLOR EF187</t>
  </si>
  <si>
    <t>BANGI NO 0 KAYEN LOR</t>
  </si>
  <si>
    <t>052983</t>
  </si>
  <si>
    <t>514060880700</t>
  </si>
  <si>
    <t>PJU PANDANTOYO D10</t>
  </si>
  <si>
    <t>PANDANTOYO NO 1 PANDANTOYO</t>
  </si>
  <si>
    <t>052680</t>
  </si>
  <si>
    <t>514060880718</t>
  </si>
  <si>
    <t>PJU  MOJOKEREP</t>
  </si>
  <si>
    <t>BANGI NO 0 KAYENLOR</t>
  </si>
  <si>
    <t>052980</t>
  </si>
  <si>
    <t>514060880726</t>
  </si>
  <si>
    <t>PJU WONOREJO EF161</t>
  </si>
  <si>
    <t>BODAG NO 0 WONOREJO</t>
  </si>
  <si>
    <t>052945</t>
  </si>
  <si>
    <t>514060880734</t>
  </si>
  <si>
    <t>PJU MANGGIS EF149</t>
  </si>
  <si>
    <t>052740</t>
  </si>
  <si>
    <t>514060880742</t>
  </si>
  <si>
    <t>PJU KRENCENG EF101</t>
  </si>
  <si>
    <t>KI AGENG MANIS 2 NO 0 KRENCENG</t>
  </si>
  <si>
    <t>052664</t>
  </si>
  <si>
    <t>514060880759</t>
  </si>
  <si>
    <t>PJU MANGGIS EF148</t>
  </si>
  <si>
    <t>JAMBEAN NO 0 MANGGIS</t>
  </si>
  <si>
    <t>052891</t>
  </si>
  <si>
    <t>514060880767</t>
  </si>
  <si>
    <t>PJU CENTONG EF182 D1</t>
  </si>
  <si>
    <t>CENTONG NO 78 LANGENHARJ</t>
  </si>
  <si>
    <t>052821</t>
  </si>
  <si>
    <t>514060880775</t>
  </si>
  <si>
    <t>PJU PARE EF125 T003</t>
  </si>
  <si>
    <t>PENAGGUNGAN NO 0 PARE</t>
  </si>
  <si>
    <t>052932</t>
  </si>
  <si>
    <t>514060880783</t>
  </si>
  <si>
    <t>PJU WATUGEDE C4</t>
  </si>
  <si>
    <t>052704</t>
  </si>
  <si>
    <t>514060880791</t>
  </si>
  <si>
    <t>PJU MEJONO EF137</t>
  </si>
  <si>
    <t>MAWAR NO 0 MEJONO</t>
  </si>
  <si>
    <t>052812</t>
  </si>
  <si>
    <t>514060880804</t>
  </si>
  <si>
    <t>PJU WONOREJO TRI EF188</t>
  </si>
  <si>
    <t>052912</t>
  </si>
  <si>
    <t>514060957367</t>
  </si>
  <si>
    <t>PJU GUNUNG KELUD BOX 3</t>
  </si>
  <si>
    <t>MARGOMULYO NO 0 SUGIHWARAS</t>
  </si>
  <si>
    <t>026117</t>
  </si>
  <si>
    <t>514060957375</t>
  </si>
  <si>
    <t>PJU GUNUNG KELUD BOX 4</t>
  </si>
  <si>
    <t>052995</t>
  </si>
  <si>
    <t>514060991639</t>
  </si>
  <si>
    <t>TAMAN KOTA PARE</t>
  </si>
  <si>
    <t>PK BANGSA NO 0 PARE</t>
  </si>
  <si>
    <t>052751</t>
  </si>
  <si>
    <t>514061170394</t>
  </si>
  <si>
    <t>PJU BENDOREJO WATES</t>
  </si>
  <si>
    <t>BENDOREJO NO 0 WATES</t>
  </si>
  <si>
    <t>052957</t>
  </si>
  <si>
    <t>514061170407</t>
  </si>
  <si>
    <t>PJU CANGGU BADAS</t>
  </si>
  <si>
    <t>CANGGU NO 0 BADAS</t>
  </si>
  <si>
    <t>052992</t>
  </si>
  <si>
    <t>514061212767</t>
  </si>
  <si>
    <t>PJU MEJONO</t>
  </si>
  <si>
    <t>MEJONO NO 0 PLEMAHAN</t>
  </si>
  <si>
    <t>052955</t>
  </si>
  <si>
    <t>514061212775</t>
  </si>
  <si>
    <t>PJU TULUNGREJO (KEMUNING)</t>
  </si>
  <si>
    <t>KEMUNING NO 0 TL REJO</t>
  </si>
  <si>
    <t>052982</t>
  </si>
  <si>
    <t>514061212783</t>
  </si>
  <si>
    <t>PJU TEGOWANGI</t>
  </si>
  <si>
    <t>TEGOWANGI NO 0 PLEMAHAN</t>
  </si>
  <si>
    <t>052716</t>
  </si>
  <si>
    <t>514061239832</t>
  </si>
  <si>
    <t>PJU LANGENHARJO T.183</t>
  </si>
  <si>
    <t>DS LANGENHARJO NO 0 L HARJO</t>
  </si>
  <si>
    <t>052785</t>
  </si>
  <si>
    <t>514061239840</t>
  </si>
  <si>
    <t>PJU SEMANDING, TERTEK 134</t>
  </si>
  <si>
    <t>DK</t>
  </si>
  <si>
    <t>TRETEK NO 0 PARE</t>
  </si>
  <si>
    <t>052725</t>
  </si>
  <si>
    <t>514061239857</t>
  </si>
  <si>
    <t>PJU SUKORAMBIL T.268</t>
  </si>
  <si>
    <t>BEDALI RAMBIL NO 0 BEDEALI</t>
  </si>
  <si>
    <t>052853</t>
  </si>
  <si>
    <t>514061239865</t>
  </si>
  <si>
    <t>PJU SMB BENDO T285</t>
  </si>
  <si>
    <t>SMB BENDO NO 0 SMB BENDO</t>
  </si>
  <si>
    <t>052868</t>
  </si>
  <si>
    <t>514061239873</t>
  </si>
  <si>
    <t>PJU TAWANG T.207</t>
  </si>
  <si>
    <t>052732</t>
  </si>
  <si>
    <t>514061239881</t>
  </si>
  <si>
    <t>PJU BABADAN T.252</t>
  </si>
  <si>
    <t>052752</t>
  </si>
  <si>
    <t>514061239899</t>
  </si>
  <si>
    <t>PJU MARGOURIP T.273</t>
  </si>
  <si>
    <t>052723</t>
  </si>
  <si>
    <t>514061239903</t>
  </si>
  <si>
    <t>PJU GADUNGAN T.144</t>
  </si>
  <si>
    <t>052793</t>
  </si>
  <si>
    <t>514061239911</t>
  </si>
  <si>
    <t>PJU GAYAM T. 264</t>
  </si>
  <si>
    <t>GAYAM NO 0 GAYAM</t>
  </si>
  <si>
    <t>052958</t>
  </si>
  <si>
    <t>514061239929</t>
  </si>
  <si>
    <t>PJU SIDOREJO T.221</t>
  </si>
  <si>
    <t>SIDOREJO NO 0 SIDOREJO</t>
  </si>
  <si>
    <t>053033</t>
  </si>
  <si>
    <t>514061239937</t>
  </si>
  <si>
    <t>PJU TAWANG T.286</t>
  </si>
  <si>
    <t>052780</t>
  </si>
  <si>
    <t>514061239945</t>
  </si>
  <si>
    <t>PJU BUMIREJO KUNJANG 255</t>
  </si>
  <si>
    <t>BUMIREJO NO 0 KUNJANG</t>
  </si>
  <si>
    <t>052852</t>
  </si>
  <si>
    <t>514061239952</t>
  </si>
  <si>
    <t>053057</t>
  </si>
  <si>
    <t>514061239960</t>
  </si>
  <si>
    <t>PJU DS JATIMULYO T.212</t>
  </si>
  <si>
    <t>JATI MULYO NO 0 JATI MULYO</t>
  </si>
  <si>
    <t>052770</t>
  </si>
  <si>
    <t>514061239978</t>
  </si>
  <si>
    <t>PJU MOJOLEGI T.129</t>
  </si>
  <si>
    <t>MOJOLEGI NO 0 MOJOLEGI</t>
  </si>
  <si>
    <t>052944</t>
  </si>
  <si>
    <t>514061239986</t>
  </si>
  <si>
    <t>PJU BRANGGAHAN, KUNJ 258</t>
  </si>
  <si>
    <t>BRANGGAHAN NO 0 KUNJANG</t>
  </si>
  <si>
    <t>052978</t>
  </si>
  <si>
    <t>514061239994</t>
  </si>
  <si>
    <t>PJU TEGOWANGI T.151 A</t>
  </si>
  <si>
    <t>053003</t>
  </si>
  <si>
    <t>514061240000</t>
  </si>
  <si>
    <t>PJU PETUNGROTO T.217</t>
  </si>
  <si>
    <t>PETUNGROTO NO 0 PETUNGROTO</t>
  </si>
  <si>
    <t>052673</t>
  </si>
  <si>
    <t>514061240018</t>
  </si>
  <si>
    <t>PJU JAMBU T.70</t>
  </si>
  <si>
    <t>JAMBU NO 0 JAMBU</t>
  </si>
  <si>
    <t>052858</t>
  </si>
  <si>
    <t>514061240026</t>
  </si>
  <si>
    <t>PJU KARANGNONGKO T.276</t>
  </si>
  <si>
    <t>KARANGNONGKO NO 0 KARANGNONG</t>
  </si>
  <si>
    <t>052772</t>
  </si>
  <si>
    <t>514061240034</t>
  </si>
  <si>
    <t>PJU SUMBER AGUNG T.279</t>
  </si>
  <si>
    <t>052814</t>
  </si>
  <si>
    <t>514061240042</t>
  </si>
  <si>
    <t>PJU SAMBIREJO T.64</t>
  </si>
  <si>
    <t>SAMBIREJO NO 0 SAMBIREJO</t>
  </si>
  <si>
    <t>052860</t>
  </si>
  <si>
    <t>514061240059</t>
  </si>
  <si>
    <t>PJU GEDANG SEWU T.155</t>
  </si>
  <si>
    <t>GEDANG SEWU NO 0 GD SEWU</t>
  </si>
  <si>
    <t>053024</t>
  </si>
  <si>
    <t>514061240067</t>
  </si>
  <si>
    <t>PJU DS WONOREJO T.224</t>
  </si>
  <si>
    <t>WONOREJO NO 0 WONOREJO</t>
  </si>
  <si>
    <t>052871</t>
  </si>
  <si>
    <t>514061240075</t>
  </si>
  <si>
    <t>PJU SEKARAN KIDUL T.210</t>
  </si>
  <si>
    <t>SEKARAN NO 0 SEKARAN</t>
  </si>
  <si>
    <t>052879</t>
  </si>
  <si>
    <t>514061240083</t>
  </si>
  <si>
    <t>PJU  SUMBER BAHAGIA T.233</t>
  </si>
  <si>
    <t>SUMBBER BAHAGIA NO 0 GADUNGAN</t>
  </si>
  <si>
    <t>053031</t>
  </si>
  <si>
    <t>514061240091</t>
  </si>
  <si>
    <t>PJU BRINGIN T.283</t>
  </si>
  <si>
    <t>052961</t>
  </si>
  <si>
    <t>514061240105</t>
  </si>
  <si>
    <t>PJU TEGOWANGI T.151</t>
  </si>
  <si>
    <t>052691</t>
  </si>
  <si>
    <t>514061240113</t>
  </si>
  <si>
    <t>PJU MEJONO T.300</t>
  </si>
  <si>
    <t>MEJONO NO 0 MEJONO</t>
  </si>
  <si>
    <t>053008</t>
  </si>
  <si>
    <t>514061240121</t>
  </si>
  <si>
    <t>PJU SATAK T.232</t>
  </si>
  <si>
    <t>052743</t>
  </si>
  <si>
    <t>514061240139</t>
  </si>
  <si>
    <t>PJU SIDOREJO T.298</t>
  </si>
  <si>
    <t>052695</t>
  </si>
  <si>
    <t>514061240147</t>
  </si>
  <si>
    <t>PJU BUMIREJO, KUNJANG 255</t>
  </si>
  <si>
    <t>KUNJANG NO 0 KUNJANG</t>
  </si>
  <si>
    <t>052733</t>
  </si>
  <si>
    <t>514061240154</t>
  </si>
  <si>
    <t>PJU SAMBIREJO T.046</t>
  </si>
  <si>
    <t>052775</t>
  </si>
  <si>
    <t>514061240162</t>
  </si>
  <si>
    <t>PJU SAMBIREJO T. 192</t>
  </si>
  <si>
    <t>052990</t>
  </si>
  <si>
    <t>514061240170</t>
  </si>
  <si>
    <t>PLOSOLOR NO 0 PLOSOLOR</t>
  </si>
  <si>
    <t>052666</t>
  </si>
  <si>
    <t>514061240188</t>
  </si>
  <si>
    <t>PJU SUMBER AGUNG T.223</t>
  </si>
  <si>
    <t>SUMBER AGUNG NO 0 SUMBER AGU</t>
  </si>
  <si>
    <t>052750</t>
  </si>
  <si>
    <t>514061240196</t>
  </si>
  <si>
    <t>PJU  TEMPUREJO T.33</t>
  </si>
  <si>
    <t>TEMPUREJO NO 0 TEMPUREJO</t>
  </si>
  <si>
    <t>052832</t>
  </si>
  <si>
    <t>514061240209</t>
  </si>
  <si>
    <t>PJU LANGENHARJO T.26</t>
  </si>
  <si>
    <t>LANGEN HARJO NO 0 L HARJO</t>
  </si>
  <si>
    <t>052737</t>
  </si>
  <si>
    <t>514061240217</t>
  </si>
  <si>
    <t>PJU SAMBIREJO T.263</t>
  </si>
  <si>
    <t>053053</t>
  </si>
  <si>
    <t>514061240225</t>
  </si>
  <si>
    <t>PJU JAMBU T.69</t>
  </si>
  <si>
    <t>052937</t>
  </si>
  <si>
    <t>514061240233</t>
  </si>
  <si>
    <t>PJU  SEMPU T.246</t>
  </si>
  <si>
    <t>052925</t>
  </si>
  <si>
    <t>514061240241</t>
  </si>
  <si>
    <t>PJU BABADAN T.251</t>
  </si>
  <si>
    <t>052779</t>
  </si>
  <si>
    <t>514061240258</t>
  </si>
  <si>
    <t>PJU SEMPU T.247</t>
  </si>
  <si>
    <t>052902</t>
  </si>
  <si>
    <t>514061240266</t>
  </si>
  <si>
    <t>PJU BABADAN [ 249 ]</t>
  </si>
  <si>
    <t>053001</t>
  </si>
  <si>
    <t>514061240274</t>
  </si>
  <si>
    <t>PJU CANGU T.213</t>
  </si>
  <si>
    <t>052658</t>
  </si>
  <si>
    <t>514061240282</t>
  </si>
  <si>
    <t>PJU BABADAN T.250</t>
  </si>
  <si>
    <t>052696</t>
  </si>
  <si>
    <t>514061240290</t>
  </si>
  <si>
    <t>052981</t>
  </si>
  <si>
    <t>514061240304</t>
  </si>
  <si>
    <t>PJU SUMBERPETUNGT.046</t>
  </si>
  <si>
    <t>SUMBER PETUNG NO 0 SBR PETUNG</t>
  </si>
  <si>
    <t>052824</t>
  </si>
  <si>
    <t>514061240312</t>
  </si>
  <si>
    <t>PJU MARGOURIP T.272</t>
  </si>
  <si>
    <t>052721</t>
  </si>
  <si>
    <t>514061240320</t>
  </si>
  <si>
    <t>PJU MATRGOURIP .193</t>
  </si>
  <si>
    <t>MATRGOURIP NO 0 MATRGOURI</t>
  </si>
  <si>
    <t>052857</t>
  </si>
  <si>
    <t>514061240338</t>
  </si>
  <si>
    <t>PJU BEDALI T.108</t>
  </si>
  <si>
    <t>052953</t>
  </si>
  <si>
    <t>514061240346</t>
  </si>
  <si>
    <t>PJU DN TANGGUNGMULYO 226</t>
  </si>
  <si>
    <t>TANGGUNG MULYO NO 0 T MULYO</t>
  </si>
  <si>
    <t>052692</t>
  </si>
  <si>
    <t>514061240353</t>
  </si>
  <si>
    <t>PJU DARUNGAN T.07</t>
  </si>
  <si>
    <t>DS DARUNGAN NO 0 DARUNGAN</t>
  </si>
  <si>
    <t>052710</t>
  </si>
  <si>
    <t>514061240361</t>
  </si>
  <si>
    <t>PJU SUKO MRAMBIL T267</t>
  </si>
  <si>
    <t>DS BEDALI NO 0 BEDALI</t>
  </si>
  <si>
    <t>052885</t>
  </si>
  <si>
    <t>514061240379</t>
  </si>
  <si>
    <t>PJU DN TANGGUNGMULYO 226A</t>
  </si>
  <si>
    <t>TANGGUNGMULYO NO 0 T MULYO</t>
  </si>
  <si>
    <t>052802</t>
  </si>
  <si>
    <t>514061240387</t>
  </si>
  <si>
    <t>PJU  NGANCAR T.107</t>
  </si>
  <si>
    <t>052842</t>
  </si>
  <si>
    <t>514061240395</t>
  </si>
  <si>
    <t>PJU SEMPU T.245</t>
  </si>
  <si>
    <t>053054</t>
  </si>
  <si>
    <t>514061240408</t>
  </si>
  <si>
    <t>PJU MANGGIS T.194</t>
  </si>
  <si>
    <t>052985</t>
  </si>
  <si>
    <t>514061240432</t>
  </si>
  <si>
    <t>PJU SAMBIREJO T.048</t>
  </si>
  <si>
    <t>DS SAMBIREJO NO 0 SAMBIREJO</t>
  </si>
  <si>
    <t>053036</t>
  </si>
  <si>
    <t>514061240440</t>
  </si>
  <si>
    <t>PJU MARGOURIP T.197</t>
  </si>
  <si>
    <t>052895</t>
  </si>
  <si>
    <t>514061240457</t>
  </si>
  <si>
    <t>PJU BEDALI T.287</t>
  </si>
  <si>
    <t>052924</t>
  </si>
  <si>
    <t>514061240465</t>
  </si>
  <si>
    <t>PJU JARAK T.311</t>
  </si>
  <si>
    <t>JARAK NO 0 JARAK</t>
  </si>
  <si>
    <t>052890</t>
  </si>
  <si>
    <t>514061240473</t>
  </si>
  <si>
    <t>PJU KENCONG T.236</t>
  </si>
  <si>
    <t>DS KENCONG NO 0 KENCONG</t>
  </si>
  <si>
    <t>052979</t>
  </si>
  <si>
    <t>514061240481</t>
  </si>
  <si>
    <t>PJU JARAK T.139</t>
  </si>
  <si>
    <t>052811</t>
  </si>
  <si>
    <t>514061240499</t>
  </si>
  <si>
    <t>PJU KARANG ANYAR T.259</t>
  </si>
  <si>
    <t>KARANG ANYAR NO 0 KR ANYAR</t>
  </si>
  <si>
    <t>052727</t>
  </si>
  <si>
    <t>514061240503</t>
  </si>
  <si>
    <t>PJU LAMONG T.253</t>
  </si>
  <si>
    <t>DS LAMONG NO 0 LAMONG</t>
  </si>
  <si>
    <t>052711</t>
  </si>
  <si>
    <t>514061240511</t>
  </si>
  <si>
    <t>KEDUNG MALANG NO 0 KD MALANG</t>
  </si>
  <si>
    <t>052675</t>
  </si>
  <si>
    <t>514061256427</t>
  </si>
  <si>
    <t>PJU SRI ARUM</t>
  </si>
  <si>
    <t>SRI ARUM RESIDANCE II NO 0 PELEM</t>
  </si>
  <si>
    <t>052735</t>
  </si>
  <si>
    <t>514061259379</t>
  </si>
  <si>
    <t>PJU KUNJANG NGANCAR</t>
  </si>
  <si>
    <t>KUNJANG NO 0 NGANCAR</t>
  </si>
  <si>
    <t>052997</t>
  </si>
  <si>
    <t>514061263062</t>
  </si>
  <si>
    <t>PJU PLEMAHAN</t>
  </si>
  <si>
    <t>PLEMAHAN NO 0 PLEMAHAN</t>
  </si>
  <si>
    <t>052849</t>
  </si>
  <si>
    <t>514061281464</t>
  </si>
  <si>
    <t>PJU NUANSA BRINGIN ASRI</t>
  </si>
  <si>
    <t>NUANSA BRINGIN ASRI NO 0 BRINGIN</t>
  </si>
  <si>
    <t>008654</t>
  </si>
  <si>
    <t>514061297036</t>
  </si>
  <si>
    <t>PJU DS SUMBERBENDO</t>
  </si>
  <si>
    <t>SUMBERBENDO NO 0 PARE</t>
  </si>
  <si>
    <t>052846</t>
  </si>
  <si>
    <t>514061329807</t>
  </si>
  <si>
    <t>PJU PLOSOKLATEN</t>
  </si>
  <si>
    <t>PLOSO KIDUL NO 0 PLOSOKLATE</t>
  </si>
  <si>
    <t>052758</t>
  </si>
  <si>
    <t>514061354248</t>
  </si>
  <si>
    <t>PJU GREEN PARE RESIDENCE</t>
  </si>
  <si>
    <t>GREEN PARE RESIDENCE 1 NO</t>
  </si>
  <si>
    <t>052703</t>
  </si>
  <si>
    <t>514061354782</t>
  </si>
  <si>
    <t>PJU RESIDENCE 2</t>
  </si>
  <si>
    <t>GREEN PARE R.II NO</t>
  </si>
  <si>
    <t>016666</t>
  </si>
  <si>
    <t>514061376735</t>
  </si>
  <si>
    <t>PJU DS BRINGIN KEC BADAS</t>
  </si>
  <si>
    <t>BRINGIN GARDU 058 C1B12 NO 0 BADAS</t>
  </si>
  <si>
    <t>047146</t>
  </si>
  <si>
    <t>514061399046</t>
  </si>
  <si>
    <t>PJU PERUMAHAN SRIARUM 2</t>
  </si>
  <si>
    <t>SRI ARUM NO 0 BENDO</t>
  </si>
  <si>
    <t>018495</t>
  </si>
  <si>
    <t>514061406947</t>
  </si>
  <si>
    <t>PJU PLOSOLOR</t>
  </si>
  <si>
    <t>PLOSO LOR NO 0 PLOSO LOR</t>
  </si>
  <si>
    <t>043563</t>
  </si>
  <si>
    <t>514061429386</t>
  </si>
  <si>
    <t>PJU PR PURI SMBRBENDO ASR</t>
  </si>
  <si>
    <t>PURI SUMBERBENDO ASRI NO   SUMBERBEND</t>
  </si>
  <si>
    <t>007918</t>
  </si>
  <si>
    <t>514061440318</t>
  </si>
  <si>
    <t>PJU RUAS JALAN KRANGGAN</t>
  </si>
  <si>
    <t>KRANGGAN NO   PLOSOKIDUL</t>
  </si>
  <si>
    <t>052943</t>
  </si>
  <si>
    <t>514061445613</t>
  </si>
  <si>
    <t>PJU JALAN ANYELIR</t>
  </si>
  <si>
    <t>ANYELIR NO   TULUNGREJO</t>
  </si>
  <si>
    <t>053022</t>
  </si>
  <si>
    <t>514061445621</t>
  </si>
  <si>
    <t>PJU JALAN BRAWIJAYA</t>
  </si>
  <si>
    <t>PJU JALAN BRAWIJAYA NO   TULUNGREJO</t>
  </si>
  <si>
    <t>052888</t>
  </si>
  <si>
    <t>514061445639</t>
  </si>
  <si>
    <t>PJU JALAN VETERAN</t>
  </si>
  <si>
    <t>052679</t>
  </si>
  <si>
    <t>514061445647</t>
  </si>
  <si>
    <t>PJU JALAN LANTAMA</t>
  </si>
  <si>
    <t>LAMTANA NO   TULUNGREJO</t>
  </si>
  <si>
    <t>052960</t>
  </si>
  <si>
    <t>514061448922</t>
  </si>
  <si>
    <t>PJU RUAS JL SEMPU-SUGIHWA</t>
  </si>
  <si>
    <t>RUAS JALAN SEMPU-SUGIHWARAS NO   EF246 A3</t>
  </si>
  <si>
    <t>011672</t>
  </si>
  <si>
    <t>514061483697</t>
  </si>
  <si>
    <t>PJU TROTOAR PASAR WATES</t>
  </si>
  <si>
    <t>RAYA NO 0 TAWANG</t>
  </si>
  <si>
    <t>006417</t>
  </si>
  <si>
    <t>514060662630</t>
  </si>
  <si>
    <t>PJU DS KEPUNG</t>
  </si>
  <si>
    <t>KEPUNG NO 0 KEPUNG</t>
  </si>
  <si>
    <t>053049</t>
  </si>
  <si>
    <t>514060659694</t>
  </si>
  <si>
    <t>PJU DS KEPUNG BARAT (86)</t>
  </si>
  <si>
    <t>052851</t>
  </si>
  <si>
    <t>514060760562</t>
  </si>
  <si>
    <t>PJU DS WONOREJO (229)</t>
  </si>
  <si>
    <t>052915</t>
  </si>
  <si>
    <t>514060760513</t>
  </si>
  <si>
    <t>053058</t>
  </si>
  <si>
    <t>514060659732</t>
  </si>
  <si>
    <t>PJU DS KARANGDINOYO (85)</t>
  </si>
  <si>
    <t>KARANG DINOYO NO 0 KEPUNG</t>
  </si>
  <si>
    <t>052746</t>
  </si>
  <si>
    <t>514060651111</t>
  </si>
  <si>
    <t>PJ DN KWAGEAN KRENCENG</t>
  </si>
  <si>
    <t>KWAGEAN NO 203 KRENCENG</t>
  </si>
  <si>
    <t>052730</t>
  </si>
  <si>
    <t>514060760227</t>
  </si>
  <si>
    <t>PJU DS SEPAWON</t>
  </si>
  <si>
    <t>052880</t>
  </si>
  <si>
    <t>514060664436</t>
  </si>
  <si>
    <t>PJU DS MARGOURIP</t>
  </si>
  <si>
    <t>MARGO URIP NO 0 MARGOURIP</t>
  </si>
  <si>
    <t>052976</t>
  </si>
  <si>
    <t>514060760389</t>
  </si>
  <si>
    <t>PJU DS KAYENLOR T41</t>
  </si>
  <si>
    <t>052819</t>
  </si>
  <si>
    <t>514060760355</t>
  </si>
  <si>
    <t>PJU DS PADANGAN T209</t>
  </si>
  <si>
    <t>PADANGAN NO 0 PADANGAN</t>
  </si>
  <si>
    <t>052792</t>
  </si>
  <si>
    <t>514060760348</t>
  </si>
  <si>
    <t>PJU DS SEKARAN LOR T145</t>
  </si>
  <si>
    <t>SEKARAN LOR NO 0 SEKARAN</t>
  </si>
  <si>
    <t>052839</t>
  </si>
  <si>
    <t>514060760363</t>
  </si>
  <si>
    <t>PJU DS JAMBU</t>
  </si>
  <si>
    <t>052685</t>
  </si>
  <si>
    <t>514060587538</t>
  </si>
  <si>
    <t>PJU SIMPANG EMPAT</t>
  </si>
  <si>
    <t>SAMBIREJO NO   0 PARE</t>
  </si>
  <si>
    <t>053060</t>
  </si>
  <si>
    <t>514060651186</t>
  </si>
  <si>
    <t>PJ DS ADAN ADAN</t>
  </si>
  <si>
    <t>ADAN ADAN NO 0 ADAN ADAN</t>
  </si>
  <si>
    <t>052784</t>
  </si>
  <si>
    <t>514060760276</t>
  </si>
  <si>
    <t>PJU DS ADAN-ADAN T 45</t>
  </si>
  <si>
    <t>ADAN - ADAN NO 0 ADAN-ADAN</t>
  </si>
  <si>
    <t>052884</t>
  </si>
  <si>
    <t>514060760284</t>
  </si>
  <si>
    <t>PJU DS GAYAM T44</t>
  </si>
  <si>
    <t>052870</t>
  </si>
  <si>
    <t>514060643045</t>
  </si>
  <si>
    <t>PJ CANGGU GD 162</t>
  </si>
  <si>
    <t>052748</t>
  </si>
  <si>
    <t>514060642993</t>
  </si>
  <si>
    <t>PJ GADUNGAN GD 248</t>
  </si>
  <si>
    <t>052936</t>
  </si>
  <si>
    <t>514060642985</t>
  </si>
  <si>
    <t>PJ GADUNGAN GD 60</t>
  </si>
  <si>
    <t>052837</t>
  </si>
  <si>
    <t>514060643060</t>
  </si>
  <si>
    <t>PJ DOROK GD 99</t>
  </si>
  <si>
    <t>052861</t>
  </si>
  <si>
    <t>514060646147</t>
  </si>
  <si>
    <t>PJU DOROK (99)</t>
  </si>
  <si>
    <t>052934</t>
  </si>
  <si>
    <t>514060656138</t>
  </si>
  <si>
    <t>PJU TEMPLEK ( 290 )</t>
  </si>
  <si>
    <t>TEMPLEK NO 0 DARUNGAN</t>
  </si>
  <si>
    <t>052829</t>
  </si>
  <si>
    <t>514060760491</t>
  </si>
  <si>
    <t>PJU DS GEDANG SEWU</t>
  </si>
  <si>
    <t>052872</t>
  </si>
  <si>
    <t>514060639463</t>
  </si>
  <si>
    <t>PERTIGAAN BALAI DESA</t>
  </si>
  <si>
    <t>053050</t>
  </si>
  <si>
    <t>514060565081</t>
  </si>
  <si>
    <t>PJU SIMPANG TIGA</t>
  </si>
  <si>
    <t>GEBANG SEWU NO   0 PARE</t>
  </si>
  <si>
    <t>053019</t>
  </si>
  <si>
    <t>514060662648</t>
  </si>
  <si>
    <t>PJU DS GEDANGSEWU</t>
  </si>
  <si>
    <t>052805</t>
  </si>
  <si>
    <t>514060662622</t>
  </si>
  <si>
    <t>PJU DS GADUNGAN</t>
  </si>
  <si>
    <t>052917</t>
  </si>
  <si>
    <t>514060657720</t>
  </si>
  <si>
    <t>PJU DS KUNJANG ( 118 )</t>
  </si>
  <si>
    <t>052922</t>
  </si>
  <si>
    <t>514060760633</t>
  </si>
  <si>
    <t>PJU DS KUNJANG</t>
  </si>
  <si>
    <t>053043</t>
  </si>
  <si>
    <t>514060659686</t>
  </si>
  <si>
    <t>PJU DS DARUNGAN ( 147 )</t>
  </si>
  <si>
    <t>052724</t>
  </si>
  <si>
    <t>514060643078</t>
  </si>
  <si>
    <t>PJ TONDO WONGSO GD 262</t>
  </si>
  <si>
    <t>TONDOWONGSO NO 0 GAYAM</t>
  </si>
  <si>
    <t>052968</t>
  </si>
  <si>
    <t>514060662528</t>
  </si>
  <si>
    <t>PJU DS TIRU LOR</t>
  </si>
  <si>
    <t>TIRU LOR NO 0 TIRU LOR</t>
  </si>
  <si>
    <t>052929</t>
  </si>
  <si>
    <t>514060662510</t>
  </si>
  <si>
    <t>PJU DS SIDOREJO</t>
  </si>
  <si>
    <t>053014</t>
  </si>
  <si>
    <t>514060760505</t>
  </si>
  <si>
    <t>053034</t>
  </si>
  <si>
    <t>514060622165</t>
  </si>
  <si>
    <t>NGASEM NO 0 NGASEM</t>
  </si>
  <si>
    <t>052987</t>
  </si>
  <si>
    <t>514060662663</t>
  </si>
  <si>
    <t>PJU DS TEMPUREJO</t>
  </si>
  <si>
    <t>052977</t>
  </si>
  <si>
    <t>514060760250</t>
  </si>
  <si>
    <t>PJU DS JARAK T111</t>
  </si>
  <si>
    <t>052706</t>
  </si>
  <si>
    <t>514060662577</t>
  </si>
  <si>
    <t>PJU DS NGLUMBANG</t>
  </si>
  <si>
    <t>NGLUMBANG NO 0 NGLUMBANG</t>
  </si>
  <si>
    <t>052947</t>
  </si>
  <si>
    <t>514060662585</t>
  </si>
  <si>
    <t>PJU DS BLIMBING</t>
  </si>
  <si>
    <t>BLIMBING NO 0 BLIMBING</t>
  </si>
  <si>
    <t>052817</t>
  </si>
  <si>
    <t>514060760330</t>
  </si>
  <si>
    <t>PJU BLIMBING T117</t>
  </si>
  <si>
    <t>052994</t>
  </si>
  <si>
    <t>514060760322</t>
  </si>
  <si>
    <t>PJU DS NGASEM T115</t>
  </si>
  <si>
    <t>052697</t>
  </si>
  <si>
    <t>514060662569</t>
  </si>
  <si>
    <t>PJU DS NGASEM</t>
  </si>
  <si>
    <t>052920</t>
  </si>
  <si>
    <t>514060622173</t>
  </si>
  <si>
    <t>052687</t>
  </si>
  <si>
    <t>514060760314</t>
  </si>
  <si>
    <t>PJU DS BANGKOK T65</t>
  </si>
  <si>
    <t>BANGKOK NO 0 BANGKOK</t>
  </si>
  <si>
    <t>052671</t>
  </si>
  <si>
    <t>514061389764</t>
  </si>
  <si>
    <t>PJU GREEN PARE RECIDENCE</t>
  </si>
  <si>
    <t>PR. GREEN PARE RECIDENCE 3    PARE</t>
  </si>
  <si>
    <t>052840</t>
  </si>
  <si>
    <t>JUMLAH ULP PARE</t>
  </si>
  <si>
    <t>WILAYAH ULP NGADILUWIH</t>
  </si>
  <si>
    <t>000200</t>
  </si>
  <si>
    <t>BLABAK</t>
  </si>
  <si>
    <t>000489</t>
  </si>
  <si>
    <t>REMBANG</t>
  </si>
  <si>
    <t>000117</t>
  </si>
  <si>
    <t>000137</t>
  </si>
  <si>
    <t>RINGINREJO</t>
  </si>
  <si>
    <t>SUMBERJO</t>
  </si>
  <si>
    <t>000406</t>
  </si>
  <si>
    <t>DAWUNG</t>
  </si>
  <si>
    <t>SUSUHBANGO</t>
  </si>
  <si>
    <t>000493</t>
  </si>
  <si>
    <t>WATES POJOK</t>
  </si>
  <si>
    <t>000007</t>
  </si>
  <si>
    <t>SIDOMULYO</t>
  </si>
  <si>
    <t>000376</t>
  </si>
  <si>
    <t>TEGALAN</t>
  </si>
  <si>
    <t>000334</t>
  </si>
  <si>
    <t>WONOREJO WATES</t>
  </si>
  <si>
    <t>000017</t>
  </si>
  <si>
    <t>SAMBI KANDAT</t>
  </si>
  <si>
    <t>000018</t>
  </si>
  <si>
    <t>PAGU WATES</t>
  </si>
  <si>
    <t>000071</t>
  </si>
  <si>
    <t>RINGINSARI KANDAT</t>
  </si>
  <si>
    <t>BANGLE NGADILUWIH</t>
  </si>
  <si>
    <t>000015</t>
  </si>
  <si>
    <t>JEMEKAN KRAS</t>
  </si>
  <si>
    <t>000218</t>
  </si>
  <si>
    <t>BLEBER PELAS KRAS</t>
  </si>
  <si>
    <t>NGLETIH KANDAT</t>
  </si>
  <si>
    <t>000338</t>
  </si>
  <si>
    <t>BOLODEWO WONOREJO</t>
  </si>
  <si>
    <t>000308</t>
  </si>
  <si>
    <t>SILIR WATES</t>
  </si>
  <si>
    <t>000273</t>
  </si>
  <si>
    <t>BADAL NGADILUWIH</t>
  </si>
  <si>
    <t>000005</t>
  </si>
  <si>
    <t>BANJARANYAR KRAS</t>
  </si>
  <si>
    <t>000440</t>
  </si>
  <si>
    <t>BADAL PANDEAN</t>
  </si>
  <si>
    <t>000062</t>
  </si>
  <si>
    <t>NAMBAKAN RG.REJO</t>
  </si>
  <si>
    <t>PURWODADI RG.REJO</t>
  </si>
  <si>
    <t>000378</t>
  </si>
  <si>
    <t>SELODONO RG.REJO</t>
  </si>
  <si>
    <t>KANDAT</t>
  </si>
  <si>
    <t>000033</t>
  </si>
  <si>
    <t>BLABAK KANDAT</t>
  </si>
  <si>
    <t>000474</t>
  </si>
  <si>
    <t>PULE SELATAN KDT.</t>
  </si>
  <si>
    <t>SUMBERJO KANDAT</t>
  </si>
  <si>
    <t>GADUNGAN WATES</t>
  </si>
  <si>
    <t>000056</t>
  </si>
  <si>
    <t>TEMPUREJO WATES</t>
  </si>
  <si>
    <t>BLEBER  KRAS</t>
  </si>
  <si>
    <t>TAMBANGAN NGD.</t>
  </si>
  <si>
    <t>000004</t>
  </si>
  <si>
    <t>UDANAWU BLITAR</t>
  </si>
  <si>
    <t>000256</t>
  </si>
  <si>
    <t>JOHO WATES</t>
  </si>
  <si>
    <t>000400</t>
  </si>
  <si>
    <t>BEDUG NGADILUWIH</t>
  </si>
  <si>
    <t>000193</t>
  </si>
  <si>
    <t>TEGALAN KANDAT</t>
  </si>
  <si>
    <t>RAYA KANDAT</t>
  </si>
  <si>
    <t>000407</t>
  </si>
  <si>
    <t>TALES</t>
  </si>
  <si>
    <t>000447</t>
  </si>
  <si>
    <t>NGADIREJO</t>
  </si>
  <si>
    <t>000239</t>
  </si>
  <si>
    <t>SEMBUNGREJO DAWUNG</t>
  </si>
  <si>
    <t>000341</t>
  </si>
  <si>
    <t>CANGKRING</t>
  </si>
  <si>
    <t>000322</t>
  </si>
  <si>
    <t>NGROMBEH</t>
  </si>
  <si>
    <t>000351</t>
  </si>
  <si>
    <t>BRANGGAHAN</t>
  </si>
  <si>
    <t>000237</t>
  </si>
  <si>
    <t>PURW0REJO</t>
  </si>
  <si>
    <t>000253</t>
  </si>
  <si>
    <t>CENDONO</t>
  </si>
  <si>
    <t>000484</t>
  </si>
  <si>
    <t>KALILANANG</t>
  </si>
  <si>
    <t>000230</t>
  </si>
  <si>
    <t>BANJAREJO</t>
  </si>
  <si>
    <t>000422</t>
  </si>
  <si>
    <t>DUKUH</t>
  </si>
  <si>
    <t>000408</t>
  </si>
  <si>
    <t>BATUAJI</t>
  </si>
  <si>
    <t>000476</t>
  </si>
  <si>
    <t>SELOSARI KANDAT</t>
  </si>
  <si>
    <t>SLUMBUNG</t>
  </si>
  <si>
    <t>000012</t>
  </si>
  <si>
    <t>KARANGREJO KANDAT</t>
  </si>
  <si>
    <t>SENTUL</t>
  </si>
  <si>
    <t>000066</t>
  </si>
  <si>
    <t>000365</t>
  </si>
  <si>
    <t>BARAN</t>
  </si>
  <si>
    <t>000403</t>
  </si>
  <si>
    <t>JATEN BLABAK</t>
  </si>
  <si>
    <t>000021</t>
  </si>
  <si>
    <t>000244</t>
  </si>
  <si>
    <t>BEDUG</t>
  </si>
  <si>
    <t>000523</t>
  </si>
  <si>
    <t>TAWANGREJO</t>
  </si>
  <si>
    <t>000120</t>
  </si>
  <si>
    <t>DEYENG RINGINREJO</t>
  </si>
  <si>
    <t>PJU NGADILUWIH SELATAN</t>
  </si>
  <si>
    <t>NGADILUWIH SELATAN</t>
  </si>
  <si>
    <t>000057</t>
  </si>
  <si>
    <t>PJU SLUMBUNG 1</t>
  </si>
  <si>
    <t>000324</t>
  </si>
  <si>
    <t>PJU SAMBI 1</t>
  </si>
  <si>
    <t>PJU NGLUNGUR</t>
  </si>
  <si>
    <t>NGLUNGUR</t>
  </si>
  <si>
    <t>000195</t>
  </si>
  <si>
    <t>PJU DEYENG 2</t>
  </si>
  <si>
    <t>TAMRIN DEYENG</t>
  </si>
  <si>
    <t>000205</t>
  </si>
  <si>
    <t>PJU CENDONO 2</t>
  </si>
  <si>
    <t>CENDONOSARI</t>
  </si>
  <si>
    <t>000528</t>
  </si>
  <si>
    <t>PJU KANDAT</t>
  </si>
  <si>
    <t>NGLARANGAN</t>
  </si>
  <si>
    <t>PJU DUKUH SELATAN</t>
  </si>
  <si>
    <t>DUKUH SELATAN</t>
  </si>
  <si>
    <t>PJU BEDUG TIMUR</t>
  </si>
  <si>
    <t>000339</t>
  </si>
  <si>
    <t>PJU DUKUH</t>
  </si>
  <si>
    <t>NGADILUWIH</t>
  </si>
  <si>
    <t>PJU SAMBI 2</t>
  </si>
  <si>
    <t>SAMBI RGN.REJO</t>
  </si>
  <si>
    <t>000529</t>
  </si>
  <si>
    <t>PJU BLABAK</t>
  </si>
  <si>
    <t>000250</t>
  </si>
  <si>
    <t>PJU PULE</t>
  </si>
  <si>
    <t>PULE</t>
  </si>
  <si>
    <t>000027</t>
  </si>
  <si>
    <t>PJU NAMBAAN 1</t>
  </si>
  <si>
    <t>NAMBAAN RG.REJO</t>
  </si>
  <si>
    <t>PJU BANGLE</t>
  </si>
  <si>
    <t>BANGLE</t>
  </si>
  <si>
    <t>PJU REMBANG 2</t>
  </si>
  <si>
    <t>PJU BATUAJI 2</t>
  </si>
  <si>
    <t>BATUAJI RGN.REJO</t>
  </si>
  <si>
    <t>PJU SLUMBUNG</t>
  </si>
  <si>
    <t>PJU JEMEKAN</t>
  </si>
  <si>
    <t>000275</t>
  </si>
  <si>
    <t>PJU BADAL</t>
  </si>
  <si>
    <t>BADAL</t>
  </si>
  <si>
    <t>PJU SUMBEREJO</t>
  </si>
  <si>
    <t>PJU PURWOKERTO</t>
  </si>
  <si>
    <t>PURWOKERTO</t>
  </si>
  <si>
    <t>000041</t>
  </si>
  <si>
    <t>PJU KARANGREJO 2</t>
  </si>
  <si>
    <t>KARANGREJO</t>
  </si>
  <si>
    <t>PJU DAWUNG 4</t>
  </si>
  <si>
    <t>000049</t>
  </si>
  <si>
    <t>PJU DEYENG 1</t>
  </si>
  <si>
    <t>DEYENG</t>
  </si>
  <si>
    <t>000304</t>
  </si>
  <si>
    <t>000158</t>
  </si>
  <si>
    <t>PJU DAWUNG 2</t>
  </si>
  <si>
    <t>PJU DEYENG 7</t>
  </si>
  <si>
    <t>000240</t>
  </si>
  <si>
    <t>PJU NGADILUWIH</t>
  </si>
  <si>
    <t>000321</t>
  </si>
  <si>
    <t>PJU BEDUG</t>
  </si>
  <si>
    <t>000141</t>
  </si>
  <si>
    <t>PJU NGADILOYO</t>
  </si>
  <si>
    <t>NGADILOYO</t>
  </si>
  <si>
    <t>000294</t>
  </si>
  <si>
    <t>PJU NGLETIH</t>
  </si>
  <si>
    <t>000096</t>
  </si>
  <si>
    <t>PJU TALES</t>
  </si>
  <si>
    <t>000316</t>
  </si>
  <si>
    <t>PJU WERU</t>
  </si>
  <si>
    <t>PJU KARANGREJO 3</t>
  </si>
  <si>
    <t>PJU TALES SELATAN</t>
  </si>
  <si>
    <t>000238</t>
  </si>
  <si>
    <t>PJU DEYENG 5</t>
  </si>
  <si>
    <t>000481</t>
  </si>
  <si>
    <t>PJU DAWUNG 1</t>
  </si>
  <si>
    <t>DAWUNG RINGINREJO</t>
  </si>
  <si>
    <t>000209</t>
  </si>
  <si>
    <t>PJU NGRECO</t>
  </si>
  <si>
    <t>NGRECO</t>
  </si>
  <si>
    <t>PJU NGADIREJO 1</t>
  </si>
  <si>
    <t>PJU BRANGGAHAN 1</t>
  </si>
  <si>
    <t>PJU SAMBI 3</t>
  </si>
  <si>
    <t>000424</t>
  </si>
  <si>
    <t>PJU DEYENG 6</t>
  </si>
  <si>
    <t>DEYENG KANDAT</t>
  </si>
  <si>
    <t>000159</t>
  </si>
  <si>
    <t>PJU TALES 1</t>
  </si>
  <si>
    <t>000530</t>
  </si>
  <si>
    <t>PJU BRANGGAHAN</t>
  </si>
  <si>
    <t>000207</t>
  </si>
  <si>
    <t>PJU SAMBI BARAT</t>
  </si>
  <si>
    <t>SAMBI</t>
  </si>
  <si>
    <t>000095</t>
  </si>
  <si>
    <t>PJU DEYENG 3</t>
  </si>
  <si>
    <t>PATILALER DEYENG</t>
  </si>
  <si>
    <t>000010</t>
  </si>
  <si>
    <t>PJU SELOSARI 1</t>
  </si>
  <si>
    <t>SELOSARI</t>
  </si>
  <si>
    <t>000198</t>
  </si>
  <si>
    <t>PJU DAWUNG 5</t>
  </si>
  <si>
    <t>000270</t>
  </si>
  <si>
    <t>PJU DAWUNG</t>
  </si>
  <si>
    <t>PJU CENDONO 3</t>
  </si>
  <si>
    <t>000428</t>
  </si>
  <si>
    <t>PJU SLUMBUNG 2</t>
  </si>
  <si>
    <t>000332</t>
  </si>
  <si>
    <t>PJU CENDONO 4</t>
  </si>
  <si>
    <t>DUMPUNG</t>
  </si>
  <si>
    <t>000268</t>
  </si>
  <si>
    <t>PJU SELOMANEN</t>
  </si>
  <si>
    <t>SELOMANEN</t>
  </si>
  <si>
    <t>000382</t>
  </si>
  <si>
    <t>PJU PURWODADI</t>
  </si>
  <si>
    <t>000087</t>
  </si>
  <si>
    <t>PJU DSN TUGUREJO</t>
  </si>
  <si>
    <t>DUSUN TUGUREJO</t>
  </si>
  <si>
    <t>PJU JAMEKAN</t>
  </si>
  <si>
    <t>JAMEKAN</t>
  </si>
  <si>
    <t>PJU  POJOK</t>
  </si>
  <si>
    <t>POJOK WATES</t>
  </si>
  <si>
    <t>000157</t>
  </si>
  <si>
    <t>PJU NGERCO</t>
  </si>
  <si>
    <t>NGERCO</t>
  </si>
  <si>
    <t>000075</t>
  </si>
  <si>
    <t>PJU  BEDUG</t>
  </si>
  <si>
    <t>000328</t>
  </si>
  <si>
    <t>PJU KARTOSARI</t>
  </si>
  <si>
    <t>KARTOSARI KANDAT</t>
  </si>
  <si>
    <t>PJU BANJARANYAR KRAS</t>
  </si>
  <si>
    <t>BANJARANYAR</t>
  </si>
  <si>
    <t>PJU  PAGU 1</t>
  </si>
  <si>
    <t>PJU BADAL PANDEAN</t>
  </si>
  <si>
    <t>000468</t>
  </si>
  <si>
    <t>PJU CENDONO</t>
  </si>
  <si>
    <t>CENDONO KANDAT</t>
  </si>
  <si>
    <t>000245</t>
  </si>
  <si>
    <t>PJU JAMBEAN SEKETI</t>
  </si>
  <si>
    <t>JAMBEAN SEKETI</t>
  </si>
  <si>
    <t>000188</t>
  </si>
  <si>
    <t>PJU JAMBEAN</t>
  </si>
  <si>
    <t>JAMBEAN</t>
  </si>
  <si>
    <t>000104</t>
  </si>
  <si>
    <t>PJU POJOJK 2 WATES</t>
  </si>
  <si>
    <t>000325</t>
  </si>
  <si>
    <t>PJU BATUAJI</t>
  </si>
  <si>
    <t>PJU BANJARANYAR 2</t>
  </si>
  <si>
    <t>000297</t>
  </si>
  <si>
    <t>PJU TEGALAN</t>
  </si>
  <si>
    <t>PJU SUMBERJO</t>
  </si>
  <si>
    <t>000197</t>
  </si>
  <si>
    <t>PJU SELODONO</t>
  </si>
  <si>
    <t>SELODONO</t>
  </si>
  <si>
    <t>PJU PAGU</t>
  </si>
  <si>
    <t>000229</t>
  </si>
  <si>
    <t>PJU RINGINSARI</t>
  </si>
  <si>
    <t>RINGINSARI</t>
  </si>
  <si>
    <t>000032</t>
  </si>
  <si>
    <t>PJU PELAS 2</t>
  </si>
  <si>
    <t>PELAS</t>
  </si>
  <si>
    <t>000014</t>
  </si>
  <si>
    <t>PJU  WONOREJO</t>
  </si>
  <si>
    <t>000500</t>
  </si>
  <si>
    <t>PJU JAMBEAN 2</t>
  </si>
  <si>
    <t>000192</t>
  </si>
  <si>
    <t>PJU NGRECO 2</t>
  </si>
  <si>
    <t>000379</t>
  </si>
  <si>
    <t>PJU DS. NGLETIH</t>
  </si>
  <si>
    <t>NGLETIH</t>
  </si>
  <si>
    <t>000249</t>
  </si>
  <si>
    <t>PJU  PULE</t>
  </si>
  <si>
    <t>PJU SUSUHBANGO</t>
  </si>
  <si>
    <t>SUSUH BANGO</t>
  </si>
  <si>
    <t>000211</t>
  </si>
  <si>
    <t>PJU NGLETIH 2</t>
  </si>
  <si>
    <t>000045</t>
  </si>
  <si>
    <t>PJU PAGU  2</t>
  </si>
  <si>
    <t>000189</t>
  </si>
  <si>
    <t>PJU BADAL 2</t>
  </si>
  <si>
    <t>000399</t>
  </si>
  <si>
    <t>PJU GONDANG</t>
  </si>
  <si>
    <t>KRONCONG</t>
  </si>
  <si>
    <t>PJU BADAL 1</t>
  </si>
  <si>
    <t>PJU BLEBER PELAS</t>
  </si>
  <si>
    <t>BLEBER</t>
  </si>
  <si>
    <t>000369</t>
  </si>
  <si>
    <t>PJU  REMBANG</t>
  </si>
  <si>
    <t>000243</t>
  </si>
  <si>
    <t>PJU DS SELODONO BARU</t>
  </si>
  <si>
    <t>000317</t>
  </si>
  <si>
    <t>PJU  PELAS</t>
  </si>
  <si>
    <t>000006</t>
  </si>
  <si>
    <t>PJU BANGLE JEMBATAN NGADI</t>
  </si>
  <si>
    <t>BANGGLE</t>
  </si>
  <si>
    <t>038964</t>
  </si>
  <si>
    <t>PJU PULE KANDAT1</t>
  </si>
  <si>
    <t>023360</t>
  </si>
  <si>
    <t>PJU PULE KANDAT 2</t>
  </si>
  <si>
    <t>032278</t>
  </si>
  <si>
    <t>PJU PULE KANDAT 3</t>
  </si>
  <si>
    <t>041132</t>
  </si>
  <si>
    <t>PJU PERUM RAYA CITRA HARM</t>
  </si>
  <si>
    <t>RAYACITRA HARMONY 3</t>
  </si>
  <si>
    <t>057859</t>
  </si>
  <si>
    <t>PJU PR GREEN REMBANG PERM</t>
  </si>
  <si>
    <t>PERUMAHAN GREEN REMBANG PERMAI</t>
  </si>
  <si>
    <t>000165</t>
  </si>
  <si>
    <t>PJU ALAM TERATAI 2</t>
  </si>
  <si>
    <t>ALAM TERATAI II</t>
  </si>
  <si>
    <t>058838</t>
  </si>
  <si>
    <t>HERU P.</t>
  </si>
  <si>
    <t>DUKUH VIEW</t>
  </si>
  <si>
    <t>000129</t>
  </si>
  <si>
    <t>SULISTYOWATI</t>
  </si>
  <si>
    <t>GREEN VIEW</t>
  </si>
  <si>
    <t>000001</t>
  </si>
  <si>
    <t>POS BANJAREJO VIEW</t>
  </si>
  <si>
    <t>BANJAREJO KEC.NGADILUWIH</t>
  </si>
  <si>
    <t>POS BEDUG VIEW</t>
  </si>
  <si>
    <t>BEDUG VIEW</t>
  </si>
  <si>
    <t>056735</t>
  </si>
  <si>
    <t>PJU PR JOHO VIEW</t>
  </si>
  <si>
    <t>JOHO VIEW</t>
  </si>
  <si>
    <t>000113</t>
  </si>
  <si>
    <t>PJU REI HARMONI</t>
  </si>
  <si>
    <t>047255</t>
  </si>
  <si>
    <t>PJU PR GREEN BANJAREJO</t>
  </si>
  <si>
    <t>PERUMAHAN GREEN BANJAREJO RESI</t>
  </si>
  <si>
    <t>000280</t>
  </si>
  <si>
    <t>PJU GREEN REMBANG PERMAI</t>
  </si>
  <si>
    <t>000386</t>
  </si>
  <si>
    <t>JUMLAH ULP NGADILUWIH</t>
  </si>
  <si>
    <t>WILAYAH ULP GROGOL</t>
  </si>
  <si>
    <t>514110356294</t>
  </si>
  <si>
    <t>PJU DS WONOASRI EN287 (M)</t>
  </si>
  <si>
    <t>RAYA WONOASRI</t>
  </si>
  <si>
    <t>046011</t>
  </si>
  <si>
    <t>514110483609</t>
  </si>
  <si>
    <t>PJU BULUSARI EN359 (M)</t>
  </si>
  <si>
    <t>045804</t>
  </si>
  <si>
    <t>514110485031</t>
  </si>
  <si>
    <t>PJU DESA CERME EN069 (M)</t>
  </si>
  <si>
    <t>CERME</t>
  </si>
  <si>
    <t>046139</t>
  </si>
  <si>
    <t>514110502764</t>
  </si>
  <si>
    <t>PJU MAESAN EN311 (M)</t>
  </si>
  <si>
    <t>MAESAN</t>
  </si>
  <si>
    <t>045883</t>
  </si>
  <si>
    <t>514110502772</t>
  </si>
  <si>
    <t>PJU NGADI EN114 (M)</t>
  </si>
  <si>
    <t>NGADI</t>
  </si>
  <si>
    <t>046004</t>
  </si>
  <si>
    <t>514110502780</t>
  </si>
  <si>
    <t>PJU DS JUGO</t>
  </si>
  <si>
    <t>JUGO</t>
  </si>
  <si>
    <t>045924</t>
  </si>
  <si>
    <t>514110546290</t>
  </si>
  <si>
    <t>PJU DN KASIHAN EN387 (M)</t>
  </si>
  <si>
    <t>KASIHAN MANYARAN</t>
  </si>
  <si>
    <t>045748</t>
  </si>
  <si>
    <t>514110551895</t>
  </si>
  <si>
    <t>PJU JL GRINGGING EN048</t>
  </si>
  <si>
    <t>RAYA GRINGGING</t>
  </si>
  <si>
    <t>045775</t>
  </si>
  <si>
    <t>514110551917</t>
  </si>
  <si>
    <t>PJU TAMBIBENDO EN188 (M)</t>
  </si>
  <si>
    <t>TAMBIBENDO - PLOSO</t>
  </si>
  <si>
    <t>045736</t>
  </si>
  <si>
    <t>514110553562</t>
  </si>
  <si>
    <t>PJU BANYAKAN EN156 (M)</t>
  </si>
  <si>
    <t>RAYA BANYAKAN</t>
  </si>
  <si>
    <t>045554</t>
  </si>
  <si>
    <t>514110558402</t>
  </si>
  <si>
    <t>PJU TAROKAN EN520 (M)</t>
  </si>
  <si>
    <t>TAROKAN</t>
  </si>
  <si>
    <t>046079</t>
  </si>
  <si>
    <t>514110558410</t>
  </si>
  <si>
    <t>PJU MAESAN EN635 (M)</t>
  </si>
  <si>
    <t>KEMAYAN MAESAN</t>
  </si>
  <si>
    <t>045661</t>
  </si>
  <si>
    <t>514110559239</t>
  </si>
  <si>
    <t>PJU PERBATASAN KOTA - KAB</t>
  </si>
  <si>
    <t>MARON BANYAKAN</t>
  </si>
  <si>
    <t>045679</t>
  </si>
  <si>
    <t>514110574514</t>
  </si>
  <si>
    <t>PJU MAKAM GUS MIK (M)</t>
  </si>
  <si>
    <t>TAMBAK</t>
  </si>
  <si>
    <t>045504</t>
  </si>
  <si>
    <t>514110582169</t>
  </si>
  <si>
    <t>GEBANGKEREP TAROKAN</t>
  </si>
  <si>
    <t>045569</t>
  </si>
  <si>
    <t>514110583009</t>
  </si>
  <si>
    <t>PJU 16 MERC DS PUHRUBUH</t>
  </si>
  <si>
    <t>PETUK PUHRUBUH</t>
  </si>
  <si>
    <t>045821</t>
  </si>
  <si>
    <t>514110588504</t>
  </si>
  <si>
    <t>PJU PLOSO EN335 (M)</t>
  </si>
  <si>
    <t>PLOSO MOJO</t>
  </si>
  <si>
    <t>046003</t>
  </si>
  <si>
    <t>514110590218</t>
  </si>
  <si>
    <t>PJU PETOK EN480 (M)</t>
  </si>
  <si>
    <t>PETOK MOJO</t>
  </si>
  <si>
    <t>045671</t>
  </si>
  <si>
    <t>514110590226</t>
  </si>
  <si>
    <t>PJU PETOK EN363</t>
  </si>
  <si>
    <t>045663</t>
  </si>
  <si>
    <t>514110590291</t>
  </si>
  <si>
    <t>PJU MARON EN155 (M)</t>
  </si>
  <si>
    <t>045600</t>
  </si>
  <si>
    <t>514110590313</t>
  </si>
  <si>
    <t>PJU BANYAKAN EN431 (M)</t>
  </si>
  <si>
    <t>BANYAKAN</t>
  </si>
  <si>
    <t>045730</t>
  </si>
  <si>
    <t>514110615896</t>
  </si>
  <si>
    <t>PJU KRANDING T. 464/312</t>
  </si>
  <si>
    <t>KRANDING</t>
  </si>
  <si>
    <t>046023</t>
  </si>
  <si>
    <t>514110615900</t>
  </si>
  <si>
    <t>PJU MLATI EN187 (M)</t>
  </si>
  <si>
    <t>MLATI</t>
  </si>
  <si>
    <t>046101</t>
  </si>
  <si>
    <t>514110615918</t>
  </si>
  <si>
    <t>PJU KENITEN EN365 (M)</t>
  </si>
  <si>
    <t>KENITEN MOJO</t>
  </si>
  <si>
    <t>046030</t>
  </si>
  <si>
    <t>514110615926</t>
  </si>
  <si>
    <t>PJU DS MAESAN T. 310/635</t>
  </si>
  <si>
    <t>MAESAN MOJO</t>
  </si>
  <si>
    <t>045646</t>
  </si>
  <si>
    <t>514110615942</t>
  </si>
  <si>
    <t>PJU PTROTO T.653/654/45</t>
  </si>
  <si>
    <t>PETUNGROTO</t>
  </si>
  <si>
    <t>045860</t>
  </si>
  <si>
    <t>514110615959</t>
  </si>
  <si>
    <t>PJU DS PETOK  T 480</t>
  </si>
  <si>
    <t>045954</t>
  </si>
  <si>
    <t>514110615967</t>
  </si>
  <si>
    <t>PJU CENGKOK EN562 (M)</t>
  </si>
  <si>
    <t>CENGKOK</t>
  </si>
  <si>
    <t>045705</t>
  </si>
  <si>
    <t>514110615975</t>
  </si>
  <si>
    <t>PJU T. 13,14,15,16,359</t>
  </si>
  <si>
    <t>BULUSARI TAROKAN</t>
  </si>
  <si>
    <t>046133</t>
  </si>
  <si>
    <t>514110615983</t>
  </si>
  <si>
    <t>PJU SBDUREN EN509</t>
  </si>
  <si>
    <t>SUMBERDUREN</t>
  </si>
  <si>
    <t>045967</t>
  </si>
  <si>
    <t>514110615991</t>
  </si>
  <si>
    <t>PJU DS KALIBOTO T. 360</t>
  </si>
  <si>
    <t>KALIBOTO</t>
  </si>
  <si>
    <t>045574</t>
  </si>
  <si>
    <t>514110616019</t>
  </si>
  <si>
    <t>PJU SNREJO T.287/440/575</t>
  </si>
  <si>
    <t>SONOREJO GROGOL</t>
  </si>
  <si>
    <t>045481</t>
  </si>
  <si>
    <t>514110616035</t>
  </si>
  <si>
    <t>PJU DS BEDREK T. 384</t>
  </si>
  <si>
    <t>BEDREK GROGOL</t>
  </si>
  <si>
    <t>045900</t>
  </si>
  <si>
    <t>514110616043</t>
  </si>
  <si>
    <t>PJU DS KALIPANG T. 660</t>
  </si>
  <si>
    <t>GROGOL DS GROGOL</t>
  </si>
  <si>
    <t>045916</t>
  </si>
  <si>
    <t>514110616050</t>
  </si>
  <si>
    <t>PJU SENDANG EN439 (M)</t>
  </si>
  <si>
    <t>SENDANG BANYAKAN</t>
  </si>
  <si>
    <t>045601</t>
  </si>
  <si>
    <t>514110616068</t>
  </si>
  <si>
    <t>PJU DS PARANG T. 619/620</t>
  </si>
  <si>
    <t>DS PARANG</t>
  </si>
  <si>
    <t>045715</t>
  </si>
  <si>
    <t>514110616076</t>
  </si>
  <si>
    <t>PJU T. 655/414/171</t>
  </si>
  <si>
    <t>PUHSARANG</t>
  </si>
  <si>
    <t>045816</t>
  </si>
  <si>
    <t>514110616084</t>
  </si>
  <si>
    <t>PJU DS PUHRUBUH EN278 (M)</t>
  </si>
  <si>
    <t>045920</t>
  </si>
  <si>
    <t>514110665598</t>
  </si>
  <si>
    <t>PJU BANYAKAN (M)</t>
  </si>
  <si>
    <t>045572</t>
  </si>
  <si>
    <t>514110665601</t>
  </si>
  <si>
    <t>PJU KNT KEC BANYAKAN (M)</t>
  </si>
  <si>
    <t>045536</t>
  </si>
  <si>
    <t>514110675140</t>
  </si>
  <si>
    <t>PJU DS JABON</t>
  </si>
  <si>
    <t>JABON KEC BANYAKAN</t>
  </si>
  <si>
    <t>045636</t>
  </si>
  <si>
    <t>514110675157</t>
  </si>
  <si>
    <t>PJU DS JATIREJO BANYAKAN</t>
  </si>
  <si>
    <t>JATIREJO BANYAKAN</t>
  </si>
  <si>
    <t>045521</t>
  </si>
  <si>
    <t>514110675165</t>
  </si>
  <si>
    <t>PJU DS MANYARAN BANYAKAN</t>
  </si>
  <si>
    <t>MANYARAN BANYAKAN</t>
  </si>
  <si>
    <t>045925</t>
  </si>
  <si>
    <t>514110675181</t>
  </si>
  <si>
    <t>PJU DS NGABLAK BANYAKAN</t>
  </si>
  <si>
    <t>NGABLAK</t>
  </si>
  <si>
    <t>045855</t>
  </si>
  <si>
    <t>514110675199</t>
  </si>
  <si>
    <t>PJU  SENDANG 1 EN439</t>
  </si>
  <si>
    <t>045638</t>
  </si>
  <si>
    <t>514110675202</t>
  </si>
  <si>
    <t>PJU DS TIRON</t>
  </si>
  <si>
    <t>TIRON</t>
  </si>
  <si>
    <t>045608</t>
  </si>
  <si>
    <t>514110675210</t>
  </si>
  <si>
    <t>PJU DS BAKALAN</t>
  </si>
  <si>
    <t>BAKALAN</t>
  </si>
  <si>
    <t>045726</t>
  </si>
  <si>
    <t>514110675228</t>
  </si>
  <si>
    <t>PJU DS GAMBYOK</t>
  </si>
  <si>
    <t>GAMBYOK</t>
  </si>
  <si>
    <t>045517</t>
  </si>
  <si>
    <t>514110675236</t>
  </si>
  <si>
    <t>PJU SEMBAK GROGOL</t>
  </si>
  <si>
    <t>SEMBAK</t>
  </si>
  <si>
    <t>045777</t>
  </si>
  <si>
    <t>514110675244</t>
  </si>
  <si>
    <t>PJU DS KALIPANG</t>
  </si>
  <si>
    <t>KALIPANG</t>
  </si>
  <si>
    <t>045563</t>
  </si>
  <si>
    <t>514110675251</t>
  </si>
  <si>
    <t>PJU KALIRONG TAROKAN</t>
  </si>
  <si>
    <t>KALIRONG</t>
  </si>
  <si>
    <t>045963</t>
  </si>
  <si>
    <t>514110675269</t>
  </si>
  <si>
    <t>PJU DS SONOREJO EN440 (M)</t>
  </si>
  <si>
    <t>045906</t>
  </si>
  <si>
    <t>514110675277</t>
  </si>
  <si>
    <t>PJU SUMBERJO EN444 (M)</t>
  </si>
  <si>
    <t>045840</t>
  </si>
  <si>
    <t>514110675285</t>
  </si>
  <si>
    <t>PJU DS WONOASRI GROGOL</t>
  </si>
  <si>
    <t>WONOASRI</t>
  </si>
  <si>
    <t>046028</t>
  </si>
  <si>
    <t>514110675293</t>
  </si>
  <si>
    <t>PJU DS BLIMBING MOJO</t>
  </si>
  <si>
    <t>BLIMBING MOJO</t>
  </si>
  <si>
    <t>045745</t>
  </si>
  <si>
    <t>514110675315</t>
  </si>
  <si>
    <t>PJU BADUT - PTGSEWU JUGO</t>
  </si>
  <si>
    <t>BADUT JUGO MOJO</t>
  </si>
  <si>
    <t>045758</t>
  </si>
  <si>
    <t>514110675323</t>
  </si>
  <si>
    <t>PJU DS KRATON MOJO</t>
  </si>
  <si>
    <t>KRATON</t>
  </si>
  <si>
    <t>045889</t>
  </si>
  <si>
    <t>514110675356</t>
  </si>
  <si>
    <t>PJU DS NGETREP MOJO</t>
  </si>
  <si>
    <t>NGETREP KEC MOJO</t>
  </si>
  <si>
    <t>045500</t>
  </si>
  <si>
    <t>514110675372</t>
  </si>
  <si>
    <t>PJU PLOSO EN189 (M)</t>
  </si>
  <si>
    <t>046036</t>
  </si>
  <si>
    <t>514110675419</t>
  </si>
  <si>
    <t>PJU DS SEMEN EN239 (M)</t>
  </si>
  <si>
    <t>BOBANG</t>
  </si>
  <si>
    <t>045820</t>
  </si>
  <si>
    <t>514110675435</t>
  </si>
  <si>
    <t>PJU DS PAGUNG</t>
  </si>
  <si>
    <t>JOHO SEMEN</t>
  </si>
  <si>
    <t>045667</t>
  </si>
  <si>
    <t>514110675443</t>
  </si>
  <si>
    <t>PJU DS KANYORAN</t>
  </si>
  <si>
    <t>KANYORAN</t>
  </si>
  <si>
    <t>045870</t>
  </si>
  <si>
    <t>514110675450</t>
  </si>
  <si>
    <t>PJU DS KEDAK</t>
  </si>
  <si>
    <t>KEDAK</t>
  </si>
  <si>
    <t>045999</t>
  </si>
  <si>
    <t>514110675476</t>
  </si>
  <si>
    <t>PJU SIDOMULYO SEMEN</t>
  </si>
  <si>
    <t>SIDOMULYO SEMEN</t>
  </si>
  <si>
    <t>045869</t>
  </si>
  <si>
    <t>514110675484</t>
  </si>
  <si>
    <t>PJU DS TITIK EN445 (M)</t>
  </si>
  <si>
    <t>TITIK</t>
  </si>
  <si>
    <t>045659</t>
  </si>
  <si>
    <t>514110675492</t>
  </si>
  <si>
    <t>PJU BULUSARI EN359</t>
  </si>
  <si>
    <t>046082</t>
  </si>
  <si>
    <t>514110675506</t>
  </si>
  <si>
    <t>PJU DS KEDUNGSARI</t>
  </si>
  <si>
    <t>KEDUNGSARI TAROKAN</t>
  </si>
  <si>
    <t>045716</t>
  </si>
  <si>
    <t>514110684649</t>
  </si>
  <si>
    <t>PJU JL TAMBANGAN MLATI</t>
  </si>
  <si>
    <t>045541</t>
  </si>
  <si>
    <t>514110684656</t>
  </si>
  <si>
    <t>PJU JL TAMBANGAN MAESAN</t>
  </si>
  <si>
    <t>045720</t>
  </si>
  <si>
    <t>514110696626</t>
  </si>
  <si>
    <t>PJU T 239 SEMEN</t>
  </si>
  <si>
    <t>SLAMET RIYADI SMN</t>
  </si>
  <si>
    <t>045741</t>
  </si>
  <si>
    <t>514110696634</t>
  </si>
  <si>
    <t>PJU JL ARGOWILIS</t>
  </si>
  <si>
    <t>ARGOWILIS SEMEN</t>
  </si>
  <si>
    <t>045575</t>
  </si>
  <si>
    <t>514110696642</t>
  </si>
  <si>
    <t>PJU DS BOBANG T. 109</t>
  </si>
  <si>
    <t>KEDAK SEMEN</t>
  </si>
  <si>
    <t>045865</t>
  </si>
  <si>
    <t>514110696659</t>
  </si>
  <si>
    <t>PJU JL RAYA MONDO</t>
  </si>
  <si>
    <t>MONDO TIMUR</t>
  </si>
  <si>
    <t>045670</t>
  </si>
  <si>
    <t>514110696675</t>
  </si>
  <si>
    <t>PJU BESUKI JUGO</t>
  </si>
  <si>
    <t>BESUKI JUGO</t>
  </si>
  <si>
    <t>045761</t>
  </si>
  <si>
    <t>514110742206</t>
  </si>
  <si>
    <t>PJU DN BESUKI</t>
  </si>
  <si>
    <t>BESUKI</t>
  </si>
  <si>
    <t>045973</t>
  </si>
  <si>
    <t>514110742214</t>
  </si>
  <si>
    <t>PJU TUGU PERBATASAN</t>
  </si>
  <si>
    <t>045873</t>
  </si>
  <si>
    <t>514110793921</t>
  </si>
  <si>
    <t>PJU DN BEDREK T 384 (M)</t>
  </si>
  <si>
    <t>BEDREK</t>
  </si>
  <si>
    <t>045699</t>
  </si>
  <si>
    <t>514110793939</t>
  </si>
  <si>
    <t>PJU DS CERME T 120 (M)</t>
  </si>
  <si>
    <t>046060</t>
  </si>
  <si>
    <t>514110793947</t>
  </si>
  <si>
    <t>PJU DN KRAMPYANG T 94 (M)</t>
  </si>
  <si>
    <t>KRAMPYANG</t>
  </si>
  <si>
    <t>046096</t>
  </si>
  <si>
    <t>514110793954</t>
  </si>
  <si>
    <t>PJU DS BOBANG EN362 (M)</t>
  </si>
  <si>
    <t>045877</t>
  </si>
  <si>
    <t>202410</t>
  </si>
  <si>
    <t>514110793962</t>
  </si>
  <si>
    <t>PJU DS PAGUNG T 003 (M)</t>
  </si>
  <si>
    <t>GETUK</t>
  </si>
  <si>
    <t>046076</t>
  </si>
  <si>
    <t>514110793970</t>
  </si>
  <si>
    <t>PJU DS PAGUNG T 053 (M)</t>
  </si>
  <si>
    <t>PAGUNG</t>
  </si>
  <si>
    <t>045978</t>
  </si>
  <si>
    <t>514110793988</t>
  </si>
  <si>
    <t>PJU SIDOMULYO T 077 (M)</t>
  </si>
  <si>
    <t>RAYA</t>
  </si>
  <si>
    <t>045519</t>
  </si>
  <si>
    <t>514110793996</t>
  </si>
  <si>
    <t>PJU DS BOBANG T 109 (M)</t>
  </si>
  <si>
    <t>045783</t>
  </si>
  <si>
    <t>514110794007</t>
  </si>
  <si>
    <t>PJU DS PUHRUBUH EN279 (M)</t>
  </si>
  <si>
    <t>PUHRUBUH</t>
  </si>
  <si>
    <t>045662</t>
  </si>
  <si>
    <t>514110794015</t>
  </si>
  <si>
    <t>PJU DS MOJO EN496 (M)</t>
  </si>
  <si>
    <t>JURUSAN BESUKI</t>
  </si>
  <si>
    <t>045642</t>
  </si>
  <si>
    <t>514110794023</t>
  </si>
  <si>
    <t>PJU DS PAGUNG EN565 (M)</t>
  </si>
  <si>
    <t>PAGUNG SEMEN</t>
  </si>
  <si>
    <t>045615</t>
  </si>
  <si>
    <t>514110794031</t>
  </si>
  <si>
    <t>PJU DS JOHO EN566 (M)</t>
  </si>
  <si>
    <t>045508</t>
  </si>
  <si>
    <t>514110794049</t>
  </si>
  <si>
    <t>PJU JOHO EN566 B4A10(M)</t>
  </si>
  <si>
    <t>045910</t>
  </si>
  <si>
    <t>514110794056</t>
  </si>
  <si>
    <t>PJU SLPANGGUNG EN648 (M)</t>
  </si>
  <si>
    <t>SELOPANGGUNG</t>
  </si>
  <si>
    <t>046014</t>
  </si>
  <si>
    <t>514110794064</t>
  </si>
  <si>
    <t>PJU SELOTOPENG EN055 (M)</t>
  </si>
  <si>
    <t>SELOTOPENG</t>
  </si>
  <si>
    <t>046042</t>
  </si>
  <si>
    <t>514110794072</t>
  </si>
  <si>
    <t>PJU TIRON EN073 (M)</t>
  </si>
  <si>
    <t>SUMBERBENDO</t>
  </si>
  <si>
    <t>046033</t>
  </si>
  <si>
    <t>514110794080</t>
  </si>
  <si>
    <t>PJU DS PARANG EN087 (M)</t>
  </si>
  <si>
    <t>PARANG</t>
  </si>
  <si>
    <t>045689</t>
  </si>
  <si>
    <t>514110794098</t>
  </si>
  <si>
    <t>PJU DS MANYARAN EN435 (M)</t>
  </si>
  <si>
    <t>MANYARAN</t>
  </si>
  <si>
    <t>045837</t>
  </si>
  <si>
    <t>514110794102</t>
  </si>
  <si>
    <t>PJU TIRON EN436 (M)</t>
  </si>
  <si>
    <t>SAMBIREJO TIRON</t>
  </si>
  <si>
    <t>045846</t>
  </si>
  <si>
    <t>514110794110</t>
  </si>
  <si>
    <t>PJU JATIREJO EN437 (M)</t>
  </si>
  <si>
    <t>DAHU</t>
  </si>
  <si>
    <t>045669</t>
  </si>
  <si>
    <t>514110794128</t>
  </si>
  <si>
    <t>PJU JATIREJO EN438 (M)</t>
  </si>
  <si>
    <t>GONDANGREJO</t>
  </si>
  <si>
    <t>045651</t>
  </si>
  <si>
    <t>514110794136</t>
  </si>
  <si>
    <t>PJU DN COWEKAN EN605 (M)</t>
  </si>
  <si>
    <t>COWEKAN</t>
  </si>
  <si>
    <t>046001</t>
  </si>
  <si>
    <t>514110794144</t>
  </si>
  <si>
    <t>PJU SEMBAK EN068 (M)</t>
  </si>
  <si>
    <t>045786</t>
  </si>
  <si>
    <t>514110799820</t>
  </si>
  <si>
    <t>PJU PAMONGAN EN020 (M)</t>
  </si>
  <si>
    <t>TUMPAKDORO</t>
  </si>
  <si>
    <t>045965</t>
  </si>
  <si>
    <t>514110799838</t>
  </si>
  <si>
    <t>PJU NGETREP EN018  (M)</t>
  </si>
  <si>
    <t>NGETREP</t>
  </si>
  <si>
    <t>045490</t>
  </si>
  <si>
    <t>514110799846</t>
  </si>
  <si>
    <t>PJU NGETREP EN017 (M)</t>
  </si>
  <si>
    <t>045750</t>
  </si>
  <si>
    <t>514110799853</t>
  </si>
  <si>
    <t>PJU JUGO EN672 (M)</t>
  </si>
  <si>
    <t>045937</t>
  </si>
  <si>
    <t>514110799861</t>
  </si>
  <si>
    <t>PJU PARANG EN177 (M)</t>
  </si>
  <si>
    <t>045921</t>
  </si>
  <si>
    <t>514110799879</t>
  </si>
  <si>
    <t>PJU TAROKAN EN031 (M)</t>
  </si>
  <si>
    <t>SUMBERPRING</t>
  </si>
  <si>
    <t>045518</t>
  </si>
  <si>
    <t>514110799887</t>
  </si>
  <si>
    <t>PJU SBDUREN EN510 (M)</t>
  </si>
  <si>
    <t>045552</t>
  </si>
  <si>
    <t>514110799895</t>
  </si>
  <si>
    <t>PJU KEDAWUNG 2 EN182 (M)</t>
  </si>
  <si>
    <t>KEDAWUNG MOJO</t>
  </si>
  <si>
    <t>046149</t>
  </si>
  <si>
    <t>514110799909</t>
  </si>
  <si>
    <t>PJU KEDAWUNG 1 EN182 (M)</t>
  </si>
  <si>
    <t>045810</t>
  </si>
  <si>
    <t>514110799917</t>
  </si>
  <si>
    <t>PJU SURAT 2 EN130 (M)</t>
  </si>
  <si>
    <t>NGAGLIK</t>
  </si>
  <si>
    <t>045826</t>
  </si>
  <si>
    <t>514110799925</t>
  </si>
  <si>
    <t>PJU MOJO EN118 (M)</t>
  </si>
  <si>
    <t>MOJO</t>
  </si>
  <si>
    <t>046000</t>
  </si>
  <si>
    <t>514110799933</t>
  </si>
  <si>
    <t>PJU KRATON 2 EN106 (M)</t>
  </si>
  <si>
    <t>045551</t>
  </si>
  <si>
    <t>514110799941</t>
  </si>
  <si>
    <t>PJU KRATON 1 EN106 (M)</t>
  </si>
  <si>
    <t>045964</t>
  </si>
  <si>
    <t>514110799958</t>
  </si>
  <si>
    <t>PJU PAGUNG EN075 (M)</t>
  </si>
  <si>
    <t>SEKARPUTIH</t>
  </si>
  <si>
    <t>046064</t>
  </si>
  <si>
    <t>514110799966</t>
  </si>
  <si>
    <t>PJU KEDAWUNG EN058 (M)</t>
  </si>
  <si>
    <t>JATIWEKAS</t>
  </si>
  <si>
    <t>045735</t>
  </si>
  <si>
    <t>514110799974</t>
  </si>
  <si>
    <t>PJU KENITEN EN107</t>
  </si>
  <si>
    <t>SUROWANGSANG</t>
  </si>
  <si>
    <t>045586</t>
  </si>
  <si>
    <t>514110799982</t>
  </si>
  <si>
    <t>PJU KENITEN EN049 (M)</t>
  </si>
  <si>
    <t>LEMAHJUNGKUR</t>
  </si>
  <si>
    <t>045983</t>
  </si>
  <si>
    <t>514110799990</t>
  </si>
  <si>
    <t>PJU NGETREP EN046</t>
  </si>
  <si>
    <t>BERUK NGETREP</t>
  </si>
  <si>
    <t>045625</t>
  </si>
  <si>
    <t>514110800004</t>
  </si>
  <si>
    <t>PJU NGETREP EN044 (M)</t>
  </si>
  <si>
    <t>TUMPAKPELEM NGETREP</t>
  </si>
  <si>
    <t>045838</t>
  </si>
  <si>
    <t>514110800012</t>
  </si>
  <si>
    <t>PJU BLIMBING EN036 (M)</t>
  </si>
  <si>
    <t>045956</t>
  </si>
  <si>
    <t>514110800020</t>
  </si>
  <si>
    <t>PJU SURAT EN034 (M)</t>
  </si>
  <si>
    <t>SURAT</t>
  </si>
  <si>
    <t>045884</t>
  </si>
  <si>
    <t>514110800038</t>
  </si>
  <si>
    <t>PJU PAMONGAN EN613 (M)</t>
  </si>
  <si>
    <t>PAMONGAN</t>
  </si>
  <si>
    <t>045754</t>
  </si>
  <si>
    <t>514110800046</t>
  </si>
  <si>
    <t>PJU PAMONGAN EN612 (M)</t>
  </si>
  <si>
    <t>045492</t>
  </si>
  <si>
    <t>514110800053</t>
  </si>
  <si>
    <t>PJU BLIMBING EN595 (M)</t>
  </si>
  <si>
    <t>045815</t>
  </si>
  <si>
    <t>514110800061</t>
  </si>
  <si>
    <t>PJU MAESAN EN568 (M(</t>
  </si>
  <si>
    <t>JASEM MAESAN</t>
  </si>
  <si>
    <t>046106</t>
  </si>
  <si>
    <t>514110800079</t>
  </si>
  <si>
    <t>PJU SUKOANYAR EN541 (M)</t>
  </si>
  <si>
    <t>SUKOANYAR</t>
  </si>
  <si>
    <t>046070</t>
  </si>
  <si>
    <t>514110800087</t>
  </si>
  <si>
    <t>PJU KENITEN EN050 (M)</t>
  </si>
  <si>
    <t>SUMBERDANDANG</t>
  </si>
  <si>
    <t>045694</t>
  </si>
  <si>
    <t>514110800095</t>
  </si>
  <si>
    <t>PJU MONDO 2 EN291 (M)</t>
  </si>
  <si>
    <t>045683</t>
  </si>
  <si>
    <t>514110800109</t>
  </si>
  <si>
    <t>PJU MONDO 1 EN291 (M)</t>
  </si>
  <si>
    <t>MONDO</t>
  </si>
  <si>
    <t>045769</t>
  </si>
  <si>
    <t>514110800117</t>
  </si>
  <si>
    <t>PJU SEMEN EN239 (M)</t>
  </si>
  <si>
    <t>045687</t>
  </si>
  <si>
    <t>514110800125</t>
  </si>
  <si>
    <t>PJU SIDOMULYO</t>
  </si>
  <si>
    <t>JABANG SIDOMULYO</t>
  </si>
  <si>
    <t>045844</t>
  </si>
  <si>
    <t>514110800133</t>
  </si>
  <si>
    <t>PJU SIDOMULYO EN185 (M)</t>
  </si>
  <si>
    <t>045571</t>
  </si>
  <si>
    <t>514110800141</t>
  </si>
  <si>
    <t>PJU KEDAWUNG 2 EN183 (M)</t>
  </si>
  <si>
    <t>045976</t>
  </si>
  <si>
    <t>514110800158</t>
  </si>
  <si>
    <t>PJU SUKOANYAR EN186</t>
  </si>
  <si>
    <t>045566</t>
  </si>
  <si>
    <t>514110800166</t>
  </si>
  <si>
    <t>PJU KEDAWUNG EN663</t>
  </si>
  <si>
    <t>TRITIS</t>
  </si>
  <si>
    <t>045864</t>
  </si>
  <si>
    <t>514110800174</t>
  </si>
  <si>
    <t>PJU PUHSARANG EN655 (M)</t>
  </si>
  <si>
    <t>NGLANGU</t>
  </si>
  <si>
    <t>045861</t>
  </si>
  <si>
    <t>514110800182</t>
  </si>
  <si>
    <t>PJU NGETREP EN644 (M)</t>
  </si>
  <si>
    <t>045491</t>
  </si>
  <si>
    <t>514110800190</t>
  </si>
  <si>
    <t>PJU SURAT EN634 (M)</t>
  </si>
  <si>
    <t>SELOREJO</t>
  </si>
  <si>
    <t>046097</t>
  </si>
  <si>
    <t>514110800203</t>
  </si>
  <si>
    <t>PJU PONGGOK EN618 (M)</t>
  </si>
  <si>
    <t>PONGGOK</t>
  </si>
  <si>
    <t>046075</t>
  </si>
  <si>
    <t>514110800211</t>
  </si>
  <si>
    <t>PJU PONGGOK EN617</t>
  </si>
  <si>
    <t>045644</t>
  </si>
  <si>
    <t>514110801790</t>
  </si>
  <si>
    <t>PJU SUMBERYUYU</t>
  </si>
  <si>
    <t>045634</t>
  </si>
  <si>
    <t>514110801803</t>
  </si>
  <si>
    <t>PJU KALIRONG EN560 (M)</t>
  </si>
  <si>
    <t>BECEK</t>
  </si>
  <si>
    <t>045619</t>
  </si>
  <si>
    <t>514110801811</t>
  </si>
  <si>
    <t>PJU TAROKAN EN656 (M)</t>
  </si>
  <si>
    <t>045839</t>
  </si>
  <si>
    <t>514110801829</t>
  </si>
  <si>
    <t>PJU TAROKAN EN025 (M)</t>
  </si>
  <si>
    <t>BUKAAN</t>
  </si>
  <si>
    <t>045814</t>
  </si>
  <si>
    <t>514110801837</t>
  </si>
  <si>
    <t>PJU TAROKAN 2 EN029 (M)</t>
  </si>
  <si>
    <t>045706</t>
  </si>
  <si>
    <t>514110801845</t>
  </si>
  <si>
    <t>PJU KALIRONG EN508 (M)</t>
  </si>
  <si>
    <t>ANGLINGDARMO</t>
  </si>
  <si>
    <t>045759</t>
  </si>
  <si>
    <t>514110801852</t>
  </si>
  <si>
    <t>PJU TAROKAN EN030 (M)</t>
  </si>
  <si>
    <t>SAGI</t>
  </si>
  <si>
    <t>045981</t>
  </si>
  <si>
    <t>514110801860</t>
  </si>
  <si>
    <t>PJU TAROKAN EN024 (M)</t>
  </si>
  <si>
    <t>JUDEL SUKOREJO</t>
  </si>
  <si>
    <t>046112</t>
  </si>
  <si>
    <t>514110804294</t>
  </si>
  <si>
    <t>PJU TAMBIBENDO 2 EN188(M)</t>
  </si>
  <si>
    <t>TAMBIBENDO</t>
  </si>
  <si>
    <t>045495</t>
  </si>
  <si>
    <t>514110825954</t>
  </si>
  <si>
    <t>PJU DS SLPGNG EN647 (A)</t>
  </si>
  <si>
    <t>TUNGGUL</t>
  </si>
  <si>
    <t>045657</t>
  </si>
  <si>
    <t>514110825988</t>
  </si>
  <si>
    <t>PJU DS BABADAN EN511 (A)</t>
  </si>
  <si>
    <t>BABADAN</t>
  </si>
  <si>
    <t>045510</t>
  </si>
  <si>
    <t>514110826014</t>
  </si>
  <si>
    <t>PJU DS SLPGNG EN645 (A)</t>
  </si>
  <si>
    <t>PLINGSANGAN</t>
  </si>
  <si>
    <t>045951</t>
  </si>
  <si>
    <t>514110826022</t>
  </si>
  <si>
    <t>PJU DS NGABLAK EN135 (A)</t>
  </si>
  <si>
    <t>045666</t>
  </si>
  <si>
    <t>514110826030</t>
  </si>
  <si>
    <t>PJU DS JABON 1 EN080 (A)</t>
  </si>
  <si>
    <t>JABON</t>
  </si>
  <si>
    <t>046142</t>
  </si>
  <si>
    <t>514110826055</t>
  </si>
  <si>
    <t>PJU DS SLPGNG EN134 (A)</t>
  </si>
  <si>
    <t>SUMBERAGUNG</t>
  </si>
  <si>
    <t>045597</t>
  </si>
  <si>
    <t>514110826071</t>
  </si>
  <si>
    <t>PJU DS PARANG EN033 (A)</t>
  </si>
  <si>
    <t>GOLIMAN</t>
  </si>
  <si>
    <t>045811</t>
  </si>
  <si>
    <t>514110826097</t>
  </si>
  <si>
    <t>PJU SLPANGGUNG EN646 (A)</t>
  </si>
  <si>
    <t>045901</t>
  </si>
  <si>
    <t>514110826135</t>
  </si>
  <si>
    <t>PJU DS BULU EN366 (A)</t>
  </si>
  <si>
    <t>BULUSAN</t>
  </si>
  <si>
    <t>046104</t>
  </si>
  <si>
    <t>514110826143</t>
  </si>
  <si>
    <t>PJU SLPANGGUNG EN649 (A)</t>
  </si>
  <si>
    <t>045590</t>
  </si>
  <si>
    <t>514110826168</t>
  </si>
  <si>
    <t>PJU DS MARON EN105 (A)</t>
  </si>
  <si>
    <t>MARON</t>
  </si>
  <si>
    <t>046098</t>
  </si>
  <si>
    <t>514110826176</t>
  </si>
  <si>
    <t>PJU DS NGABLAK EN298 (A)</t>
  </si>
  <si>
    <t>TANJUNG NGABLAK</t>
  </si>
  <si>
    <t>046145</t>
  </si>
  <si>
    <t>514110826184</t>
  </si>
  <si>
    <t>PJU DS JATIREJO EN438 (A)</t>
  </si>
  <si>
    <t>JATIREJO</t>
  </si>
  <si>
    <t>045664</t>
  </si>
  <si>
    <t>514110826192</t>
  </si>
  <si>
    <t>PJU DS BAKALAN EN055 (A)</t>
  </si>
  <si>
    <t>WINONGSARI</t>
  </si>
  <si>
    <t>046062</t>
  </si>
  <si>
    <t>514111051365</t>
  </si>
  <si>
    <t>PJU PERUM BUKIT PODANG 2</t>
  </si>
  <si>
    <t>BUKIT PODANG RESIDENCE</t>
  </si>
  <si>
    <t>045558</t>
  </si>
  <si>
    <t>514111094169</t>
  </si>
  <si>
    <t>PJU TIRON</t>
  </si>
  <si>
    <t>046008</t>
  </si>
  <si>
    <t>514111094177</t>
  </si>
  <si>
    <t>PJU PARANG</t>
  </si>
  <si>
    <t>046045</t>
  </si>
  <si>
    <t>514111094185</t>
  </si>
  <si>
    <t>PJU MANYARAN</t>
  </si>
  <si>
    <t>045875</t>
  </si>
  <si>
    <t>514111109175</t>
  </si>
  <si>
    <t>PJU DS KALIRONG EN 508</t>
  </si>
  <si>
    <t>045522</t>
  </si>
  <si>
    <t>514111109183</t>
  </si>
  <si>
    <t>PJU DS SONOREJO EN 575</t>
  </si>
  <si>
    <t>SONOREJO</t>
  </si>
  <si>
    <t>045732</t>
  </si>
  <si>
    <t>514111109191</t>
  </si>
  <si>
    <t>PJU DS SUMBER PRING EN031</t>
  </si>
  <si>
    <t>SUMBER PRING</t>
  </si>
  <si>
    <t>045746</t>
  </si>
  <si>
    <t>514111109204</t>
  </si>
  <si>
    <t>PJU DS SAWUR EN015</t>
  </si>
  <si>
    <t>SAWUR</t>
  </si>
  <si>
    <t>046067</t>
  </si>
  <si>
    <t>514111109212</t>
  </si>
  <si>
    <t>PJU DS SUMBERJO EN023</t>
  </si>
  <si>
    <t>045675</t>
  </si>
  <si>
    <t>514111109220</t>
  </si>
  <si>
    <t>PJU DS SELANG EN014</t>
  </si>
  <si>
    <t>SELANG</t>
  </si>
  <si>
    <t>045770</t>
  </si>
  <si>
    <t>514111109238</t>
  </si>
  <si>
    <t>PJU DS GAMBYOK EN 443</t>
  </si>
  <si>
    <t>046143</t>
  </si>
  <si>
    <t>514111109246</t>
  </si>
  <si>
    <t>PJU DS KALIRONG EN 051</t>
  </si>
  <si>
    <t>046131</t>
  </si>
  <si>
    <t>514111109253</t>
  </si>
  <si>
    <t>PJU DN BAKALAN EN168</t>
  </si>
  <si>
    <t>045559</t>
  </si>
  <si>
    <t>514111109261</t>
  </si>
  <si>
    <t>PJU MANYARAN EA022</t>
  </si>
  <si>
    <t>NGESONG MANYARAN</t>
  </si>
  <si>
    <t>046122</t>
  </si>
  <si>
    <t>514111109279</t>
  </si>
  <si>
    <t>045947</t>
  </si>
  <si>
    <t>514111109287</t>
  </si>
  <si>
    <t>PJU DS JABON EN217</t>
  </si>
  <si>
    <t>045635</t>
  </si>
  <si>
    <t>514111109295</t>
  </si>
  <si>
    <t>PJU DS DATENGAN EN 441</t>
  </si>
  <si>
    <t>DS DATENGAN</t>
  </si>
  <si>
    <t>045985</t>
  </si>
  <si>
    <t>514111109309</t>
  </si>
  <si>
    <t>PJU DS WINONGSARI EN028</t>
  </si>
  <si>
    <t>046015</t>
  </si>
  <si>
    <t>514111109317</t>
  </si>
  <si>
    <t>PJU DS GUNUNG BATOK EN016</t>
  </si>
  <si>
    <t>GUNUNG BATOK</t>
  </si>
  <si>
    <t>045943</t>
  </si>
  <si>
    <t>514111109325</t>
  </si>
  <si>
    <t>PJU DS KEDUNGSARI EN 525</t>
  </si>
  <si>
    <t>KEDUNGSARI</t>
  </si>
  <si>
    <t>045614</t>
  </si>
  <si>
    <t>514111109333</t>
  </si>
  <si>
    <t>PJU ARGOWILIS SEMEN EN084</t>
  </si>
  <si>
    <t>045853</t>
  </si>
  <si>
    <t>514111109341</t>
  </si>
  <si>
    <t>PJU DS NGADI EN 447</t>
  </si>
  <si>
    <t>045787</t>
  </si>
  <si>
    <t>514111109358</t>
  </si>
  <si>
    <t>PJU DS BULUSARI EN015</t>
  </si>
  <si>
    <t>BULUSARI</t>
  </si>
  <si>
    <t>045945</t>
  </si>
  <si>
    <t>514111109366</t>
  </si>
  <si>
    <t>PJU DS TAROKAN EN026</t>
  </si>
  <si>
    <t>045678</t>
  </si>
  <si>
    <t>514111109374</t>
  </si>
  <si>
    <t>PJU DS PUHSARANG EN414</t>
  </si>
  <si>
    <t>045813</t>
  </si>
  <si>
    <t>514111109382</t>
  </si>
  <si>
    <t>PJU DS PETUNGROTO EN 654</t>
  </si>
  <si>
    <t>045982</t>
  </si>
  <si>
    <t>514111109390</t>
  </si>
  <si>
    <t>PJU DS CENGKOK EN 563</t>
  </si>
  <si>
    <t>045708</t>
  </si>
  <si>
    <t>514111109403</t>
  </si>
  <si>
    <t>PJU DS SUMBERJO EN 444</t>
  </si>
  <si>
    <t>045799</t>
  </si>
  <si>
    <t>514111109411</t>
  </si>
  <si>
    <t>PJU DS BAKALAN EN286</t>
  </si>
  <si>
    <t>045907</t>
  </si>
  <si>
    <t>514111109429</t>
  </si>
  <si>
    <t>PJU DS GEMBYOK EN 442</t>
  </si>
  <si>
    <t>DS GEMBYOK</t>
  </si>
  <si>
    <t>045690</t>
  </si>
  <si>
    <t>514111109437</t>
  </si>
  <si>
    <t>PJU DS JABON EN104</t>
  </si>
  <si>
    <t>046055</t>
  </si>
  <si>
    <t>514111109445</t>
  </si>
  <si>
    <t>045680</t>
  </si>
  <si>
    <t>514111113067</t>
  </si>
  <si>
    <t>PJU DS MOJO 309 C7</t>
  </si>
  <si>
    <t>RAYA MOJO</t>
  </si>
  <si>
    <t>046081</t>
  </si>
  <si>
    <t>514111113075</t>
  </si>
  <si>
    <t>PJU DS KALIBOTO 119 A7</t>
  </si>
  <si>
    <t>046005</t>
  </si>
  <si>
    <t>514111113083</t>
  </si>
  <si>
    <t>PJU DS KALIPANG 610</t>
  </si>
  <si>
    <t>045835</t>
  </si>
  <si>
    <t>514111113091</t>
  </si>
  <si>
    <t>PJU DS MOJO 309 A1</t>
  </si>
  <si>
    <t>045904</t>
  </si>
  <si>
    <t>514111113105</t>
  </si>
  <si>
    <t>PJU DN BABADAN 511</t>
  </si>
  <si>
    <t xml:space="preserve"> DS</t>
  </si>
  <si>
    <t>BABATAN TIRON</t>
  </si>
  <si>
    <t>046126</t>
  </si>
  <si>
    <t>514111113113</t>
  </si>
  <si>
    <t>PJU DS BANYAKAN 559</t>
  </si>
  <si>
    <t>045511</t>
  </si>
  <si>
    <t>514111113121</t>
  </si>
  <si>
    <t>PJU DS JUGO 615 D1</t>
  </si>
  <si>
    <t>045633</t>
  </si>
  <si>
    <t>514111113139</t>
  </si>
  <si>
    <t>PJU DS NGETREP 643</t>
  </si>
  <si>
    <t>045922</t>
  </si>
  <si>
    <t>514111113147</t>
  </si>
  <si>
    <t>PJU DS KALIPANG 96</t>
  </si>
  <si>
    <t>045724</t>
  </si>
  <si>
    <t>514111113154</t>
  </si>
  <si>
    <t>PJU DS JABON 103 B1C5</t>
  </si>
  <si>
    <t>045994</t>
  </si>
  <si>
    <t>514111113162</t>
  </si>
  <si>
    <t>PJU DS MANYARAN 163</t>
  </si>
  <si>
    <t>045562</t>
  </si>
  <si>
    <t>514111113170</t>
  </si>
  <si>
    <t>PJU DS NGETREP 45</t>
  </si>
  <si>
    <t>045529</t>
  </si>
  <si>
    <t>514111113188</t>
  </si>
  <si>
    <t>PJU DS JABON 103</t>
  </si>
  <si>
    <t>JABON 103</t>
  </si>
  <si>
    <t>045979</t>
  </si>
  <si>
    <t>514111113196</t>
  </si>
  <si>
    <t>PJU DS KEDUNG SARI 481</t>
  </si>
  <si>
    <t>KEDUNG SARI</t>
  </si>
  <si>
    <t>045791</t>
  </si>
  <si>
    <t>514111113209</t>
  </si>
  <si>
    <t>PJU DS BLIMBING 37</t>
  </si>
  <si>
    <t>BLIMBING</t>
  </si>
  <si>
    <t>046019</t>
  </si>
  <si>
    <t>514111113217</t>
  </si>
  <si>
    <t>PJU DS NGABLAK 528</t>
  </si>
  <si>
    <t>045938</t>
  </si>
  <si>
    <t>514111113225</t>
  </si>
  <si>
    <t>PJU DS JUGO 614 B15</t>
  </si>
  <si>
    <t>045974</t>
  </si>
  <si>
    <t>514111113233</t>
  </si>
  <si>
    <t>PJU DN BADUT BESUKI 43</t>
  </si>
  <si>
    <t>BADUT BESUKI</t>
  </si>
  <si>
    <t>046085</t>
  </si>
  <si>
    <t>514111113241</t>
  </si>
  <si>
    <t>PJU DS MAESAN 311</t>
  </si>
  <si>
    <t>MAESAN 311</t>
  </si>
  <si>
    <t>046080</t>
  </si>
  <si>
    <t>514111113258</t>
  </si>
  <si>
    <t>PJU KALI NANAS 611</t>
  </si>
  <si>
    <t>KALI NANAS KALIPANG</t>
  </si>
  <si>
    <t>045507</t>
  </si>
  <si>
    <t>514111113266</t>
  </si>
  <si>
    <t>PJU DS KALIBOTO 119 C7</t>
  </si>
  <si>
    <t>046091</t>
  </si>
  <si>
    <t>514111113274</t>
  </si>
  <si>
    <t>PJU DS BLIMBING 38</t>
  </si>
  <si>
    <t>045941</t>
  </si>
  <si>
    <t>514111113282</t>
  </si>
  <si>
    <t>PJU DS KRATON 416</t>
  </si>
  <si>
    <t>045697</t>
  </si>
  <si>
    <t>514111156987</t>
  </si>
  <si>
    <t>PJU DS DATENGAN RT 3 RW 1</t>
  </si>
  <si>
    <t>DATENGAN</t>
  </si>
  <si>
    <t>046056</t>
  </si>
  <si>
    <t>514111219761</t>
  </si>
  <si>
    <t>PJU PERUM BUKIT PODANG 1</t>
  </si>
  <si>
    <t>045808</t>
  </si>
  <si>
    <t>514111219994</t>
  </si>
  <si>
    <t>PJU GRAND JABON REGENCY</t>
  </si>
  <si>
    <t>GRAND JABON REGENCY</t>
  </si>
  <si>
    <t>045831</t>
  </si>
  <si>
    <t>514111256546</t>
  </si>
  <si>
    <t>PJU DS PUHSARANG SEMEN</t>
  </si>
  <si>
    <t>045827</t>
  </si>
  <si>
    <t>514111264097</t>
  </si>
  <si>
    <t>PJU DN GUWOREJO RT12 RW10</t>
  </si>
  <si>
    <t>GUWOREJO</t>
  </si>
  <si>
    <t>052426</t>
  </si>
  <si>
    <t>514111288356</t>
  </si>
  <si>
    <t>DAN. TAROKAN KRAJAN RT. 01 RW.</t>
  </si>
  <si>
    <t>010864</t>
  </si>
  <si>
    <t>514111293649</t>
  </si>
  <si>
    <t>PJU JEMBATAN NGADI</t>
  </si>
  <si>
    <t>013050</t>
  </si>
  <si>
    <t>514111318186</t>
  </si>
  <si>
    <t>PJU DS SELOPANGGUNG</t>
  </si>
  <si>
    <t>026902</t>
  </si>
  <si>
    <t>JUMLAH ULP GROGOL</t>
  </si>
  <si>
    <t>WILAYAH ULP KERTOSONO</t>
  </si>
  <si>
    <t>514541371991</t>
  </si>
  <si>
    <t>PJU DESA JUWET</t>
  </si>
  <si>
    <t>JUWET KEC KUNJANG</t>
  </si>
  <si>
    <t>030066</t>
  </si>
  <si>
    <t>514541419189</t>
  </si>
  <si>
    <t>JUWET KEL JUWET KEC KUNJANG</t>
  </si>
  <si>
    <t>039943</t>
  </si>
  <si>
    <t>514580984446</t>
  </si>
  <si>
    <t>PJU DS PAYAMAN</t>
  </si>
  <si>
    <t>PAYAMAN - WONOKERTO</t>
  </si>
  <si>
    <t>003604</t>
  </si>
  <si>
    <t>514581024262</t>
  </si>
  <si>
    <t>PJU DESA SUKOHARJO</t>
  </si>
  <si>
    <t>SUKOHARJO KEC PLEMAHAN</t>
  </si>
  <si>
    <t>010183</t>
  </si>
  <si>
    <t>514581024270</t>
  </si>
  <si>
    <t>PJU DESA BELOR</t>
  </si>
  <si>
    <t>BELOR KEC PURWOASRI</t>
  </si>
  <si>
    <t>009398</t>
  </si>
  <si>
    <t>514581024288</t>
  </si>
  <si>
    <t>PJU DESA WONOREJO</t>
  </si>
  <si>
    <t>WONOREJO KEC KUNJANG</t>
  </si>
  <si>
    <t>036994</t>
  </si>
  <si>
    <t>514581024296</t>
  </si>
  <si>
    <t>PJU DESA PURWODADI</t>
  </si>
  <si>
    <t>PURWODADI KEC PURWOASRI</t>
  </si>
  <si>
    <t>000620</t>
  </si>
  <si>
    <t>514581024300</t>
  </si>
  <si>
    <t>PJU DESA TENGGER</t>
  </si>
  <si>
    <t>TENGGER KEC KUNJANG</t>
  </si>
  <si>
    <t>004897</t>
  </si>
  <si>
    <t>514581028540</t>
  </si>
  <si>
    <t>PJU NGINO 1</t>
  </si>
  <si>
    <t>NGIO GD 87 C3</t>
  </si>
  <si>
    <t>014369</t>
  </si>
  <si>
    <t>514581054548</t>
  </si>
  <si>
    <t>PJU WONOTENGAH</t>
  </si>
  <si>
    <t>WONOTENGAH KEC PURWOASRI</t>
  </si>
  <si>
    <t>003977</t>
  </si>
  <si>
    <t>514581054555</t>
  </si>
  <si>
    <t>PJU BLAWE</t>
  </si>
  <si>
    <t>BLAWE KEC PURWOASRI</t>
  </si>
  <si>
    <t>029292</t>
  </si>
  <si>
    <t>514581054833</t>
  </si>
  <si>
    <t>PLEMAHAN KEC PLEMAHAN</t>
  </si>
  <si>
    <t>514581056790</t>
  </si>
  <si>
    <t>LAMPU PJU</t>
  </si>
  <si>
    <t>DAYU KEC PURWOASRI</t>
  </si>
  <si>
    <t>038458</t>
  </si>
  <si>
    <t>514581077256</t>
  </si>
  <si>
    <t>PJU DS PURWODADI 06</t>
  </si>
  <si>
    <t>PURWODADI, KEC PURWOASRI</t>
  </si>
  <si>
    <t>038324</t>
  </si>
  <si>
    <t>514581077264</t>
  </si>
  <si>
    <t>PJU DS MUNENG KULON 03</t>
  </si>
  <si>
    <t>MUNENG KEC PURWOASRI</t>
  </si>
  <si>
    <t>008963</t>
  </si>
  <si>
    <t>514581077272</t>
  </si>
  <si>
    <t>PJU DS MUNENG KULON 02</t>
  </si>
  <si>
    <t>007455</t>
  </si>
  <si>
    <t>514581077280</t>
  </si>
  <si>
    <t>PJU DS MUNENG 04</t>
  </si>
  <si>
    <t>MUNENG PURWOASRI</t>
  </si>
  <si>
    <t>003393</t>
  </si>
  <si>
    <t>514581077298</t>
  </si>
  <si>
    <t>PJU DS PURWODADI 05</t>
  </si>
  <si>
    <t>PURWODADI KEC PURWOASSRI</t>
  </si>
  <si>
    <t>012152</t>
  </si>
  <si>
    <t>514581077302</t>
  </si>
  <si>
    <t>PJU DS MEKIKIS 01</t>
  </si>
  <si>
    <t>MEKIKIS KEC PURWOASRI</t>
  </si>
  <si>
    <t>040423</t>
  </si>
  <si>
    <t>514581077310</t>
  </si>
  <si>
    <t>PJU DS TEMPLEK 07</t>
  </si>
  <si>
    <t>PURWOASRI, KEC PURWOASRI</t>
  </si>
  <si>
    <t>007862</t>
  </si>
  <si>
    <t>514581081401</t>
  </si>
  <si>
    <t>PJU JL WONOTENGAH-MERJOYO</t>
  </si>
  <si>
    <t>KEMPLENG DS MERJOYO KEC PURWOA</t>
  </si>
  <si>
    <t>005462</t>
  </si>
  <si>
    <t>JUMLAH ULP KERTOSONO</t>
  </si>
  <si>
    <t>WILAYAH ULP WARUJAYENG</t>
  </si>
  <si>
    <t>514111289693</t>
  </si>
  <si>
    <t>PJU NGELUK</t>
  </si>
  <si>
    <t>NGELUK</t>
  </si>
  <si>
    <t>027918</t>
  </si>
  <si>
    <t>514591035671</t>
  </si>
  <si>
    <t>PJU DESA JATI</t>
  </si>
  <si>
    <t>JATI</t>
  </si>
  <si>
    <t>028030</t>
  </si>
  <si>
    <t>514591035689</t>
  </si>
  <si>
    <t>PJU DESA BLIMBING</t>
  </si>
  <si>
    <t>028093</t>
  </si>
  <si>
    <t>514591035697</t>
  </si>
  <si>
    <t>PJU DESA KEREP</t>
  </si>
  <si>
    <t>KEREP</t>
  </si>
  <si>
    <t>028333</t>
  </si>
  <si>
    <t>JUMLAH ULP WARUJAYENG</t>
  </si>
  <si>
    <t>REKAPITULASI  :</t>
  </si>
  <si>
    <t>NO</t>
  </si>
  <si>
    <t>WILAYAH</t>
  </si>
  <si>
    <t>LBR</t>
  </si>
  <si>
    <t>JML RUPIAH</t>
  </si>
  <si>
    <t>DAYA</t>
  </si>
  <si>
    <t>WILAYAH PLN ULP KEDIRI  KOTA</t>
  </si>
  <si>
    <t>WILAYAH PLN ULP TULUNGAGUNG</t>
  </si>
  <si>
    <t>WILAYAH PLN ULP  PARE</t>
  </si>
  <si>
    <t>WILAYAH PLN ULP NGADILUWIH</t>
  </si>
  <si>
    <t>WILAYAH PLN ULP GROGOL</t>
  </si>
  <si>
    <t>WILAYAH PLN ULP KERTOSONO</t>
  </si>
  <si>
    <t>WILAYAH PLN ULP WARUJAYENG</t>
  </si>
  <si>
    <t>TOTAL</t>
  </si>
  <si>
    <t>Terbilang :</t>
  </si>
  <si>
    <t>Kediri, 21 Mei 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</si>
  <si>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</t>
  </si>
  <si>
    <t>VIVI ISLAMIYAH PRATIWI</t>
  </si>
  <si>
    <t>REKENING LISTRIK BULAN : JUNI 2025</t>
  </si>
  <si>
    <t>PJU DS BLABAK</t>
  </si>
  <si>
    <t>PJU REMBANG KEPUH</t>
  </si>
  <si>
    <t>PJU WONOREJO</t>
  </si>
  <si>
    <t>PJU WONOREJO WATES</t>
  </si>
  <si>
    <t>PJU DESA SAMBI</t>
  </si>
  <si>
    <t>PJU POJOK WATES</t>
  </si>
  <si>
    <t>PJU SIDOMULYO WATES</t>
  </si>
  <si>
    <t>PJU WONOREJO NGADILUIWIH</t>
  </si>
  <si>
    <t>P J U</t>
  </si>
  <si>
    <t>P.J.U DS. PAGU</t>
  </si>
  <si>
    <t>PJU BANGGLE</t>
  </si>
  <si>
    <t>PJU. JEMEKAN</t>
  </si>
  <si>
    <t>PJU BLEBER</t>
  </si>
  <si>
    <t>PJU BOLODEWO WATES</t>
  </si>
  <si>
    <t>PJU SILIR WATES</t>
  </si>
  <si>
    <t>PJU BADAL NGADILUWIH</t>
  </si>
  <si>
    <t>PJU NAMBAAN BARU</t>
  </si>
  <si>
    <t>PJU PURWODADI BARU</t>
  </si>
  <si>
    <t>PJU SELODONO BARU</t>
  </si>
  <si>
    <t>PJU KANDAT BARU</t>
  </si>
  <si>
    <t>PJU BLABAK KANDAT BARU</t>
  </si>
  <si>
    <t>PJU PULE SELATAN BARU</t>
  </si>
  <si>
    <t>PJU SUMBERJO BARU</t>
  </si>
  <si>
    <t>PJU GADUNGAN BARU</t>
  </si>
  <si>
    <t>PJU TEMPUREJO BARU</t>
  </si>
  <si>
    <t>PJU BLEBER KRAS BARU</t>
  </si>
  <si>
    <t>PJU TAMBANGAN</t>
  </si>
  <si>
    <t>LPJU RINGINREJO BARU</t>
  </si>
  <si>
    <t>PJU GAPURO TUGU BATAS</t>
  </si>
  <si>
    <t>PJU BLABAK I</t>
  </si>
  <si>
    <t>PJU BLABAK II</t>
  </si>
  <si>
    <t>PJU JOHO I</t>
  </si>
  <si>
    <t>PJU JOHO II</t>
  </si>
  <si>
    <t>PJU BEDUG NGADILUWIH</t>
  </si>
  <si>
    <t>PJU TEGALAN I</t>
  </si>
  <si>
    <t>PJU TEGALAN II</t>
  </si>
  <si>
    <t>PJU DS KNDAT</t>
  </si>
  <si>
    <t>PJU TALES UTARA</t>
  </si>
  <si>
    <t>PJU NGADIREJO</t>
  </si>
  <si>
    <t>PJU DAWUNG 3</t>
  </si>
  <si>
    <t>PJU CANGKRING</t>
  </si>
  <si>
    <t>PJU NGROMBEH</t>
  </si>
  <si>
    <t>PJU BRANGGAHAN 2</t>
  </si>
  <si>
    <t>PJU PURWOREJO</t>
  </si>
  <si>
    <t>PJU CENDONO 1</t>
  </si>
  <si>
    <t>PJU BANJAREJO 1</t>
  </si>
  <si>
    <t>PJU DUKUH 1</t>
  </si>
  <si>
    <t>PJU BATUAJI 1</t>
  </si>
  <si>
    <t>PJU TALES 2</t>
  </si>
  <si>
    <t>PJU SELOSARI</t>
  </si>
  <si>
    <t>PJU SLUMBUNG 3</t>
  </si>
  <si>
    <t>PJU NAMBAAN 2</t>
  </si>
  <si>
    <t>PJU KARANGREJO 5</t>
  </si>
  <si>
    <t>PJU KARANGREJO 1</t>
  </si>
  <si>
    <t>PJU BANJAREJO</t>
  </si>
  <si>
    <t>PJU DEYENG 4</t>
  </si>
  <si>
    <t>PJU REMBANG</t>
  </si>
  <si>
    <t>PJU JATEN</t>
  </si>
  <si>
    <t>PJU REMBANG 1</t>
  </si>
  <si>
    <t>PJU BRANGGAHAN 4</t>
  </si>
  <si>
    <t>PJU DAWUNG 6</t>
  </si>
  <si>
    <t>PJU TAWANGREJO</t>
  </si>
  <si>
    <t>PJU BRANGGAHAN 3</t>
  </si>
  <si>
    <t>PJU DEYENG 8</t>
  </si>
  <si>
    <t>PJU KARANGREJO 4</t>
  </si>
  <si>
    <t>Manager</t>
  </si>
  <si>
    <t>BIAYA ADMIN BANK</t>
  </si>
  <si>
    <t>TOTAL TAGIHAN</t>
  </si>
  <si>
    <t xml:space="preserve">TOTAL TAGIHAN </t>
  </si>
  <si>
    <t>MENYETUJUI :</t>
  </si>
  <si>
    <t>MENGETAHUI :</t>
  </si>
  <si>
    <t>Lunas Dibayar :</t>
  </si>
  <si>
    <t>Kuasa Pengguna Anggaran</t>
  </si>
  <si>
    <t>P P T K</t>
  </si>
  <si>
    <t>Bendahara Pengeluaran Pembantu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</si>
  <si>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</si>
  <si>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AINUR ROZI, ST., MAP.</t>
  </si>
  <si>
    <t>HARIYANTO, ST.</t>
  </si>
  <si>
    <t>YOGA PUDYASTAWA, A. Md. T</t>
  </si>
  <si>
    <t xml:space="preserve">NIP. 19700308 201001 1 003
</t>
  </si>
  <si>
    <t>NIP. 19680307 198910 1 002</t>
  </si>
  <si>
    <t>NIP. 19971025 202012 1 006</t>
  </si>
  <si>
    <t>Kediri,          Juni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</si>
</sst>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_);\(0\)"/>
    <numFmt numFmtId="168" formatCode="#,##0;[Red]#,##0"/>
    <numFmt numFmtId="169" formatCode="0_);[Red]\(0\)"/>
    <numFmt numFmtId="171" formatCode="_-* #,##0_-;\-* #,##0_-;_-* &quot;-&quot;??_-;_-@_-"/>
    <numFmt numFmtId="172" formatCode="#,##0_);\(#,##0\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1"/>
      <color rgb="FF000000"/>
      <name val="Arial"/>
      <family val="2"/>
    </font>
    <font>
      <b/>
      <sz val="11"/>
      <color indexed="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2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6" fontId="3" fillId="0" borderId="1" xfId="1" applyNumberFormat="1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right" vertical="center"/>
    </xf>
    <xf numFmtId="37" fontId="3" fillId="0" borderId="1" xfId="1" applyNumberFormat="1" applyFont="1" applyFill="1" applyBorder="1" applyAlignment="1">
      <alignment horizontal="right" vertical="center"/>
    </xf>
    <xf numFmtId="166" fontId="3" fillId="0" borderId="1" xfId="1" applyNumberFormat="1" applyFont="1" applyFill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1" fontId="4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6" fontId="5" fillId="0" borderId="0" xfId="1" applyNumberFormat="1" applyFont="1" applyFill="1" applyAlignment="1">
      <alignment vertical="center"/>
    </xf>
    <xf numFmtId="1" fontId="5" fillId="0" borderId="0" xfId="1" applyNumberFormat="1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166" fontId="5" fillId="0" borderId="1" xfId="1" applyNumberFormat="1" applyFont="1" applyFill="1" applyBorder="1" applyAlignment="1">
      <alignment vertical="center"/>
    </xf>
    <xf numFmtId="1" fontId="5" fillId="0" borderId="1" xfId="1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right" vertical="center" wrapText="1"/>
    </xf>
    <xf numFmtId="1" fontId="6" fillId="0" borderId="1" xfId="1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1" fontId="6" fillId="0" borderId="0" xfId="1" applyNumberFormat="1" applyFont="1" applyFill="1" applyAlignment="1">
      <alignment vertical="center"/>
    </xf>
    <xf numFmtId="166" fontId="6" fillId="0" borderId="0" xfId="1" applyNumberFormat="1" applyFont="1" applyFill="1" applyAlignment="1">
      <alignment vertical="center"/>
    </xf>
    <xf numFmtId="3" fontId="5" fillId="0" borderId="0" xfId="0" applyNumberFormat="1" applyFont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37" fontId="6" fillId="0" borderId="1" xfId="0" applyNumberFormat="1" applyFont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1" fontId="6" fillId="0" borderId="1" xfId="1" applyNumberFormat="1" applyFont="1" applyFill="1" applyBorder="1" applyAlignment="1">
      <alignment vertical="center"/>
    </xf>
    <xf numFmtId="37" fontId="6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vertical="center"/>
    </xf>
    <xf numFmtId="1" fontId="4" fillId="0" borderId="1" xfId="1" applyNumberFormat="1" applyFont="1" applyFill="1" applyBorder="1" applyAlignment="1">
      <alignment vertical="center"/>
    </xf>
    <xf numFmtId="37" fontId="5" fillId="0" borderId="0" xfId="0" applyNumberFormat="1" applyFont="1" applyAlignment="1">
      <alignment horizontal="center" vertical="center"/>
    </xf>
    <xf numFmtId="166" fontId="4" fillId="0" borderId="1" xfId="1" applyNumberFormat="1" applyFont="1" applyFill="1" applyBorder="1" applyAlignment="1">
      <alignment vertical="center"/>
    </xf>
    <xf numFmtId="37" fontId="5" fillId="0" borderId="1" xfId="0" applyNumberFormat="1" applyFont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166" fontId="5" fillId="0" borderId="1" xfId="1" applyNumberFormat="1" applyFont="1" applyFill="1" applyBorder="1" applyAlignment="1" applyProtection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right" vertical="center"/>
    </xf>
    <xf numFmtId="168" fontId="5" fillId="0" borderId="1" xfId="0" applyNumberFormat="1" applyFont="1" applyBorder="1" applyAlignment="1">
      <alignment horizontal="right" vertical="center"/>
    </xf>
    <xf numFmtId="168" fontId="5" fillId="0" borderId="1" xfId="1" applyNumberFormat="1" applyFont="1" applyFill="1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right" vertical="center"/>
    </xf>
    <xf numFmtId="1" fontId="6" fillId="0" borderId="1" xfId="1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vertical="center"/>
    </xf>
    <xf numFmtId="167" fontId="6" fillId="0" borderId="1" xfId="0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vertical="center"/>
    </xf>
    <xf numFmtId="168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7" fontId="6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37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166" fontId="5" fillId="0" borderId="1" xfId="3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1" fontId="5" fillId="0" borderId="0" xfId="0" applyNumberFormat="1" applyFont="1" applyAlignment="1">
      <alignment horizontal="center" vertical="center"/>
    </xf>
    <xf numFmtId="166" fontId="5" fillId="0" borderId="1" xfId="1" applyNumberFormat="1" applyFont="1" applyFill="1" applyBorder="1" applyAlignment="1">
      <alignment horizontal="right" vertical="center" wrapText="1"/>
    </xf>
    <xf numFmtId="1" fontId="5" fillId="0" borderId="1" xfId="1" applyNumberFormat="1" applyFont="1" applyFill="1" applyBorder="1" applyAlignment="1">
      <alignment horizontal="right" vertical="center" wrapText="1"/>
    </xf>
    <xf numFmtId="164" fontId="5" fillId="0" borderId="0" xfId="2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8" fontId="6" fillId="0" borderId="1" xfId="0" applyNumberFormat="1" applyFont="1" applyBorder="1" applyAlignment="1">
      <alignment horizontal="center" vertical="center" wrapText="1"/>
    </xf>
    <xf numFmtId="168" fontId="5" fillId="0" borderId="0" xfId="0" applyNumberFormat="1" applyFont="1" applyAlignment="1">
      <alignment horizontal="center" vertical="center" wrapText="1"/>
    </xf>
    <xf numFmtId="166" fontId="5" fillId="0" borderId="0" xfId="1" applyNumberFormat="1" applyFont="1" applyFill="1" applyBorder="1" applyAlignment="1">
      <alignment vertical="center"/>
    </xf>
    <xf numFmtId="1" fontId="5" fillId="0" borderId="0" xfId="1" applyNumberFormat="1" applyFont="1" applyFill="1" applyBorder="1" applyAlignment="1">
      <alignment vertical="center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38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vertical="center"/>
    </xf>
    <xf numFmtId="1" fontId="9" fillId="0" borderId="1" xfId="1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37" fontId="5" fillId="0" borderId="0" xfId="0" applyNumberFormat="1" applyFont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  <xf numFmtId="169" fontId="6" fillId="0" borderId="0" xfId="0" applyNumberFormat="1" applyFont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1" fontId="5" fillId="0" borderId="1" xfId="0" applyNumberFormat="1" applyFont="1" applyBorder="1" applyAlignment="1">
      <alignment vertical="center"/>
    </xf>
    <xf numFmtId="38" fontId="5" fillId="0" borderId="0" xfId="0" applyNumberFormat="1" applyFont="1" applyAlignment="1">
      <alignment horizontal="center" vertical="center"/>
    </xf>
    <xf numFmtId="164" fontId="5" fillId="0" borderId="0" xfId="2" applyFont="1" applyFill="1" applyAlignment="1">
      <alignment horizontal="center" vertical="center"/>
    </xf>
    <xf numFmtId="164" fontId="5" fillId="0" borderId="0" xfId="0" applyNumberFormat="1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2" applyFont="1" applyFill="1" applyBorder="1" applyAlignment="1">
      <alignment vertical="center"/>
    </xf>
    <xf numFmtId="164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vertical="center"/>
    </xf>
    <xf numFmtId="166" fontId="6" fillId="0" borderId="1" xfId="1" applyNumberFormat="1" applyFont="1" applyFill="1" applyBorder="1" applyAlignment="1">
      <alignment horizontal="center"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167" fontId="4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166" fontId="6" fillId="0" borderId="1" xfId="1" applyNumberFormat="1" applyFont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Border="1" applyAlignment="1">
      <alignment horizontal="right" vertical="center"/>
    </xf>
    <xf numFmtId="166" fontId="6" fillId="0" borderId="1" xfId="1" applyNumberFormat="1" applyFont="1" applyBorder="1" applyAlignment="1">
      <alignment horizontal="right" vertical="center"/>
    </xf>
    <xf numFmtId="166" fontId="6" fillId="0" borderId="1" xfId="1" applyNumberFormat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vertical="center"/>
    </xf>
    <xf numFmtId="166" fontId="5" fillId="0" borderId="1" xfId="1" applyNumberFormat="1" applyFont="1" applyBorder="1" applyAlignment="1">
      <alignment vertical="center"/>
    </xf>
    <xf numFmtId="166" fontId="5" fillId="0" borderId="0" xfId="1" applyNumberFormat="1" applyFont="1" applyAlignment="1">
      <alignment vertical="center"/>
    </xf>
    <xf numFmtId="0" fontId="11" fillId="0" borderId="0" xfId="0" applyFont="1" applyAlignment="1">
      <alignment vertical="center"/>
    </xf>
    <xf numFmtId="166" fontId="5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37" fontId="3" fillId="0" borderId="7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164" fontId="6" fillId="0" borderId="29" xfId="2" applyFont="1" applyFill="1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37" fontId="3" fillId="0" borderId="22" xfId="0" applyNumberFormat="1" applyFont="1" applyBorder="1" applyAlignment="1">
      <alignment horizontal="center" vertical="center"/>
    </xf>
    <xf numFmtId="37" fontId="3" fillId="0" borderId="23" xfId="0" applyNumberFormat="1" applyFont="1" applyBorder="1" applyAlignment="1">
      <alignment horizontal="center" vertical="center"/>
    </xf>
    <xf numFmtId="37" fontId="6" fillId="0" borderId="24" xfId="0" applyNumberFormat="1" applyFont="1" applyBorder="1" applyAlignment="1">
      <alignment horizontal="center" vertical="center"/>
    </xf>
    <xf numFmtId="164" fontId="3" fillId="0" borderId="26" xfId="2" applyFont="1" applyFill="1" applyBorder="1" applyAlignment="1">
      <alignment vertical="center"/>
    </xf>
    <xf numFmtId="164" fontId="3" fillId="0" borderId="27" xfId="2" applyFont="1" applyFill="1" applyBorder="1" applyAlignment="1">
      <alignment vertical="center"/>
    </xf>
    <xf numFmtId="164" fontId="3" fillId="0" borderId="28" xfId="2" applyFont="1" applyFill="1" applyBorder="1" applyAlignment="1">
      <alignment vertical="center"/>
    </xf>
    <xf numFmtId="37" fontId="3" fillId="0" borderId="18" xfId="0" applyNumberFormat="1" applyFont="1" applyBorder="1" applyAlignment="1">
      <alignment horizontal="center" vertical="center"/>
    </xf>
    <xf numFmtId="37" fontId="3" fillId="0" borderId="12" xfId="0" applyNumberFormat="1" applyFont="1" applyBorder="1" applyAlignment="1">
      <alignment horizontal="center" vertical="center"/>
    </xf>
    <xf numFmtId="37" fontId="3" fillId="0" borderId="14" xfId="0" applyNumberFormat="1" applyFont="1" applyBorder="1" applyAlignment="1">
      <alignment horizontal="center" vertical="center"/>
    </xf>
    <xf numFmtId="37" fontId="6" fillId="0" borderId="16" xfId="0" applyNumberFormat="1" applyFont="1" applyBorder="1" applyAlignment="1">
      <alignment horizontal="center" vertical="center"/>
    </xf>
    <xf numFmtId="166" fontId="6" fillId="0" borderId="22" xfId="0" applyNumberFormat="1" applyFont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center"/>
    </xf>
    <xf numFmtId="166" fontId="6" fillId="0" borderId="23" xfId="0" applyNumberFormat="1" applyFont="1" applyBorder="1" applyAlignment="1">
      <alignment horizontal="center" vertical="center"/>
    </xf>
    <xf numFmtId="166" fontId="6" fillId="0" borderId="24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166" fontId="12" fillId="0" borderId="0" xfId="1" applyNumberFormat="1" applyFont="1" applyAlignment="1">
      <alignment vertical="center"/>
    </xf>
    <xf numFmtId="171" fontId="5" fillId="0" borderId="0" xfId="1" applyNumberFormat="1" applyFont="1" applyFill="1" applyAlignment="1">
      <alignment vertical="center"/>
    </xf>
    <xf numFmtId="164" fontId="5" fillId="0" borderId="0" xfId="2" applyFont="1" applyAlignment="1">
      <alignment horizontal="center" vertical="center"/>
    </xf>
    <xf numFmtId="164" fontId="5" fillId="0" borderId="0" xfId="2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72" fontId="5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vertical="center"/>
    </xf>
    <xf numFmtId="164" fontId="3" fillId="0" borderId="0" xfId="2" applyFont="1" applyAlignment="1">
      <alignment vertical="center"/>
    </xf>
    <xf numFmtId="164" fontId="6" fillId="0" borderId="0" xfId="2" applyFont="1" applyFill="1" applyBorder="1" applyAlignment="1">
      <alignment vertical="center"/>
    </xf>
    <xf numFmtId="172" fontId="6" fillId="0" borderId="0" xfId="0" applyNumberFormat="1" applyFont="1" applyAlignment="1">
      <alignment horizontal="right" vertical="center"/>
    </xf>
    <xf numFmtId="172" fontId="6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172" fontId="14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 wrapText="1"/>
    </xf>
    <xf numFmtId="1" fontId="14" fillId="0" borderId="0" xfId="0" applyNumberFormat="1" applyFont="1" applyAlignment="1">
      <alignment horizontal="center" vertical="center" wrapText="1"/>
    </xf>
    <xf numFmtId="164" fontId="5" fillId="0" borderId="0" xfId="2" applyFont="1" applyAlignment="1">
      <alignment horizontal="center" vertical="center" wrapText="1"/>
    </xf>
    <xf numFmtId="164" fontId="5" fillId="0" borderId="0" xfId="2" applyFont="1" applyAlignment="1">
      <alignment horizontal="center" vertical="center" wrapText="1"/>
    </xf>
  </cellXfs>
  <cellStyles count="4">
    <cellStyle name="Comma" xfId="1" builtinId="3"/>
    <cellStyle name="Comma [0]" xfId="2" builtinId="6"/>
    <cellStyle name="Comma 23" xfId="3" xr:uid="{00000000-0005-0000-0000-000002000000}"/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257736</xdr:colOff>
      <xdr:row>0</xdr:row>
      <xdr:rowOff>75079</xdr:rowOff>
    </xdr:from>
    <xdr:to>
      <xdr:col>19</xdr:col>
      <xdr:colOff>986118</xdr:colOff>
      <xdr:row>2</xdr:row>
      <xdr:rowOff>207247</xdr:rowOff>
    </xdr:to>
    <xdr:pic>
      <xdr:nvPicPr>
        <xdr:cNvPr id="2" name="Picture 321">
          <a:extLst>
            <a:ext uri="{FF2B5EF4-FFF2-40B4-BE49-F238E27FC236}">
              <a16:creationId xmlns:a16="http://schemas.microsoft.com/office/drawing/2014/main" id="{00000000-0008-0000-0E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" t="20313" r="59471" b="8810"/>
        <a:stretch>
          <a:fillRect/>
        </a:stretch>
      </xdr:blipFill>
      <xdr:spPr>
        <a:xfrm>
          <a:off x="19744765" y="75079"/>
          <a:ext cx="728382" cy="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OneDrive\Desktop\Udin.xla" TargetMode="External"/><Relationship Id="rId1" Type="http://schemas.openxmlformats.org/officeDocument/2006/relationships/externalLinkPath" Target="file:///C:\Users\HP\OneDrive\Desktop\Udin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erwien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399"/>
  <sheetViews>
    <sheetView tabSelected="1" view="pageBreakPreview" topLeftCell="A1329" zoomScale="85" zoomScaleNormal="100" zoomScaleSheetLayoutView="85" workbookViewId="0">
      <selection activeCell="P1341" sqref="P1341:R1341"/>
    </sheetView>
  </sheetViews>
  <sheetFormatPr defaultColWidth="9.28515625" defaultRowHeight="21" customHeight="1" x14ac:dyDescent="0.25"/>
  <cols>
    <col min="1" max="1" width="5.42578125" style="13" customWidth="1"/>
    <col min="2" max="2" width="18" style="14" customWidth="1"/>
    <col min="3" max="3" width="30.7109375" style="13" customWidth="1"/>
    <col min="4" max="4" width="10.28515625" style="13" customWidth="1"/>
    <col min="5" max="5" width="35.28515625" style="13" customWidth="1"/>
    <col min="6" max="6" width="7" style="14" customWidth="1"/>
    <col min="7" max="8" width="15" style="14" customWidth="1"/>
    <col min="9" max="11" width="13.7109375" style="14" customWidth="1"/>
    <col min="12" max="12" width="14" style="14" customWidth="1"/>
    <col min="13" max="13" width="19.7109375" style="16" customWidth="1"/>
    <col min="14" max="14" width="15.28515625" style="17" customWidth="1"/>
    <col min="15" max="15" width="9" style="17" customWidth="1"/>
    <col min="16" max="16" width="8.7109375" style="17" customWidth="1"/>
    <col min="17" max="17" width="14.28515625" style="16" customWidth="1"/>
    <col min="18" max="20" width="17.42578125" style="16" customWidth="1"/>
    <col min="21" max="16384" width="9.28515625" style="13"/>
  </cols>
  <sheetData>
    <row r="1" spans="1:20" ht="21" customHeight="1" x14ac:dyDescent="0.25">
      <c r="C1" s="15" t="s">
        <v>0</v>
      </c>
    </row>
    <row r="2" spans="1:20" ht="21" customHeight="1" x14ac:dyDescent="0.25">
      <c r="C2" s="15" t="s">
        <v>0</v>
      </c>
    </row>
    <row r="3" spans="1:20" ht="21" customHeight="1" x14ac:dyDescent="0.25">
      <c r="C3" s="15" t="s">
        <v>0</v>
      </c>
    </row>
    <row r="4" spans="1:20" ht="21" customHeight="1" x14ac:dyDescent="0.25">
      <c r="C4" s="15" t="s">
        <v>0</v>
      </c>
      <c r="H4" s="18" t="s">
        <v>0</v>
      </c>
      <c r="T4" s="14" t="s">
        <v>1</v>
      </c>
    </row>
    <row r="5" spans="1:20" ht="21" customHeight="1" x14ac:dyDescent="0.25">
      <c r="C5" s="15" t="s">
        <v>0</v>
      </c>
      <c r="L5" s="13"/>
    </row>
    <row r="6" spans="1:20" s="160" customFormat="1" ht="39" customHeight="1" x14ac:dyDescent="0.25">
      <c r="A6" s="165" t="s">
        <v>2</v>
      </c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</row>
    <row r="7" spans="1:20" s="160" customFormat="1" ht="39" customHeight="1" x14ac:dyDescent="0.25">
      <c r="A7" s="165" t="s">
        <v>3588</v>
      </c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</row>
    <row r="8" spans="1:20" ht="21" customHeight="1" x14ac:dyDescent="0.25">
      <c r="A8" s="18"/>
      <c r="B8" s="18"/>
      <c r="C8" s="18"/>
      <c r="D8" s="18"/>
      <c r="E8" s="18"/>
      <c r="F8" s="18"/>
      <c r="G8" s="18"/>
      <c r="H8" s="18"/>
    </row>
    <row r="9" spans="1:20" ht="21" customHeight="1" x14ac:dyDescent="0.25">
      <c r="A9" s="19" t="s">
        <v>3</v>
      </c>
      <c r="B9" s="18"/>
    </row>
    <row r="10" spans="1:20" s="93" customFormat="1" ht="42" customHeight="1" x14ac:dyDescent="0.25">
      <c r="A10" s="31" t="s">
        <v>4</v>
      </c>
      <c r="B10" s="31" t="s">
        <v>5</v>
      </c>
      <c r="C10" s="31" t="s">
        <v>6</v>
      </c>
      <c r="D10" s="22"/>
      <c r="E10" s="31" t="s">
        <v>7</v>
      </c>
      <c r="F10" s="31" t="s">
        <v>8</v>
      </c>
      <c r="G10" s="31" t="s">
        <v>9</v>
      </c>
      <c r="H10" s="31" t="s">
        <v>10</v>
      </c>
      <c r="I10" s="31" t="s">
        <v>11</v>
      </c>
      <c r="J10" s="31" t="s">
        <v>12</v>
      </c>
      <c r="K10" s="31" t="s">
        <v>13</v>
      </c>
      <c r="L10" s="31" t="s">
        <v>14</v>
      </c>
      <c r="M10" s="141" t="s">
        <v>15</v>
      </c>
      <c r="N10" s="142" t="s">
        <v>16</v>
      </c>
      <c r="O10" s="142" t="s">
        <v>17</v>
      </c>
      <c r="P10" s="142" t="s">
        <v>18</v>
      </c>
      <c r="Q10" s="141" t="s">
        <v>19</v>
      </c>
      <c r="R10" s="141" t="s">
        <v>20</v>
      </c>
      <c r="S10" s="141" t="s">
        <v>3655</v>
      </c>
      <c r="T10" s="141" t="s">
        <v>3656</v>
      </c>
    </row>
    <row r="11" spans="1:20" ht="21" customHeight="1" x14ac:dyDescent="0.25">
      <c r="A11" s="21">
        <v>1</v>
      </c>
      <c r="B11" s="63" t="s">
        <v>21</v>
      </c>
      <c r="C11" s="62" t="s">
        <v>22</v>
      </c>
      <c r="D11" s="24" t="s">
        <v>23</v>
      </c>
      <c r="E11" s="62" t="s">
        <v>24</v>
      </c>
      <c r="F11" s="62" t="s">
        <v>25</v>
      </c>
      <c r="G11" s="143">
        <v>3500</v>
      </c>
      <c r="H11" s="62" t="s">
        <v>26</v>
      </c>
      <c r="I11" s="62" t="s">
        <v>27</v>
      </c>
      <c r="J11" s="62"/>
      <c r="K11" s="62"/>
      <c r="L11" s="51">
        <v>166</v>
      </c>
      <c r="M11" s="51">
        <v>282122</v>
      </c>
      <c r="N11" s="144">
        <v>0</v>
      </c>
      <c r="O11" s="11">
        <v>0</v>
      </c>
      <c r="P11" s="11">
        <v>0</v>
      </c>
      <c r="Q11" s="29">
        <v>0</v>
      </c>
      <c r="R11" s="29">
        <v>282122</v>
      </c>
      <c r="S11" s="29">
        <v>3000</v>
      </c>
      <c r="T11" s="29">
        <f>R11+S11</f>
        <v>285122</v>
      </c>
    </row>
    <row r="12" spans="1:20" ht="21" customHeight="1" x14ac:dyDescent="0.25">
      <c r="A12" s="21">
        <v>2</v>
      </c>
      <c r="B12" s="63" t="s">
        <v>28</v>
      </c>
      <c r="C12" s="62" t="s">
        <v>29</v>
      </c>
      <c r="D12" s="24" t="s">
        <v>30</v>
      </c>
      <c r="E12" s="62" t="s">
        <v>31</v>
      </c>
      <c r="F12" s="62" t="s">
        <v>25</v>
      </c>
      <c r="G12" s="143">
        <v>5500</v>
      </c>
      <c r="H12" s="62" t="s">
        <v>26</v>
      </c>
      <c r="I12" s="62" t="s">
        <v>32</v>
      </c>
      <c r="J12" s="62"/>
      <c r="K12" s="62"/>
      <c r="L12" s="51">
        <v>463</v>
      </c>
      <c r="M12" s="51">
        <v>786882</v>
      </c>
      <c r="N12" s="144">
        <v>0</v>
      </c>
      <c r="O12" s="11">
        <v>0</v>
      </c>
      <c r="P12" s="11">
        <v>0</v>
      </c>
      <c r="Q12" s="29">
        <v>0</v>
      </c>
      <c r="R12" s="29">
        <v>786882</v>
      </c>
      <c r="S12" s="29">
        <v>3000</v>
      </c>
      <c r="T12" s="29">
        <f t="shared" ref="T12:T50" si="0">R12+S12</f>
        <v>789882</v>
      </c>
    </row>
    <row r="13" spans="1:20" ht="21" customHeight="1" x14ac:dyDescent="0.25">
      <c r="A13" s="21">
        <v>3</v>
      </c>
      <c r="B13" s="63" t="s">
        <v>33</v>
      </c>
      <c r="C13" s="62" t="s">
        <v>34</v>
      </c>
      <c r="D13" s="24" t="s">
        <v>30</v>
      </c>
      <c r="E13" s="62" t="s">
        <v>35</v>
      </c>
      <c r="F13" s="62" t="s">
        <v>25</v>
      </c>
      <c r="G13" s="143">
        <v>5500</v>
      </c>
      <c r="H13" s="62" t="s">
        <v>26</v>
      </c>
      <c r="I13" s="62" t="s">
        <v>36</v>
      </c>
      <c r="J13" s="62"/>
      <c r="K13" s="62"/>
      <c r="L13" s="51">
        <v>220</v>
      </c>
      <c r="M13" s="51">
        <v>373897</v>
      </c>
      <c r="N13" s="144">
        <v>0</v>
      </c>
      <c r="O13" s="11">
        <v>0</v>
      </c>
      <c r="P13" s="11">
        <v>0</v>
      </c>
      <c r="Q13" s="29">
        <v>0</v>
      </c>
      <c r="R13" s="29">
        <v>373897</v>
      </c>
      <c r="S13" s="29">
        <v>3000</v>
      </c>
      <c r="T13" s="29">
        <f t="shared" si="0"/>
        <v>376897</v>
      </c>
    </row>
    <row r="14" spans="1:20" ht="21" customHeight="1" x14ac:dyDescent="0.25">
      <c r="A14" s="21">
        <v>4</v>
      </c>
      <c r="B14" s="63" t="s">
        <v>37</v>
      </c>
      <c r="C14" s="62" t="s">
        <v>38</v>
      </c>
      <c r="D14" s="24" t="s">
        <v>30</v>
      </c>
      <c r="E14" s="62" t="s">
        <v>39</v>
      </c>
      <c r="F14" s="62" t="s">
        <v>25</v>
      </c>
      <c r="G14" s="143">
        <v>5500</v>
      </c>
      <c r="H14" s="62" t="s">
        <v>26</v>
      </c>
      <c r="I14" s="62" t="s">
        <v>40</v>
      </c>
      <c r="J14" s="62"/>
      <c r="K14" s="62"/>
      <c r="L14" s="51">
        <v>3482</v>
      </c>
      <c r="M14" s="51">
        <v>5917763</v>
      </c>
      <c r="N14" s="144">
        <v>0</v>
      </c>
      <c r="O14" s="11">
        <v>0</v>
      </c>
      <c r="P14" s="11">
        <v>0</v>
      </c>
      <c r="Q14" s="29">
        <v>10000</v>
      </c>
      <c r="R14" s="29">
        <v>5927763</v>
      </c>
      <c r="S14" s="29">
        <v>3000</v>
      </c>
      <c r="T14" s="29">
        <f t="shared" si="0"/>
        <v>5930763</v>
      </c>
    </row>
    <row r="15" spans="1:20" ht="21" customHeight="1" x14ac:dyDescent="0.25">
      <c r="A15" s="21">
        <v>5</v>
      </c>
      <c r="B15" s="63" t="s">
        <v>41</v>
      </c>
      <c r="C15" s="62" t="s">
        <v>42</v>
      </c>
      <c r="D15" s="24" t="s">
        <v>30</v>
      </c>
      <c r="E15" s="62" t="s">
        <v>35</v>
      </c>
      <c r="F15" s="62" t="s">
        <v>25</v>
      </c>
      <c r="G15" s="143">
        <v>3500</v>
      </c>
      <c r="H15" s="62" t="s">
        <v>26</v>
      </c>
      <c r="I15" s="62" t="s">
        <v>43</v>
      </c>
      <c r="J15" s="62"/>
      <c r="K15" s="62"/>
      <c r="L15" s="51">
        <v>246</v>
      </c>
      <c r="M15" s="51">
        <v>418084</v>
      </c>
      <c r="N15" s="144">
        <v>0</v>
      </c>
      <c r="O15" s="11">
        <v>0</v>
      </c>
      <c r="P15" s="11">
        <v>0</v>
      </c>
      <c r="Q15" s="29">
        <v>0</v>
      </c>
      <c r="R15" s="29">
        <v>418084</v>
      </c>
      <c r="S15" s="29">
        <v>3000</v>
      </c>
      <c r="T15" s="29">
        <f t="shared" si="0"/>
        <v>421084</v>
      </c>
    </row>
    <row r="16" spans="1:20" ht="21" customHeight="1" x14ac:dyDescent="0.25">
      <c r="A16" s="21">
        <v>6</v>
      </c>
      <c r="B16" s="63" t="s">
        <v>44</v>
      </c>
      <c r="C16" s="62" t="s">
        <v>45</v>
      </c>
      <c r="D16" s="24" t="s">
        <v>30</v>
      </c>
      <c r="E16" s="62" t="s">
        <v>46</v>
      </c>
      <c r="F16" s="62" t="s">
        <v>25</v>
      </c>
      <c r="G16" s="143">
        <v>7700</v>
      </c>
      <c r="H16" s="62" t="s">
        <v>26</v>
      </c>
      <c r="I16" s="62" t="s">
        <v>47</v>
      </c>
      <c r="J16" s="62"/>
      <c r="K16" s="62"/>
      <c r="L16" s="51">
        <v>2009</v>
      </c>
      <c r="M16" s="51">
        <v>3414356</v>
      </c>
      <c r="N16" s="144">
        <v>0</v>
      </c>
      <c r="O16" s="11">
        <v>0</v>
      </c>
      <c r="P16" s="11">
        <v>0</v>
      </c>
      <c r="Q16" s="29">
        <v>0</v>
      </c>
      <c r="R16" s="29">
        <v>3414356</v>
      </c>
      <c r="S16" s="29">
        <v>3000</v>
      </c>
      <c r="T16" s="29">
        <f t="shared" si="0"/>
        <v>3417356</v>
      </c>
    </row>
    <row r="17" spans="1:20" ht="21" customHeight="1" x14ac:dyDescent="0.25">
      <c r="A17" s="21">
        <v>7</v>
      </c>
      <c r="B17" s="63" t="s">
        <v>48</v>
      </c>
      <c r="C17" s="62" t="s">
        <v>49</v>
      </c>
      <c r="D17" s="24" t="s">
        <v>30</v>
      </c>
      <c r="E17" s="62" t="s">
        <v>50</v>
      </c>
      <c r="F17" s="62" t="s">
        <v>25</v>
      </c>
      <c r="G17" s="143">
        <v>4400</v>
      </c>
      <c r="H17" s="62" t="s">
        <v>26</v>
      </c>
      <c r="I17" s="62" t="s">
        <v>51</v>
      </c>
      <c r="J17" s="62"/>
      <c r="K17" s="62"/>
      <c r="L17" s="51">
        <v>1270</v>
      </c>
      <c r="M17" s="51">
        <v>2158403</v>
      </c>
      <c r="N17" s="144">
        <v>0</v>
      </c>
      <c r="O17" s="11">
        <v>0</v>
      </c>
      <c r="P17" s="11">
        <v>0</v>
      </c>
      <c r="Q17" s="29">
        <v>0</v>
      </c>
      <c r="R17" s="29">
        <v>2158403</v>
      </c>
      <c r="S17" s="29">
        <v>3000</v>
      </c>
      <c r="T17" s="29">
        <f t="shared" si="0"/>
        <v>2161403</v>
      </c>
    </row>
    <row r="18" spans="1:20" ht="21" customHeight="1" x14ac:dyDescent="0.25">
      <c r="A18" s="21">
        <v>8</v>
      </c>
      <c r="B18" s="63" t="s">
        <v>52</v>
      </c>
      <c r="C18" s="62" t="s">
        <v>53</v>
      </c>
      <c r="D18" s="24" t="s">
        <v>30</v>
      </c>
      <c r="E18" s="62" t="s">
        <v>54</v>
      </c>
      <c r="F18" s="62" t="s">
        <v>25</v>
      </c>
      <c r="G18" s="143">
        <v>6600</v>
      </c>
      <c r="H18" s="62" t="s">
        <v>26</v>
      </c>
      <c r="I18" s="62" t="s">
        <v>55</v>
      </c>
      <c r="J18" s="62"/>
      <c r="K18" s="62"/>
      <c r="L18" s="51">
        <v>2475</v>
      </c>
      <c r="M18" s="51">
        <v>4206337</v>
      </c>
      <c r="N18" s="144">
        <v>0</v>
      </c>
      <c r="O18" s="11">
        <v>0</v>
      </c>
      <c r="P18" s="11">
        <v>0</v>
      </c>
      <c r="Q18" s="29">
        <v>0</v>
      </c>
      <c r="R18" s="29">
        <v>4206337</v>
      </c>
      <c r="S18" s="29">
        <v>3000</v>
      </c>
      <c r="T18" s="29">
        <f t="shared" si="0"/>
        <v>4209337</v>
      </c>
    </row>
    <row r="19" spans="1:20" ht="21" customHeight="1" x14ac:dyDescent="0.25">
      <c r="A19" s="21">
        <v>9</v>
      </c>
      <c r="B19" s="63" t="s">
        <v>56</v>
      </c>
      <c r="C19" s="62" t="s">
        <v>57</v>
      </c>
      <c r="D19" s="24" t="s">
        <v>30</v>
      </c>
      <c r="E19" s="62" t="s">
        <v>58</v>
      </c>
      <c r="F19" s="62" t="s">
        <v>25</v>
      </c>
      <c r="G19" s="143">
        <v>4400</v>
      </c>
      <c r="H19" s="62" t="s">
        <v>26</v>
      </c>
      <c r="I19" s="62" t="s">
        <v>59</v>
      </c>
      <c r="J19" s="62"/>
      <c r="K19" s="62"/>
      <c r="L19" s="51">
        <v>753</v>
      </c>
      <c r="M19" s="51">
        <v>1279746</v>
      </c>
      <c r="N19" s="144">
        <v>0</v>
      </c>
      <c r="O19" s="11">
        <v>0</v>
      </c>
      <c r="P19" s="11">
        <v>0</v>
      </c>
      <c r="Q19" s="29">
        <v>0</v>
      </c>
      <c r="R19" s="29">
        <v>1279746</v>
      </c>
      <c r="S19" s="29">
        <v>3000</v>
      </c>
      <c r="T19" s="29">
        <f t="shared" si="0"/>
        <v>1282746</v>
      </c>
    </row>
    <row r="20" spans="1:20" ht="21" customHeight="1" x14ac:dyDescent="0.25">
      <c r="A20" s="21">
        <v>10</v>
      </c>
      <c r="B20" s="63" t="s">
        <v>60</v>
      </c>
      <c r="C20" s="62" t="s">
        <v>61</v>
      </c>
      <c r="D20" s="24" t="s">
        <v>30</v>
      </c>
      <c r="E20" s="62" t="s">
        <v>50</v>
      </c>
      <c r="F20" s="62" t="s">
        <v>25</v>
      </c>
      <c r="G20" s="143">
        <v>5500</v>
      </c>
      <c r="H20" s="62" t="s">
        <v>26</v>
      </c>
      <c r="I20" s="62" t="s">
        <v>62</v>
      </c>
      <c r="J20" s="62"/>
      <c r="K20" s="62"/>
      <c r="L20" s="51">
        <v>2013</v>
      </c>
      <c r="M20" s="51">
        <v>3421154</v>
      </c>
      <c r="N20" s="144">
        <v>0</v>
      </c>
      <c r="O20" s="11">
        <v>0</v>
      </c>
      <c r="P20" s="11">
        <v>0</v>
      </c>
      <c r="Q20" s="29">
        <v>0</v>
      </c>
      <c r="R20" s="29">
        <v>3421154</v>
      </c>
      <c r="S20" s="29">
        <v>3000</v>
      </c>
      <c r="T20" s="29">
        <f t="shared" si="0"/>
        <v>3424154</v>
      </c>
    </row>
    <row r="21" spans="1:20" ht="21" customHeight="1" x14ac:dyDescent="0.25">
      <c r="A21" s="21">
        <v>11</v>
      </c>
      <c r="B21" s="63" t="s">
        <v>63</v>
      </c>
      <c r="C21" s="62" t="s">
        <v>64</v>
      </c>
      <c r="D21" s="24" t="s">
        <v>30</v>
      </c>
      <c r="E21" s="62" t="s">
        <v>65</v>
      </c>
      <c r="F21" s="62" t="s">
        <v>25</v>
      </c>
      <c r="G21" s="143">
        <v>7700</v>
      </c>
      <c r="H21" s="62" t="s">
        <v>26</v>
      </c>
      <c r="I21" s="62" t="s">
        <v>66</v>
      </c>
      <c r="J21" s="62"/>
      <c r="K21" s="62"/>
      <c r="L21" s="51">
        <v>308</v>
      </c>
      <c r="M21" s="51">
        <v>523455</v>
      </c>
      <c r="N21" s="144">
        <v>0</v>
      </c>
      <c r="O21" s="11">
        <v>0</v>
      </c>
      <c r="P21" s="11">
        <v>0</v>
      </c>
      <c r="Q21" s="29">
        <v>0</v>
      </c>
      <c r="R21" s="29">
        <v>523455</v>
      </c>
      <c r="S21" s="29">
        <v>3000</v>
      </c>
      <c r="T21" s="29">
        <f t="shared" si="0"/>
        <v>526455</v>
      </c>
    </row>
    <row r="22" spans="1:20" ht="21" customHeight="1" x14ac:dyDescent="0.25">
      <c r="A22" s="21">
        <v>12</v>
      </c>
      <c r="B22" s="63" t="s">
        <v>67</v>
      </c>
      <c r="C22" s="62" t="s">
        <v>68</v>
      </c>
      <c r="D22" s="24" t="s">
        <v>30</v>
      </c>
      <c r="E22" s="62" t="s">
        <v>69</v>
      </c>
      <c r="F22" s="62" t="s">
        <v>25</v>
      </c>
      <c r="G22" s="143">
        <v>3500</v>
      </c>
      <c r="H22" s="62" t="s">
        <v>26</v>
      </c>
      <c r="I22" s="62" t="s">
        <v>70</v>
      </c>
      <c r="J22" s="62"/>
      <c r="K22" s="62"/>
      <c r="L22" s="51">
        <v>1010</v>
      </c>
      <c r="M22" s="51">
        <v>1716525</v>
      </c>
      <c r="N22" s="144">
        <v>0</v>
      </c>
      <c r="O22" s="11">
        <v>0</v>
      </c>
      <c r="P22" s="11">
        <v>0</v>
      </c>
      <c r="Q22" s="29">
        <v>0</v>
      </c>
      <c r="R22" s="29">
        <v>1716525</v>
      </c>
      <c r="S22" s="29">
        <v>3000</v>
      </c>
      <c r="T22" s="29">
        <f t="shared" si="0"/>
        <v>1719525</v>
      </c>
    </row>
    <row r="23" spans="1:20" ht="21" customHeight="1" x14ac:dyDescent="0.25">
      <c r="A23" s="21">
        <v>13</v>
      </c>
      <c r="B23" s="63" t="s">
        <v>71</v>
      </c>
      <c r="C23" s="62" t="s">
        <v>72</v>
      </c>
      <c r="D23" s="24" t="s">
        <v>30</v>
      </c>
      <c r="E23" s="62" t="s">
        <v>73</v>
      </c>
      <c r="F23" s="62" t="s">
        <v>25</v>
      </c>
      <c r="G23" s="143">
        <v>7700</v>
      </c>
      <c r="H23" s="62" t="s">
        <v>26</v>
      </c>
      <c r="I23" s="62" t="s">
        <v>74</v>
      </c>
      <c r="J23" s="62"/>
      <c r="K23" s="62"/>
      <c r="L23" s="51">
        <v>1512</v>
      </c>
      <c r="M23" s="51">
        <v>2569689</v>
      </c>
      <c r="N23" s="144">
        <v>0</v>
      </c>
      <c r="O23" s="11">
        <v>0</v>
      </c>
      <c r="P23" s="11">
        <v>0</v>
      </c>
      <c r="Q23" s="29">
        <v>0</v>
      </c>
      <c r="R23" s="29">
        <v>2569689</v>
      </c>
      <c r="S23" s="29">
        <v>3000</v>
      </c>
      <c r="T23" s="29">
        <f t="shared" si="0"/>
        <v>2572689</v>
      </c>
    </row>
    <row r="24" spans="1:20" ht="21" customHeight="1" x14ac:dyDescent="0.25">
      <c r="A24" s="21">
        <v>14</v>
      </c>
      <c r="B24" s="63" t="s">
        <v>75</v>
      </c>
      <c r="C24" s="62" t="s">
        <v>76</v>
      </c>
      <c r="D24" s="24" t="s">
        <v>30</v>
      </c>
      <c r="E24" s="62" t="s">
        <v>77</v>
      </c>
      <c r="F24" s="62" t="s">
        <v>25</v>
      </c>
      <c r="G24" s="143">
        <v>4400</v>
      </c>
      <c r="H24" s="62" t="s">
        <v>26</v>
      </c>
      <c r="I24" s="62" t="s">
        <v>78</v>
      </c>
      <c r="J24" s="62"/>
      <c r="K24" s="62"/>
      <c r="L24" s="51">
        <v>1881</v>
      </c>
      <c r="M24" s="51">
        <v>3196816</v>
      </c>
      <c r="N24" s="144">
        <v>0</v>
      </c>
      <c r="O24" s="11">
        <v>0</v>
      </c>
      <c r="P24" s="11">
        <v>0</v>
      </c>
      <c r="Q24" s="29">
        <v>0</v>
      </c>
      <c r="R24" s="29">
        <v>3196816</v>
      </c>
      <c r="S24" s="29">
        <v>3000</v>
      </c>
      <c r="T24" s="29">
        <f t="shared" si="0"/>
        <v>3199816</v>
      </c>
    </row>
    <row r="25" spans="1:20" ht="21" customHeight="1" x14ac:dyDescent="0.25">
      <c r="A25" s="21">
        <v>15</v>
      </c>
      <c r="B25" s="63" t="s">
        <v>79</v>
      </c>
      <c r="C25" s="62" t="s">
        <v>80</v>
      </c>
      <c r="D25" s="24" t="s">
        <v>30</v>
      </c>
      <c r="E25" s="62" t="s">
        <v>81</v>
      </c>
      <c r="F25" s="62" t="s">
        <v>25</v>
      </c>
      <c r="G25" s="143">
        <v>3220</v>
      </c>
      <c r="H25" s="62" t="s">
        <v>26</v>
      </c>
      <c r="I25" s="62" t="s">
        <v>82</v>
      </c>
      <c r="J25" s="62"/>
      <c r="K25" s="62"/>
      <c r="L25" s="51">
        <v>1208</v>
      </c>
      <c r="M25" s="51">
        <v>2053032</v>
      </c>
      <c r="N25" s="144">
        <v>0</v>
      </c>
      <c r="O25" s="11">
        <v>0</v>
      </c>
      <c r="P25" s="11">
        <v>0</v>
      </c>
      <c r="Q25" s="29">
        <v>0</v>
      </c>
      <c r="R25" s="29">
        <v>2053032</v>
      </c>
      <c r="S25" s="29">
        <v>3000</v>
      </c>
      <c r="T25" s="29">
        <f t="shared" si="0"/>
        <v>2056032</v>
      </c>
    </row>
    <row r="26" spans="1:20" ht="21" customHeight="1" x14ac:dyDescent="0.25">
      <c r="A26" s="21">
        <v>16</v>
      </c>
      <c r="B26" s="63" t="s">
        <v>83</v>
      </c>
      <c r="C26" s="62" t="s">
        <v>68</v>
      </c>
      <c r="D26" s="24" t="s">
        <v>84</v>
      </c>
      <c r="E26" s="62" t="s">
        <v>69</v>
      </c>
      <c r="F26" s="62" t="s">
        <v>25</v>
      </c>
      <c r="G26" s="143">
        <v>4400</v>
      </c>
      <c r="H26" s="62" t="s">
        <v>26</v>
      </c>
      <c r="I26" s="62" t="s">
        <v>85</v>
      </c>
      <c r="J26" s="62"/>
      <c r="K26" s="62"/>
      <c r="L26" s="51">
        <v>1903</v>
      </c>
      <c r="M26" s="51">
        <v>3234206</v>
      </c>
      <c r="N26" s="144">
        <v>0</v>
      </c>
      <c r="O26" s="11">
        <v>0</v>
      </c>
      <c r="P26" s="11">
        <v>0</v>
      </c>
      <c r="Q26" s="29">
        <v>0</v>
      </c>
      <c r="R26" s="29">
        <v>3234206</v>
      </c>
      <c r="S26" s="29">
        <v>3000</v>
      </c>
      <c r="T26" s="29">
        <f t="shared" si="0"/>
        <v>3237206</v>
      </c>
    </row>
    <row r="27" spans="1:20" ht="21" customHeight="1" x14ac:dyDescent="0.25">
      <c r="A27" s="21">
        <v>17</v>
      </c>
      <c r="B27" s="63" t="s">
        <v>86</v>
      </c>
      <c r="C27" s="62" t="s">
        <v>87</v>
      </c>
      <c r="D27" s="24" t="s">
        <v>30</v>
      </c>
      <c r="E27" s="62" t="s">
        <v>39</v>
      </c>
      <c r="F27" s="62" t="s">
        <v>25</v>
      </c>
      <c r="G27" s="143">
        <v>5500</v>
      </c>
      <c r="H27" s="62" t="s">
        <v>26</v>
      </c>
      <c r="I27" s="62" t="s">
        <v>88</v>
      </c>
      <c r="J27" s="62"/>
      <c r="K27" s="62"/>
      <c r="L27" s="51">
        <v>2050</v>
      </c>
      <c r="M27" s="51">
        <v>3484037</v>
      </c>
      <c r="N27" s="144">
        <v>0</v>
      </c>
      <c r="O27" s="11">
        <v>0</v>
      </c>
      <c r="P27" s="11">
        <v>0</v>
      </c>
      <c r="Q27" s="29">
        <v>0</v>
      </c>
      <c r="R27" s="29">
        <v>3484037</v>
      </c>
      <c r="S27" s="29">
        <v>3000</v>
      </c>
      <c r="T27" s="29">
        <f t="shared" si="0"/>
        <v>3487037</v>
      </c>
    </row>
    <row r="28" spans="1:20" ht="21" customHeight="1" x14ac:dyDescent="0.25">
      <c r="A28" s="21">
        <v>18</v>
      </c>
      <c r="B28" s="63" t="s">
        <v>89</v>
      </c>
      <c r="C28" s="62" t="s">
        <v>90</v>
      </c>
      <c r="D28" s="24" t="s">
        <v>30</v>
      </c>
      <c r="E28" s="62" t="s">
        <v>91</v>
      </c>
      <c r="F28" s="62" t="s">
        <v>25</v>
      </c>
      <c r="G28" s="143">
        <v>7700</v>
      </c>
      <c r="H28" s="62" t="s">
        <v>26</v>
      </c>
      <c r="I28" s="62" t="s">
        <v>92</v>
      </c>
      <c r="J28" s="62"/>
      <c r="K28" s="62"/>
      <c r="L28" s="51">
        <v>2757</v>
      </c>
      <c r="M28" s="51">
        <v>4685604</v>
      </c>
      <c r="N28" s="144">
        <v>0</v>
      </c>
      <c r="O28" s="11">
        <v>0</v>
      </c>
      <c r="P28" s="11">
        <v>0</v>
      </c>
      <c r="Q28" s="29">
        <v>0</v>
      </c>
      <c r="R28" s="29">
        <v>4685604</v>
      </c>
      <c r="S28" s="29">
        <v>3000</v>
      </c>
      <c r="T28" s="29">
        <f t="shared" si="0"/>
        <v>4688604</v>
      </c>
    </row>
    <row r="29" spans="1:20" ht="21" customHeight="1" x14ac:dyDescent="0.25">
      <c r="A29" s="21">
        <v>19</v>
      </c>
      <c r="B29" s="63" t="s">
        <v>93</v>
      </c>
      <c r="C29" s="62" t="s">
        <v>94</v>
      </c>
      <c r="D29" s="24" t="s">
        <v>30</v>
      </c>
      <c r="E29" s="62" t="s">
        <v>95</v>
      </c>
      <c r="F29" s="62" t="s">
        <v>25</v>
      </c>
      <c r="G29" s="143">
        <v>5500</v>
      </c>
      <c r="H29" s="62" t="s">
        <v>26</v>
      </c>
      <c r="I29" s="62" t="s">
        <v>96</v>
      </c>
      <c r="J29" s="62"/>
      <c r="K29" s="62"/>
      <c r="L29" s="51">
        <v>1016</v>
      </c>
      <c r="M29" s="51">
        <v>1726722</v>
      </c>
      <c r="N29" s="144">
        <v>0</v>
      </c>
      <c r="O29" s="11">
        <v>0</v>
      </c>
      <c r="P29" s="11">
        <v>0</v>
      </c>
      <c r="Q29" s="29">
        <v>0</v>
      </c>
      <c r="R29" s="29">
        <v>1726722</v>
      </c>
      <c r="S29" s="29">
        <v>3000</v>
      </c>
      <c r="T29" s="29">
        <f t="shared" si="0"/>
        <v>1729722</v>
      </c>
    </row>
    <row r="30" spans="1:20" ht="21" customHeight="1" x14ac:dyDescent="0.25">
      <c r="A30" s="21">
        <v>20</v>
      </c>
      <c r="B30" s="63" t="s">
        <v>97</v>
      </c>
      <c r="C30" s="62" t="s">
        <v>98</v>
      </c>
      <c r="D30" s="24" t="s">
        <v>30</v>
      </c>
      <c r="E30" s="62" t="s">
        <v>99</v>
      </c>
      <c r="F30" s="62" t="s">
        <v>25</v>
      </c>
      <c r="G30" s="143">
        <v>5500</v>
      </c>
      <c r="H30" s="62" t="s">
        <v>26</v>
      </c>
      <c r="I30" s="62" t="s">
        <v>100</v>
      </c>
      <c r="J30" s="62"/>
      <c r="K30" s="62"/>
      <c r="L30" s="51">
        <v>2135</v>
      </c>
      <c r="M30" s="51">
        <v>3628497</v>
      </c>
      <c r="N30" s="144">
        <v>0</v>
      </c>
      <c r="O30" s="11">
        <v>0</v>
      </c>
      <c r="P30" s="11">
        <v>0</v>
      </c>
      <c r="Q30" s="29">
        <v>0</v>
      </c>
      <c r="R30" s="29">
        <v>3628497</v>
      </c>
      <c r="S30" s="29">
        <v>3000</v>
      </c>
      <c r="T30" s="29">
        <f t="shared" si="0"/>
        <v>3631497</v>
      </c>
    </row>
    <row r="31" spans="1:20" ht="21" customHeight="1" x14ac:dyDescent="0.25">
      <c r="A31" s="21">
        <v>21</v>
      </c>
      <c r="B31" s="63" t="s">
        <v>101</v>
      </c>
      <c r="C31" s="62" t="s">
        <v>102</v>
      </c>
      <c r="D31" s="24" t="s">
        <v>30</v>
      </c>
      <c r="E31" s="62" t="s">
        <v>103</v>
      </c>
      <c r="F31" s="62" t="s">
        <v>25</v>
      </c>
      <c r="G31" s="143">
        <v>4400</v>
      </c>
      <c r="H31" s="62" t="s">
        <v>26</v>
      </c>
      <c r="I31" s="62" t="s">
        <v>104</v>
      </c>
      <c r="J31" s="62"/>
      <c r="K31" s="62"/>
      <c r="L31" s="51">
        <v>667</v>
      </c>
      <c r="M31" s="51">
        <v>1133587</v>
      </c>
      <c r="N31" s="144">
        <v>0</v>
      </c>
      <c r="O31" s="11">
        <v>0</v>
      </c>
      <c r="P31" s="11">
        <v>0</v>
      </c>
      <c r="Q31" s="29">
        <v>0</v>
      </c>
      <c r="R31" s="29">
        <v>1133587</v>
      </c>
      <c r="S31" s="29">
        <v>3000</v>
      </c>
      <c r="T31" s="29">
        <f t="shared" si="0"/>
        <v>1136587</v>
      </c>
    </row>
    <row r="32" spans="1:20" ht="21" customHeight="1" x14ac:dyDescent="0.25">
      <c r="A32" s="21">
        <v>22</v>
      </c>
      <c r="B32" s="63" t="s">
        <v>105</v>
      </c>
      <c r="C32" s="62" t="s">
        <v>106</v>
      </c>
      <c r="D32" s="24" t="s">
        <v>30</v>
      </c>
      <c r="E32" s="62" t="s">
        <v>107</v>
      </c>
      <c r="F32" s="62" t="s">
        <v>25</v>
      </c>
      <c r="G32" s="143">
        <v>3500</v>
      </c>
      <c r="H32" s="62" t="s">
        <v>26</v>
      </c>
      <c r="I32" s="62" t="s">
        <v>108</v>
      </c>
      <c r="J32" s="62"/>
      <c r="K32" s="62"/>
      <c r="L32" s="51">
        <v>1508</v>
      </c>
      <c r="M32" s="51">
        <v>2562891</v>
      </c>
      <c r="N32" s="144">
        <v>0</v>
      </c>
      <c r="O32" s="11">
        <v>0</v>
      </c>
      <c r="P32" s="11">
        <v>0</v>
      </c>
      <c r="Q32" s="29">
        <v>0</v>
      </c>
      <c r="R32" s="29">
        <v>2562891</v>
      </c>
      <c r="S32" s="29">
        <v>3000</v>
      </c>
      <c r="T32" s="29">
        <f t="shared" si="0"/>
        <v>2565891</v>
      </c>
    </row>
    <row r="33" spans="1:20" ht="21" customHeight="1" x14ac:dyDescent="0.25">
      <c r="A33" s="21">
        <v>23</v>
      </c>
      <c r="B33" s="63" t="s">
        <v>109</v>
      </c>
      <c r="C33" s="62" t="s">
        <v>110</v>
      </c>
      <c r="D33" s="24" t="s">
        <v>30</v>
      </c>
      <c r="E33" s="62" t="s">
        <v>111</v>
      </c>
      <c r="F33" s="62" t="s">
        <v>25</v>
      </c>
      <c r="G33" s="143">
        <v>4400</v>
      </c>
      <c r="H33" s="62" t="s">
        <v>26</v>
      </c>
      <c r="I33" s="62" t="s">
        <v>112</v>
      </c>
      <c r="J33" s="62"/>
      <c r="K33" s="62"/>
      <c r="L33" s="51">
        <v>1580</v>
      </c>
      <c r="M33" s="51">
        <v>2685257</v>
      </c>
      <c r="N33" s="144">
        <v>0</v>
      </c>
      <c r="O33" s="11">
        <v>0</v>
      </c>
      <c r="P33" s="11">
        <v>0</v>
      </c>
      <c r="Q33" s="29">
        <v>0</v>
      </c>
      <c r="R33" s="29">
        <v>2685257</v>
      </c>
      <c r="S33" s="29">
        <v>3000</v>
      </c>
      <c r="T33" s="29">
        <f t="shared" si="0"/>
        <v>2688257</v>
      </c>
    </row>
    <row r="34" spans="1:20" ht="21" customHeight="1" x14ac:dyDescent="0.25">
      <c r="A34" s="21">
        <v>24</v>
      </c>
      <c r="B34" s="63" t="s">
        <v>113</v>
      </c>
      <c r="C34" s="62" t="s">
        <v>114</v>
      </c>
      <c r="D34" s="24" t="s">
        <v>30</v>
      </c>
      <c r="E34" s="62" t="s">
        <v>115</v>
      </c>
      <c r="F34" s="62" t="s">
        <v>25</v>
      </c>
      <c r="G34" s="143">
        <v>4400</v>
      </c>
      <c r="H34" s="62" t="s">
        <v>26</v>
      </c>
      <c r="I34" s="62" t="s">
        <v>116</v>
      </c>
      <c r="J34" s="62"/>
      <c r="K34" s="62"/>
      <c r="L34" s="51">
        <v>1923</v>
      </c>
      <c r="M34" s="51">
        <v>3268196</v>
      </c>
      <c r="N34" s="144">
        <v>0</v>
      </c>
      <c r="O34" s="11">
        <v>0</v>
      </c>
      <c r="P34" s="11">
        <v>0</v>
      </c>
      <c r="Q34" s="29">
        <v>0</v>
      </c>
      <c r="R34" s="29">
        <v>3268196</v>
      </c>
      <c r="S34" s="29">
        <v>3000</v>
      </c>
      <c r="T34" s="29">
        <f t="shared" si="0"/>
        <v>3271196</v>
      </c>
    </row>
    <row r="35" spans="1:20" ht="21" customHeight="1" x14ac:dyDescent="0.25">
      <c r="A35" s="21">
        <v>25</v>
      </c>
      <c r="B35" s="63" t="s">
        <v>117</v>
      </c>
      <c r="C35" s="62" t="s">
        <v>118</v>
      </c>
      <c r="D35" s="24" t="s">
        <v>30</v>
      </c>
      <c r="E35" s="62" t="s">
        <v>119</v>
      </c>
      <c r="F35" s="62" t="s">
        <v>25</v>
      </c>
      <c r="G35" s="143">
        <v>4400</v>
      </c>
      <c r="H35" s="62" t="s">
        <v>26</v>
      </c>
      <c r="I35" s="62" t="s">
        <v>120</v>
      </c>
      <c r="J35" s="62"/>
      <c r="K35" s="62"/>
      <c r="L35" s="51">
        <v>1440</v>
      </c>
      <c r="M35" s="51">
        <v>2447323</v>
      </c>
      <c r="N35" s="144">
        <v>0</v>
      </c>
      <c r="O35" s="11">
        <v>0</v>
      </c>
      <c r="P35" s="11">
        <v>0</v>
      </c>
      <c r="Q35" s="29">
        <v>0</v>
      </c>
      <c r="R35" s="29">
        <v>2447323</v>
      </c>
      <c r="S35" s="29">
        <v>3000</v>
      </c>
      <c r="T35" s="29">
        <f t="shared" si="0"/>
        <v>2450323</v>
      </c>
    </row>
    <row r="36" spans="1:20" ht="21" customHeight="1" x14ac:dyDescent="0.25">
      <c r="A36" s="21">
        <v>26</v>
      </c>
      <c r="B36" s="63" t="s">
        <v>121</v>
      </c>
      <c r="C36" s="62" t="s">
        <v>122</v>
      </c>
      <c r="D36" s="24" t="s">
        <v>30</v>
      </c>
      <c r="E36" s="62" t="s">
        <v>123</v>
      </c>
      <c r="F36" s="62" t="s">
        <v>25</v>
      </c>
      <c r="G36" s="143">
        <v>3500</v>
      </c>
      <c r="H36" s="62" t="s">
        <v>26</v>
      </c>
      <c r="I36" s="62" t="s">
        <v>124</v>
      </c>
      <c r="J36" s="62"/>
      <c r="K36" s="62"/>
      <c r="L36" s="51">
        <v>1852</v>
      </c>
      <c r="M36" s="51">
        <v>3147530</v>
      </c>
      <c r="N36" s="144">
        <v>0</v>
      </c>
      <c r="O36" s="11">
        <v>0</v>
      </c>
      <c r="P36" s="11">
        <v>0</v>
      </c>
      <c r="Q36" s="29">
        <v>0</v>
      </c>
      <c r="R36" s="29">
        <v>3147530</v>
      </c>
      <c r="S36" s="29">
        <v>3000</v>
      </c>
      <c r="T36" s="29">
        <f t="shared" si="0"/>
        <v>3150530</v>
      </c>
    </row>
    <row r="37" spans="1:20" ht="21" customHeight="1" x14ac:dyDescent="0.25">
      <c r="A37" s="21">
        <v>27</v>
      </c>
      <c r="B37" s="63" t="s">
        <v>125</v>
      </c>
      <c r="C37" s="62" t="s">
        <v>126</v>
      </c>
      <c r="D37" s="24" t="s">
        <v>30</v>
      </c>
      <c r="E37" s="62" t="s">
        <v>31</v>
      </c>
      <c r="F37" s="62" t="s">
        <v>25</v>
      </c>
      <c r="G37" s="143">
        <v>5500</v>
      </c>
      <c r="H37" s="62" t="s">
        <v>26</v>
      </c>
      <c r="I37" s="62" t="s">
        <v>127</v>
      </c>
      <c r="J37" s="62"/>
      <c r="K37" s="62"/>
      <c r="L37" s="51">
        <v>983</v>
      </c>
      <c r="M37" s="51">
        <v>1670638</v>
      </c>
      <c r="N37" s="144">
        <v>0</v>
      </c>
      <c r="O37" s="11">
        <v>0</v>
      </c>
      <c r="P37" s="11">
        <v>0</v>
      </c>
      <c r="Q37" s="29">
        <v>0</v>
      </c>
      <c r="R37" s="29">
        <v>1670638</v>
      </c>
      <c r="S37" s="29">
        <v>3000</v>
      </c>
      <c r="T37" s="29">
        <f t="shared" si="0"/>
        <v>1673638</v>
      </c>
    </row>
    <row r="38" spans="1:20" ht="21" customHeight="1" x14ac:dyDescent="0.25">
      <c r="A38" s="21">
        <v>28</v>
      </c>
      <c r="B38" s="63" t="s">
        <v>128</v>
      </c>
      <c r="C38" s="62" t="s">
        <v>129</v>
      </c>
      <c r="D38" s="24" t="s">
        <v>30</v>
      </c>
      <c r="E38" s="62" t="s">
        <v>115</v>
      </c>
      <c r="F38" s="62" t="s">
        <v>25</v>
      </c>
      <c r="G38" s="143">
        <v>5500</v>
      </c>
      <c r="H38" s="62" t="s">
        <v>26</v>
      </c>
      <c r="I38" s="62" t="s">
        <v>130</v>
      </c>
      <c r="J38" s="62"/>
      <c r="K38" s="62"/>
      <c r="L38" s="51">
        <v>1634</v>
      </c>
      <c r="M38" s="51">
        <v>2777032</v>
      </c>
      <c r="N38" s="144">
        <v>0</v>
      </c>
      <c r="O38" s="11">
        <v>0</v>
      </c>
      <c r="P38" s="11">
        <v>0</v>
      </c>
      <c r="Q38" s="29">
        <v>0</v>
      </c>
      <c r="R38" s="29">
        <v>2777032</v>
      </c>
      <c r="S38" s="29">
        <v>3000</v>
      </c>
      <c r="T38" s="29">
        <f t="shared" si="0"/>
        <v>2780032</v>
      </c>
    </row>
    <row r="39" spans="1:20" ht="21" customHeight="1" x14ac:dyDescent="0.25">
      <c r="A39" s="21">
        <v>29</v>
      </c>
      <c r="B39" s="63" t="s">
        <v>131</v>
      </c>
      <c r="C39" s="62" t="s">
        <v>132</v>
      </c>
      <c r="D39" s="24" t="s">
        <v>30</v>
      </c>
      <c r="E39" s="62" t="s">
        <v>133</v>
      </c>
      <c r="F39" s="62" t="s">
        <v>25</v>
      </c>
      <c r="G39" s="143">
        <v>4400</v>
      </c>
      <c r="H39" s="62" t="s">
        <v>26</v>
      </c>
      <c r="I39" s="62" t="s">
        <v>134</v>
      </c>
      <c r="J39" s="62"/>
      <c r="K39" s="62"/>
      <c r="L39" s="51">
        <v>1077</v>
      </c>
      <c r="M39" s="51">
        <v>1830394</v>
      </c>
      <c r="N39" s="144">
        <v>0</v>
      </c>
      <c r="O39" s="11">
        <v>0</v>
      </c>
      <c r="P39" s="11">
        <v>0</v>
      </c>
      <c r="Q39" s="29">
        <v>0</v>
      </c>
      <c r="R39" s="29">
        <v>1830394</v>
      </c>
      <c r="S39" s="29">
        <v>3000</v>
      </c>
      <c r="T39" s="29">
        <f t="shared" si="0"/>
        <v>1833394</v>
      </c>
    </row>
    <row r="40" spans="1:20" ht="21" customHeight="1" x14ac:dyDescent="0.25">
      <c r="A40" s="21">
        <v>30</v>
      </c>
      <c r="B40" s="63" t="s">
        <v>135</v>
      </c>
      <c r="C40" s="62" t="s">
        <v>136</v>
      </c>
      <c r="D40" s="24" t="s">
        <v>30</v>
      </c>
      <c r="E40" s="62" t="s">
        <v>137</v>
      </c>
      <c r="F40" s="62" t="s">
        <v>25</v>
      </c>
      <c r="G40" s="143">
        <v>3500</v>
      </c>
      <c r="H40" s="62" t="s">
        <v>26</v>
      </c>
      <c r="I40" s="62" t="s">
        <v>138</v>
      </c>
      <c r="J40" s="62"/>
      <c r="K40" s="62"/>
      <c r="L40" s="51">
        <v>551</v>
      </c>
      <c r="M40" s="51">
        <v>936441</v>
      </c>
      <c r="N40" s="144">
        <v>0</v>
      </c>
      <c r="O40" s="11">
        <v>0</v>
      </c>
      <c r="P40" s="11">
        <v>0</v>
      </c>
      <c r="Q40" s="29">
        <v>0</v>
      </c>
      <c r="R40" s="29">
        <v>936441</v>
      </c>
      <c r="S40" s="29">
        <v>3000</v>
      </c>
      <c r="T40" s="29">
        <f t="shared" si="0"/>
        <v>939441</v>
      </c>
    </row>
    <row r="41" spans="1:20" ht="21" customHeight="1" x14ac:dyDescent="0.25">
      <c r="A41" s="21">
        <v>31</v>
      </c>
      <c r="B41" s="63" t="s">
        <v>139</v>
      </c>
      <c r="C41" s="62" t="s">
        <v>140</v>
      </c>
      <c r="D41" s="24" t="s">
        <v>30</v>
      </c>
      <c r="E41" s="62" t="s">
        <v>141</v>
      </c>
      <c r="F41" s="62" t="s">
        <v>25</v>
      </c>
      <c r="G41" s="143">
        <v>1920</v>
      </c>
      <c r="H41" s="62" t="s">
        <v>26</v>
      </c>
      <c r="I41" s="62" t="s">
        <v>142</v>
      </c>
      <c r="J41" s="62"/>
      <c r="K41" s="62"/>
      <c r="L41" s="51">
        <v>787</v>
      </c>
      <c r="M41" s="51">
        <v>1337530</v>
      </c>
      <c r="N41" s="144">
        <v>0</v>
      </c>
      <c r="O41" s="11">
        <v>0</v>
      </c>
      <c r="P41" s="11">
        <v>0</v>
      </c>
      <c r="Q41" s="29">
        <v>0</v>
      </c>
      <c r="R41" s="29">
        <v>1337530</v>
      </c>
      <c r="S41" s="29">
        <v>3000</v>
      </c>
      <c r="T41" s="29">
        <f t="shared" si="0"/>
        <v>1340530</v>
      </c>
    </row>
    <row r="42" spans="1:20" ht="21" customHeight="1" x14ac:dyDescent="0.25">
      <c r="A42" s="21">
        <v>32</v>
      </c>
      <c r="B42" s="63" t="s">
        <v>143</v>
      </c>
      <c r="C42" s="62" t="s">
        <v>144</v>
      </c>
      <c r="D42" s="24" t="s">
        <v>30</v>
      </c>
      <c r="E42" s="62" t="s">
        <v>145</v>
      </c>
      <c r="F42" s="62" t="s">
        <v>25</v>
      </c>
      <c r="G42" s="143">
        <v>2200</v>
      </c>
      <c r="H42" s="62" t="s">
        <v>26</v>
      </c>
      <c r="I42" s="62" t="s">
        <v>146</v>
      </c>
      <c r="J42" s="62"/>
      <c r="K42" s="62"/>
      <c r="L42" s="51">
        <v>470</v>
      </c>
      <c r="M42" s="51">
        <v>798779</v>
      </c>
      <c r="N42" s="144">
        <v>0</v>
      </c>
      <c r="O42" s="11">
        <v>0</v>
      </c>
      <c r="P42" s="11">
        <v>0</v>
      </c>
      <c r="Q42" s="29">
        <v>0</v>
      </c>
      <c r="R42" s="29">
        <v>798779</v>
      </c>
      <c r="S42" s="29">
        <v>3000</v>
      </c>
      <c r="T42" s="29">
        <f t="shared" si="0"/>
        <v>801779</v>
      </c>
    </row>
    <row r="43" spans="1:20" ht="21" customHeight="1" x14ac:dyDescent="0.25">
      <c r="A43" s="21">
        <v>33</v>
      </c>
      <c r="B43" s="63" t="s">
        <v>147</v>
      </c>
      <c r="C43" s="62" t="s">
        <v>148</v>
      </c>
      <c r="D43" s="24" t="s">
        <v>30</v>
      </c>
      <c r="E43" s="62" t="s">
        <v>149</v>
      </c>
      <c r="F43" s="62" t="s">
        <v>25</v>
      </c>
      <c r="G43" s="143">
        <v>7700</v>
      </c>
      <c r="H43" s="62" t="s">
        <v>26</v>
      </c>
      <c r="I43" s="62" t="s">
        <v>150</v>
      </c>
      <c r="J43" s="62"/>
      <c r="K43" s="62"/>
      <c r="L43" s="51">
        <v>2388</v>
      </c>
      <c r="M43" s="51">
        <v>4058478</v>
      </c>
      <c r="N43" s="144">
        <v>0</v>
      </c>
      <c r="O43" s="11">
        <v>0</v>
      </c>
      <c r="P43" s="11">
        <v>0</v>
      </c>
      <c r="Q43" s="29">
        <v>0</v>
      </c>
      <c r="R43" s="29">
        <v>4058478</v>
      </c>
      <c r="S43" s="29">
        <v>3000</v>
      </c>
      <c r="T43" s="29">
        <f t="shared" si="0"/>
        <v>4061478</v>
      </c>
    </row>
    <row r="44" spans="1:20" ht="21" customHeight="1" x14ac:dyDescent="0.25">
      <c r="A44" s="21">
        <v>34</v>
      </c>
      <c r="B44" s="63" t="s">
        <v>151</v>
      </c>
      <c r="C44" s="62" t="s">
        <v>152</v>
      </c>
      <c r="D44" s="24" t="s">
        <v>30</v>
      </c>
      <c r="E44" s="62" t="s">
        <v>153</v>
      </c>
      <c r="F44" s="62" t="s">
        <v>25</v>
      </c>
      <c r="G44" s="143">
        <v>7700</v>
      </c>
      <c r="H44" s="62" t="s">
        <v>26</v>
      </c>
      <c r="I44" s="62" t="s">
        <v>154</v>
      </c>
      <c r="J44" s="62"/>
      <c r="K44" s="62"/>
      <c r="L44" s="51">
        <v>1208</v>
      </c>
      <c r="M44" s="51">
        <v>2053032</v>
      </c>
      <c r="N44" s="144">
        <v>0</v>
      </c>
      <c r="O44" s="11">
        <v>0</v>
      </c>
      <c r="P44" s="11">
        <v>0</v>
      </c>
      <c r="Q44" s="29">
        <v>0</v>
      </c>
      <c r="R44" s="29">
        <v>2053032</v>
      </c>
      <c r="S44" s="29">
        <v>3000</v>
      </c>
      <c r="T44" s="29">
        <f t="shared" si="0"/>
        <v>2056032</v>
      </c>
    </row>
    <row r="45" spans="1:20" ht="21" customHeight="1" x14ac:dyDescent="0.25">
      <c r="A45" s="21">
        <v>35</v>
      </c>
      <c r="B45" s="63" t="s">
        <v>155</v>
      </c>
      <c r="C45" s="62" t="s">
        <v>156</v>
      </c>
      <c r="D45" s="24" t="s">
        <v>30</v>
      </c>
      <c r="E45" s="62" t="s">
        <v>157</v>
      </c>
      <c r="F45" s="62" t="s">
        <v>25</v>
      </c>
      <c r="G45" s="143">
        <v>4400</v>
      </c>
      <c r="H45" s="62" t="s">
        <v>26</v>
      </c>
      <c r="I45" s="62" t="s">
        <v>158</v>
      </c>
      <c r="J45" s="62"/>
      <c r="K45" s="62"/>
      <c r="L45" s="51">
        <v>719</v>
      </c>
      <c r="M45" s="51">
        <v>1221962</v>
      </c>
      <c r="N45" s="144">
        <v>0</v>
      </c>
      <c r="O45" s="11">
        <v>0</v>
      </c>
      <c r="P45" s="11">
        <v>0</v>
      </c>
      <c r="Q45" s="29">
        <v>0</v>
      </c>
      <c r="R45" s="29">
        <v>1221962</v>
      </c>
      <c r="S45" s="29">
        <v>3000</v>
      </c>
      <c r="T45" s="29">
        <f t="shared" si="0"/>
        <v>1224962</v>
      </c>
    </row>
    <row r="46" spans="1:20" ht="21" customHeight="1" x14ac:dyDescent="0.25">
      <c r="A46" s="21">
        <v>36</v>
      </c>
      <c r="B46" s="63" t="s">
        <v>159</v>
      </c>
      <c r="C46" s="62" t="s">
        <v>160</v>
      </c>
      <c r="D46" s="24" t="s">
        <v>30</v>
      </c>
      <c r="E46" s="62" t="s">
        <v>161</v>
      </c>
      <c r="F46" s="62" t="s">
        <v>25</v>
      </c>
      <c r="G46" s="143">
        <v>4400</v>
      </c>
      <c r="H46" s="62" t="s">
        <v>26</v>
      </c>
      <c r="I46" s="62" t="s">
        <v>162</v>
      </c>
      <c r="J46" s="62"/>
      <c r="K46" s="62"/>
      <c r="L46" s="51">
        <v>952</v>
      </c>
      <c r="M46" s="51">
        <v>1617953</v>
      </c>
      <c r="N46" s="144">
        <v>0</v>
      </c>
      <c r="O46" s="11">
        <v>0</v>
      </c>
      <c r="P46" s="11">
        <v>0</v>
      </c>
      <c r="Q46" s="29">
        <v>0</v>
      </c>
      <c r="R46" s="29">
        <v>1617953</v>
      </c>
      <c r="S46" s="29">
        <v>3000</v>
      </c>
      <c r="T46" s="29">
        <f t="shared" si="0"/>
        <v>1620953</v>
      </c>
    </row>
    <row r="47" spans="1:20" ht="21" customHeight="1" x14ac:dyDescent="0.25">
      <c r="A47" s="21">
        <v>37</v>
      </c>
      <c r="B47" s="63" t="s">
        <v>163</v>
      </c>
      <c r="C47" s="62" t="s">
        <v>164</v>
      </c>
      <c r="D47" s="24" t="s">
        <v>30</v>
      </c>
      <c r="E47" s="62" t="s">
        <v>165</v>
      </c>
      <c r="F47" s="62" t="s">
        <v>25</v>
      </c>
      <c r="G47" s="143">
        <v>4400</v>
      </c>
      <c r="H47" s="62" t="s">
        <v>26</v>
      </c>
      <c r="I47" s="62" t="s">
        <v>166</v>
      </c>
      <c r="J47" s="62"/>
      <c r="K47" s="62"/>
      <c r="L47" s="51">
        <v>1392</v>
      </c>
      <c r="M47" s="51">
        <v>2365746</v>
      </c>
      <c r="N47" s="144">
        <v>0</v>
      </c>
      <c r="O47" s="11">
        <v>0</v>
      </c>
      <c r="P47" s="11">
        <v>0</v>
      </c>
      <c r="Q47" s="29">
        <v>0</v>
      </c>
      <c r="R47" s="29">
        <v>2365746</v>
      </c>
      <c r="S47" s="29">
        <v>3000</v>
      </c>
      <c r="T47" s="29">
        <f t="shared" si="0"/>
        <v>2368746</v>
      </c>
    </row>
    <row r="48" spans="1:20" ht="21" customHeight="1" x14ac:dyDescent="0.25">
      <c r="A48" s="21">
        <v>38</v>
      </c>
      <c r="B48" s="63" t="s">
        <v>167</v>
      </c>
      <c r="C48" s="62" t="s">
        <v>168</v>
      </c>
      <c r="D48" s="24" t="s">
        <v>30</v>
      </c>
      <c r="E48" s="62" t="s">
        <v>169</v>
      </c>
      <c r="F48" s="62" t="s">
        <v>25</v>
      </c>
      <c r="G48" s="143">
        <v>3500</v>
      </c>
      <c r="H48" s="62" t="s">
        <v>26</v>
      </c>
      <c r="I48" s="62" t="s">
        <v>170</v>
      </c>
      <c r="J48" s="62"/>
      <c r="K48" s="62"/>
      <c r="L48" s="51">
        <v>340</v>
      </c>
      <c r="M48" s="51">
        <v>577840</v>
      </c>
      <c r="N48" s="144">
        <v>0</v>
      </c>
      <c r="O48" s="11">
        <v>0</v>
      </c>
      <c r="P48" s="11">
        <v>0</v>
      </c>
      <c r="Q48" s="29">
        <v>0</v>
      </c>
      <c r="R48" s="29">
        <v>577840</v>
      </c>
      <c r="S48" s="29">
        <v>3000</v>
      </c>
      <c r="T48" s="29">
        <f t="shared" si="0"/>
        <v>580840</v>
      </c>
    </row>
    <row r="49" spans="1:20" ht="21" customHeight="1" x14ac:dyDescent="0.25">
      <c r="A49" s="21">
        <v>39</v>
      </c>
      <c r="B49" s="63" t="s">
        <v>171</v>
      </c>
      <c r="C49" s="62" t="s">
        <v>172</v>
      </c>
      <c r="D49" s="24" t="s">
        <v>30</v>
      </c>
      <c r="E49" s="62" t="s">
        <v>173</v>
      </c>
      <c r="F49" s="62" t="s">
        <v>25</v>
      </c>
      <c r="G49" s="143">
        <v>3500</v>
      </c>
      <c r="H49" s="62" t="s">
        <v>26</v>
      </c>
      <c r="I49" s="62" t="s">
        <v>174</v>
      </c>
      <c r="J49" s="62"/>
      <c r="K49" s="62"/>
      <c r="L49" s="51">
        <v>647</v>
      </c>
      <c r="M49" s="51">
        <v>1099596</v>
      </c>
      <c r="N49" s="144">
        <v>0</v>
      </c>
      <c r="O49" s="11">
        <v>0</v>
      </c>
      <c r="P49" s="11">
        <v>0</v>
      </c>
      <c r="Q49" s="29">
        <v>0</v>
      </c>
      <c r="R49" s="29">
        <v>1099596</v>
      </c>
      <c r="S49" s="29">
        <v>3000</v>
      </c>
      <c r="T49" s="29">
        <f t="shared" si="0"/>
        <v>1102596</v>
      </c>
    </row>
    <row r="50" spans="1:20" ht="21" customHeight="1" x14ac:dyDescent="0.25">
      <c r="A50" s="21">
        <v>40</v>
      </c>
      <c r="B50" s="63" t="s">
        <v>175</v>
      </c>
      <c r="C50" s="62" t="s">
        <v>176</v>
      </c>
      <c r="D50" s="24" t="s">
        <v>30</v>
      </c>
      <c r="E50" s="62" t="s">
        <v>177</v>
      </c>
      <c r="F50" s="62" t="s">
        <v>25</v>
      </c>
      <c r="G50" s="143">
        <v>5500</v>
      </c>
      <c r="H50" s="62" t="s">
        <v>26</v>
      </c>
      <c r="I50" s="62" t="s">
        <v>178</v>
      </c>
      <c r="J50" s="62"/>
      <c r="K50" s="62"/>
      <c r="L50" s="51">
        <v>1980</v>
      </c>
      <c r="M50" s="51">
        <v>3365069</v>
      </c>
      <c r="N50" s="144">
        <v>0</v>
      </c>
      <c r="O50" s="11">
        <v>0</v>
      </c>
      <c r="P50" s="11">
        <v>0</v>
      </c>
      <c r="Q50" s="29">
        <v>0</v>
      </c>
      <c r="R50" s="29">
        <v>3365069</v>
      </c>
      <c r="S50" s="29">
        <v>3000</v>
      </c>
      <c r="T50" s="29">
        <f t="shared" si="0"/>
        <v>3368069</v>
      </c>
    </row>
    <row r="51" spans="1:20" ht="21" customHeight="1" x14ac:dyDescent="0.25">
      <c r="A51" s="21"/>
      <c r="B51" s="22"/>
      <c r="C51" s="23"/>
      <c r="D51" s="23"/>
      <c r="E51" s="24"/>
      <c r="F51" s="25"/>
      <c r="G51" s="26"/>
      <c r="H51" s="27"/>
      <c r="I51" s="25" t="s">
        <v>0</v>
      </c>
      <c r="J51" s="25"/>
      <c r="K51" s="25"/>
      <c r="L51" s="28" t="s">
        <v>0</v>
      </c>
      <c r="M51" s="29"/>
      <c r="N51" s="30"/>
      <c r="O51" s="30"/>
      <c r="P51" s="30"/>
      <c r="Q51" s="29"/>
      <c r="R51" s="29"/>
      <c r="S51" s="29"/>
      <c r="T51" s="29"/>
    </row>
    <row r="52" spans="1:20" s="35" customFormat="1" ht="36.75" customHeight="1" x14ac:dyDescent="0.25">
      <c r="A52" s="164" t="s">
        <v>179</v>
      </c>
      <c r="B52" s="164"/>
      <c r="C52" s="164"/>
      <c r="D52" s="164"/>
      <c r="E52" s="164"/>
      <c r="F52" s="164"/>
      <c r="G52" s="32">
        <v>195940</v>
      </c>
      <c r="H52" s="32">
        <v>0</v>
      </c>
      <c r="I52" s="32">
        <v>0</v>
      </c>
      <c r="J52" s="32"/>
      <c r="K52" s="32"/>
      <c r="L52" s="32">
        <v>52975</v>
      </c>
      <c r="M52" s="33">
        <v>90032601</v>
      </c>
      <c r="N52" s="34">
        <v>0</v>
      </c>
      <c r="O52" s="34">
        <v>0</v>
      </c>
      <c r="P52" s="34">
        <v>0</v>
      </c>
      <c r="Q52" s="33">
        <f>SUM(Q11:Q51)</f>
        <v>10000</v>
      </c>
      <c r="R52" s="33">
        <f t="shared" ref="R52:T52" si="1">SUM(R11:R51)</f>
        <v>90042601</v>
      </c>
      <c r="S52" s="33">
        <f t="shared" si="1"/>
        <v>120000</v>
      </c>
      <c r="T52" s="33">
        <f t="shared" si="1"/>
        <v>90162601</v>
      </c>
    </row>
    <row r="53" spans="1:20" s="35" customFormat="1" ht="21" customHeight="1" x14ac:dyDescent="0.25">
      <c r="A53" s="36"/>
      <c r="B53" s="36"/>
      <c r="C53" s="36"/>
      <c r="D53" s="36"/>
      <c r="E53" s="36"/>
      <c r="F53" s="36"/>
      <c r="G53" s="37"/>
      <c r="H53" s="37"/>
      <c r="I53" s="14"/>
      <c r="J53" s="14"/>
      <c r="K53" s="14"/>
      <c r="L53" s="38"/>
      <c r="M53" s="16"/>
      <c r="N53" s="39"/>
      <c r="O53" s="39"/>
      <c r="P53" s="39"/>
      <c r="Q53" s="40"/>
      <c r="R53" s="40"/>
      <c r="S53" s="40"/>
      <c r="T53" s="40"/>
    </row>
    <row r="54" spans="1:20" ht="21" customHeight="1" x14ac:dyDescent="0.25">
      <c r="A54" s="14"/>
      <c r="C54" s="14" t="s">
        <v>180</v>
      </c>
      <c r="D54" s="14"/>
      <c r="E54" s="14" t="s">
        <v>180</v>
      </c>
      <c r="I54" s="14" t="s">
        <v>0</v>
      </c>
      <c r="L54" s="41" t="s">
        <v>0</v>
      </c>
    </row>
    <row r="55" spans="1:20" s="93" customFormat="1" ht="42" customHeight="1" x14ac:dyDescent="0.25">
      <c r="A55" s="31" t="s">
        <v>4</v>
      </c>
      <c r="B55" s="31" t="s">
        <v>5</v>
      </c>
      <c r="C55" s="31" t="s">
        <v>6</v>
      </c>
      <c r="D55" s="22"/>
      <c r="E55" s="31" t="s">
        <v>7</v>
      </c>
      <c r="F55" s="31" t="s">
        <v>8</v>
      </c>
      <c r="G55" s="31" t="s">
        <v>9</v>
      </c>
      <c r="H55" s="31" t="s">
        <v>10</v>
      </c>
      <c r="I55" s="31" t="s">
        <v>11</v>
      </c>
      <c r="J55" s="31" t="s">
        <v>12</v>
      </c>
      <c r="K55" s="31" t="s">
        <v>13</v>
      </c>
      <c r="L55" s="31" t="s">
        <v>14</v>
      </c>
      <c r="M55" s="141" t="s">
        <v>15</v>
      </c>
      <c r="N55" s="142" t="s">
        <v>16</v>
      </c>
      <c r="O55" s="142" t="s">
        <v>17</v>
      </c>
      <c r="P55" s="142" t="s">
        <v>18</v>
      </c>
      <c r="Q55" s="141" t="s">
        <v>19</v>
      </c>
      <c r="R55" s="141" t="s">
        <v>20</v>
      </c>
      <c r="S55" s="141" t="s">
        <v>3655</v>
      </c>
      <c r="T55" s="141" t="s">
        <v>3656</v>
      </c>
    </row>
    <row r="56" spans="1:20" ht="21" customHeight="1" x14ac:dyDescent="0.25">
      <c r="A56" s="44"/>
      <c r="B56" s="20"/>
      <c r="C56" s="25"/>
      <c r="D56" s="25"/>
      <c r="E56" s="25"/>
      <c r="F56" s="25"/>
      <c r="G56" s="25"/>
      <c r="H56" s="25"/>
      <c r="I56" s="25" t="s">
        <v>0</v>
      </c>
      <c r="J56" s="25"/>
      <c r="K56" s="25"/>
      <c r="L56" s="28" t="s">
        <v>0</v>
      </c>
      <c r="M56" s="29"/>
      <c r="N56" s="30"/>
      <c r="O56" s="30"/>
      <c r="P56" s="30"/>
      <c r="Q56" s="29"/>
      <c r="R56" s="29"/>
      <c r="S56" s="29"/>
      <c r="T56" s="29"/>
    </row>
    <row r="57" spans="1:20" ht="21" customHeight="1" x14ac:dyDescent="0.25">
      <c r="A57" s="24"/>
      <c r="B57" s="25"/>
      <c r="C57" s="24" t="s">
        <v>180</v>
      </c>
      <c r="D57" s="24"/>
      <c r="E57" s="45" t="s">
        <v>181</v>
      </c>
      <c r="F57" s="25"/>
      <c r="G57" s="46">
        <v>195940</v>
      </c>
      <c r="H57" s="46">
        <v>0</v>
      </c>
      <c r="I57" s="46">
        <v>0</v>
      </c>
      <c r="J57" s="46"/>
      <c r="K57" s="46"/>
      <c r="L57" s="46">
        <v>52975</v>
      </c>
      <c r="M57" s="47">
        <v>90032601</v>
      </c>
      <c r="N57" s="48">
        <v>0</v>
      </c>
      <c r="O57" s="48">
        <v>0</v>
      </c>
      <c r="P57" s="48">
        <v>0</v>
      </c>
      <c r="Q57" s="47">
        <f>Q52</f>
        <v>10000</v>
      </c>
      <c r="R57" s="47">
        <f t="shared" ref="R57:T57" si="2">R52</f>
        <v>90042601</v>
      </c>
      <c r="S57" s="47">
        <f t="shared" si="2"/>
        <v>120000</v>
      </c>
      <c r="T57" s="47">
        <f t="shared" si="2"/>
        <v>90162601</v>
      </c>
    </row>
    <row r="58" spans="1:20" ht="21" customHeight="1" x14ac:dyDescent="0.25">
      <c r="A58" s="21">
        <v>41</v>
      </c>
      <c r="B58" s="63" t="s">
        <v>182</v>
      </c>
      <c r="C58" s="62" t="s">
        <v>183</v>
      </c>
      <c r="D58" s="24" t="s">
        <v>30</v>
      </c>
      <c r="E58" s="62" t="s">
        <v>184</v>
      </c>
      <c r="F58" s="62" t="s">
        <v>25</v>
      </c>
      <c r="G58" s="143">
        <v>3500</v>
      </c>
      <c r="H58" s="62" t="s">
        <v>26</v>
      </c>
      <c r="I58" s="62" t="s">
        <v>185</v>
      </c>
      <c r="J58" s="62"/>
      <c r="K58" s="62"/>
      <c r="L58" s="51">
        <v>1710</v>
      </c>
      <c r="M58" s="51">
        <v>2906196</v>
      </c>
      <c r="N58" s="144">
        <v>0</v>
      </c>
      <c r="O58" s="11">
        <v>0</v>
      </c>
      <c r="P58" s="11">
        <v>0</v>
      </c>
      <c r="Q58" s="29">
        <v>0</v>
      </c>
      <c r="R58" s="29">
        <v>2906196</v>
      </c>
      <c r="S58" s="29">
        <v>3000</v>
      </c>
      <c r="T58" s="29">
        <f t="shared" ref="T58:T97" si="3">R58+S58</f>
        <v>2909196</v>
      </c>
    </row>
    <row r="59" spans="1:20" ht="21" customHeight="1" x14ac:dyDescent="0.25">
      <c r="A59" s="21">
        <v>42</v>
      </c>
      <c r="B59" s="63" t="s">
        <v>186</v>
      </c>
      <c r="C59" s="62" t="s">
        <v>187</v>
      </c>
      <c r="D59" s="24" t="s">
        <v>30</v>
      </c>
      <c r="E59" s="62" t="s">
        <v>188</v>
      </c>
      <c r="F59" s="62" t="s">
        <v>25</v>
      </c>
      <c r="G59" s="143">
        <v>560</v>
      </c>
      <c r="H59" s="62" t="s">
        <v>26</v>
      </c>
      <c r="I59" s="62" t="s">
        <v>189</v>
      </c>
      <c r="J59" s="62"/>
      <c r="K59" s="62"/>
      <c r="L59" s="51">
        <v>210</v>
      </c>
      <c r="M59" s="51">
        <v>356901</v>
      </c>
      <c r="N59" s="144">
        <v>0</v>
      </c>
      <c r="O59" s="11">
        <v>0</v>
      </c>
      <c r="P59" s="11">
        <v>0</v>
      </c>
      <c r="Q59" s="29">
        <v>0</v>
      </c>
      <c r="R59" s="29">
        <v>356901</v>
      </c>
      <c r="S59" s="29">
        <v>3000</v>
      </c>
      <c r="T59" s="29">
        <f t="shared" si="3"/>
        <v>359901</v>
      </c>
    </row>
    <row r="60" spans="1:20" ht="21" customHeight="1" x14ac:dyDescent="0.25">
      <c r="A60" s="21">
        <v>43</v>
      </c>
      <c r="B60" s="63" t="s">
        <v>190</v>
      </c>
      <c r="C60" s="62" t="s">
        <v>191</v>
      </c>
      <c r="D60" s="24" t="s">
        <v>30</v>
      </c>
      <c r="E60" s="62" t="s">
        <v>192</v>
      </c>
      <c r="F60" s="62" t="s">
        <v>25</v>
      </c>
      <c r="G60" s="143">
        <v>3500</v>
      </c>
      <c r="H60" s="62" t="s">
        <v>26</v>
      </c>
      <c r="I60" s="62" t="s">
        <v>193</v>
      </c>
      <c r="J60" s="62"/>
      <c r="K60" s="62"/>
      <c r="L60" s="51">
        <v>599</v>
      </c>
      <c r="M60" s="51">
        <v>1018018</v>
      </c>
      <c r="N60" s="144">
        <v>0</v>
      </c>
      <c r="O60" s="11">
        <v>0</v>
      </c>
      <c r="P60" s="11">
        <v>0</v>
      </c>
      <c r="Q60" s="29">
        <v>0</v>
      </c>
      <c r="R60" s="29">
        <v>1018018</v>
      </c>
      <c r="S60" s="29">
        <v>3000</v>
      </c>
      <c r="T60" s="29">
        <f t="shared" si="3"/>
        <v>1021018</v>
      </c>
    </row>
    <row r="61" spans="1:20" ht="21" customHeight="1" x14ac:dyDescent="0.25">
      <c r="A61" s="21">
        <v>44</v>
      </c>
      <c r="B61" s="63" t="s">
        <v>194</v>
      </c>
      <c r="C61" s="62" t="s">
        <v>195</v>
      </c>
      <c r="D61" s="24" t="s">
        <v>30</v>
      </c>
      <c r="E61" s="62" t="s">
        <v>196</v>
      </c>
      <c r="F61" s="62" t="s">
        <v>25</v>
      </c>
      <c r="G61" s="143">
        <v>960</v>
      </c>
      <c r="H61" s="62" t="s">
        <v>26</v>
      </c>
      <c r="I61" s="62" t="s">
        <v>197</v>
      </c>
      <c r="J61" s="62"/>
      <c r="K61" s="62"/>
      <c r="L61" s="51">
        <v>360</v>
      </c>
      <c r="M61" s="51">
        <v>611831</v>
      </c>
      <c r="N61" s="144">
        <v>0</v>
      </c>
      <c r="O61" s="11">
        <v>0</v>
      </c>
      <c r="P61" s="11">
        <v>0</v>
      </c>
      <c r="Q61" s="29">
        <v>0</v>
      </c>
      <c r="R61" s="29">
        <v>611831</v>
      </c>
      <c r="S61" s="29">
        <v>3000</v>
      </c>
      <c r="T61" s="29">
        <f t="shared" si="3"/>
        <v>614831</v>
      </c>
    </row>
    <row r="62" spans="1:20" ht="21" customHeight="1" x14ac:dyDescent="0.25">
      <c r="A62" s="21">
        <v>45</v>
      </c>
      <c r="B62" s="63" t="s">
        <v>198</v>
      </c>
      <c r="C62" s="62" t="s">
        <v>199</v>
      </c>
      <c r="D62" s="24" t="s">
        <v>30</v>
      </c>
      <c r="E62" s="62" t="s">
        <v>200</v>
      </c>
      <c r="F62" s="62" t="s">
        <v>25</v>
      </c>
      <c r="G62" s="143">
        <v>5500</v>
      </c>
      <c r="H62" s="62" t="s">
        <v>26</v>
      </c>
      <c r="I62" s="62" t="s">
        <v>201</v>
      </c>
      <c r="J62" s="62"/>
      <c r="K62" s="62"/>
      <c r="L62" s="51">
        <v>1202</v>
      </c>
      <c r="M62" s="51">
        <v>2042835</v>
      </c>
      <c r="N62" s="144">
        <v>0</v>
      </c>
      <c r="O62" s="11">
        <v>0</v>
      </c>
      <c r="P62" s="11">
        <v>0</v>
      </c>
      <c r="Q62" s="29">
        <v>0</v>
      </c>
      <c r="R62" s="29">
        <v>2042835</v>
      </c>
      <c r="S62" s="29">
        <v>3000</v>
      </c>
      <c r="T62" s="29">
        <f t="shared" si="3"/>
        <v>2045835</v>
      </c>
    </row>
    <row r="63" spans="1:20" ht="21" customHeight="1" x14ac:dyDescent="0.25">
      <c r="A63" s="21">
        <v>46</v>
      </c>
      <c r="B63" s="63" t="s">
        <v>202</v>
      </c>
      <c r="C63" s="62" t="s">
        <v>203</v>
      </c>
      <c r="D63" s="24" t="s">
        <v>30</v>
      </c>
      <c r="E63" s="62" t="s">
        <v>204</v>
      </c>
      <c r="F63" s="62" t="s">
        <v>25</v>
      </c>
      <c r="G63" s="143">
        <v>3500</v>
      </c>
      <c r="H63" s="62" t="s">
        <v>26</v>
      </c>
      <c r="I63" s="62" t="s">
        <v>205</v>
      </c>
      <c r="J63" s="62"/>
      <c r="K63" s="62"/>
      <c r="L63" s="51">
        <v>918</v>
      </c>
      <c r="M63" s="51">
        <v>1560169</v>
      </c>
      <c r="N63" s="144">
        <v>0</v>
      </c>
      <c r="O63" s="11">
        <v>0</v>
      </c>
      <c r="P63" s="11">
        <v>0</v>
      </c>
      <c r="Q63" s="29">
        <v>0</v>
      </c>
      <c r="R63" s="29">
        <v>1560169</v>
      </c>
      <c r="S63" s="29">
        <v>3000</v>
      </c>
      <c r="T63" s="29">
        <f t="shared" si="3"/>
        <v>1563169</v>
      </c>
    </row>
    <row r="64" spans="1:20" ht="21" customHeight="1" x14ac:dyDescent="0.25">
      <c r="A64" s="21">
        <v>47</v>
      </c>
      <c r="B64" s="63" t="s">
        <v>206</v>
      </c>
      <c r="C64" s="62" t="s">
        <v>207</v>
      </c>
      <c r="D64" s="24" t="s">
        <v>30</v>
      </c>
      <c r="E64" s="62" t="s">
        <v>208</v>
      </c>
      <c r="F64" s="62" t="s">
        <v>25</v>
      </c>
      <c r="G64" s="143">
        <v>3500</v>
      </c>
      <c r="H64" s="62" t="s">
        <v>26</v>
      </c>
      <c r="I64" s="62" t="s">
        <v>209</v>
      </c>
      <c r="J64" s="62"/>
      <c r="K64" s="62"/>
      <c r="L64" s="51">
        <v>829</v>
      </c>
      <c r="M64" s="51">
        <v>1408910</v>
      </c>
      <c r="N64" s="144">
        <v>0</v>
      </c>
      <c r="O64" s="11">
        <v>0</v>
      </c>
      <c r="P64" s="11">
        <v>0</v>
      </c>
      <c r="Q64" s="29">
        <v>0</v>
      </c>
      <c r="R64" s="29">
        <v>1408910</v>
      </c>
      <c r="S64" s="29">
        <v>3000</v>
      </c>
      <c r="T64" s="29">
        <f t="shared" si="3"/>
        <v>1411910</v>
      </c>
    </row>
    <row r="65" spans="1:20" ht="21" customHeight="1" x14ac:dyDescent="0.25">
      <c r="A65" s="21">
        <v>48</v>
      </c>
      <c r="B65" s="63" t="s">
        <v>210</v>
      </c>
      <c r="C65" s="62" t="s">
        <v>211</v>
      </c>
      <c r="D65" s="24" t="s">
        <v>30</v>
      </c>
      <c r="E65" s="62" t="s">
        <v>212</v>
      </c>
      <c r="F65" s="62" t="s">
        <v>25</v>
      </c>
      <c r="G65" s="143">
        <v>2800</v>
      </c>
      <c r="H65" s="62" t="s">
        <v>26</v>
      </c>
      <c r="I65" s="62" t="s">
        <v>213</v>
      </c>
      <c r="J65" s="62"/>
      <c r="K65" s="62"/>
      <c r="L65" s="51">
        <v>1050</v>
      </c>
      <c r="M65" s="51">
        <v>1784507</v>
      </c>
      <c r="N65" s="144">
        <v>0</v>
      </c>
      <c r="O65" s="11">
        <v>0</v>
      </c>
      <c r="P65" s="11">
        <v>0</v>
      </c>
      <c r="Q65" s="29">
        <v>0</v>
      </c>
      <c r="R65" s="29">
        <v>1784507</v>
      </c>
      <c r="S65" s="29">
        <v>3000</v>
      </c>
      <c r="T65" s="29">
        <f t="shared" si="3"/>
        <v>1787507</v>
      </c>
    </row>
    <row r="66" spans="1:20" ht="21" customHeight="1" x14ac:dyDescent="0.25">
      <c r="A66" s="21">
        <v>49</v>
      </c>
      <c r="B66" s="63" t="s">
        <v>214</v>
      </c>
      <c r="C66" s="62" t="s">
        <v>215</v>
      </c>
      <c r="D66" s="24" t="s">
        <v>30</v>
      </c>
      <c r="E66" s="62" t="s">
        <v>216</v>
      </c>
      <c r="F66" s="62" t="s">
        <v>25</v>
      </c>
      <c r="G66" s="143">
        <v>4400</v>
      </c>
      <c r="H66" s="62" t="s">
        <v>26</v>
      </c>
      <c r="I66" s="62" t="s">
        <v>217</v>
      </c>
      <c r="J66" s="62"/>
      <c r="K66" s="62"/>
      <c r="L66" s="51">
        <v>1989</v>
      </c>
      <c r="M66" s="51">
        <v>3380365</v>
      </c>
      <c r="N66" s="144">
        <v>0</v>
      </c>
      <c r="O66" s="11">
        <v>0</v>
      </c>
      <c r="P66" s="11">
        <v>0</v>
      </c>
      <c r="Q66" s="29">
        <v>0</v>
      </c>
      <c r="R66" s="29">
        <v>3380365</v>
      </c>
      <c r="S66" s="29">
        <v>3000</v>
      </c>
      <c r="T66" s="29">
        <f t="shared" si="3"/>
        <v>3383365</v>
      </c>
    </row>
    <row r="67" spans="1:20" ht="21" customHeight="1" x14ac:dyDescent="0.25">
      <c r="A67" s="21">
        <v>50</v>
      </c>
      <c r="B67" s="63" t="s">
        <v>218</v>
      </c>
      <c r="C67" s="62" t="s">
        <v>219</v>
      </c>
      <c r="D67" s="24" t="s">
        <v>30</v>
      </c>
      <c r="E67" s="62" t="s">
        <v>220</v>
      </c>
      <c r="F67" s="62" t="s">
        <v>25</v>
      </c>
      <c r="G67" s="143">
        <v>5500</v>
      </c>
      <c r="H67" s="62" t="s">
        <v>26</v>
      </c>
      <c r="I67" s="62" t="s">
        <v>221</v>
      </c>
      <c r="J67" s="62"/>
      <c r="K67" s="62"/>
      <c r="L67" s="51">
        <v>1713</v>
      </c>
      <c r="M67" s="51">
        <v>2911295</v>
      </c>
      <c r="N67" s="144">
        <v>0</v>
      </c>
      <c r="O67" s="11">
        <v>0</v>
      </c>
      <c r="P67" s="11">
        <v>0</v>
      </c>
      <c r="Q67" s="29">
        <v>0</v>
      </c>
      <c r="R67" s="29">
        <v>2911295</v>
      </c>
      <c r="S67" s="29">
        <v>3000</v>
      </c>
      <c r="T67" s="29">
        <f t="shared" si="3"/>
        <v>2914295</v>
      </c>
    </row>
    <row r="68" spans="1:20" ht="21" customHeight="1" x14ac:dyDescent="0.25">
      <c r="A68" s="21">
        <v>51</v>
      </c>
      <c r="B68" s="63" t="s">
        <v>222</v>
      </c>
      <c r="C68" s="62" t="s">
        <v>223</v>
      </c>
      <c r="D68" s="24" t="s">
        <v>30</v>
      </c>
      <c r="E68" s="62" t="s">
        <v>224</v>
      </c>
      <c r="F68" s="62" t="s">
        <v>25</v>
      </c>
      <c r="G68" s="143">
        <v>3500</v>
      </c>
      <c r="H68" s="62" t="s">
        <v>26</v>
      </c>
      <c r="I68" s="62" t="s">
        <v>225</v>
      </c>
      <c r="J68" s="62"/>
      <c r="K68" s="62"/>
      <c r="L68" s="51">
        <v>1067</v>
      </c>
      <c r="M68" s="51">
        <v>1813399</v>
      </c>
      <c r="N68" s="144">
        <v>0</v>
      </c>
      <c r="O68" s="11">
        <v>0</v>
      </c>
      <c r="P68" s="11">
        <v>0</v>
      </c>
      <c r="Q68" s="29">
        <v>0</v>
      </c>
      <c r="R68" s="29">
        <v>1813399</v>
      </c>
      <c r="S68" s="29">
        <v>3000</v>
      </c>
      <c r="T68" s="29">
        <f t="shared" si="3"/>
        <v>1816399</v>
      </c>
    </row>
    <row r="69" spans="1:20" ht="21" customHeight="1" x14ac:dyDescent="0.25">
      <c r="A69" s="21">
        <v>52</v>
      </c>
      <c r="B69" s="63" t="s">
        <v>226</v>
      </c>
      <c r="C69" s="62" t="s">
        <v>227</v>
      </c>
      <c r="D69" s="24" t="s">
        <v>84</v>
      </c>
      <c r="E69" s="62" t="s">
        <v>228</v>
      </c>
      <c r="F69" s="62" t="s">
        <v>25</v>
      </c>
      <c r="G69" s="143">
        <v>3500</v>
      </c>
      <c r="H69" s="62" t="s">
        <v>26</v>
      </c>
      <c r="I69" s="62" t="s">
        <v>229</v>
      </c>
      <c r="J69" s="62"/>
      <c r="K69" s="62"/>
      <c r="L69" s="51">
        <v>1061</v>
      </c>
      <c r="M69" s="51">
        <v>1803201</v>
      </c>
      <c r="N69" s="144">
        <v>0</v>
      </c>
      <c r="O69" s="11">
        <v>0</v>
      </c>
      <c r="P69" s="11">
        <v>0</v>
      </c>
      <c r="Q69" s="29">
        <v>0</v>
      </c>
      <c r="R69" s="29">
        <v>1803201</v>
      </c>
      <c r="S69" s="29">
        <v>3000</v>
      </c>
      <c r="T69" s="29">
        <f t="shared" si="3"/>
        <v>1806201</v>
      </c>
    </row>
    <row r="70" spans="1:20" ht="21" customHeight="1" x14ac:dyDescent="0.25">
      <c r="A70" s="21">
        <v>53</v>
      </c>
      <c r="B70" s="63" t="s">
        <v>230</v>
      </c>
      <c r="C70" s="62" t="s">
        <v>231</v>
      </c>
      <c r="D70" s="24" t="s">
        <v>84</v>
      </c>
      <c r="E70" s="62" t="s">
        <v>69</v>
      </c>
      <c r="F70" s="62" t="s">
        <v>25</v>
      </c>
      <c r="G70" s="143">
        <v>4400</v>
      </c>
      <c r="H70" s="62" t="s">
        <v>26</v>
      </c>
      <c r="I70" s="62" t="s">
        <v>232</v>
      </c>
      <c r="J70" s="62"/>
      <c r="K70" s="62"/>
      <c r="L70" s="51">
        <v>706</v>
      </c>
      <c r="M70" s="51">
        <v>1199868</v>
      </c>
      <c r="N70" s="144">
        <v>0</v>
      </c>
      <c r="O70" s="11">
        <v>0</v>
      </c>
      <c r="P70" s="11">
        <v>0</v>
      </c>
      <c r="Q70" s="29">
        <v>0</v>
      </c>
      <c r="R70" s="29">
        <v>1199868</v>
      </c>
      <c r="S70" s="29">
        <v>3000</v>
      </c>
      <c r="T70" s="29">
        <f t="shared" si="3"/>
        <v>1202868</v>
      </c>
    </row>
    <row r="71" spans="1:20" ht="21" customHeight="1" x14ac:dyDescent="0.25">
      <c r="A71" s="21">
        <v>54</v>
      </c>
      <c r="B71" s="63" t="s">
        <v>233</v>
      </c>
      <c r="C71" s="62" t="s">
        <v>234</v>
      </c>
      <c r="D71" s="24" t="s">
        <v>84</v>
      </c>
      <c r="E71" s="62" t="s">
        <v>235</v>
      </c>
      <c r="F71" s="62" t="s">
        <v>25</v>
      </c>
      <c r="G71" s="143">
        <v>4400</v>
      </c>
      <c r="H71" s="62" t="s">
        <v>26</v>
      </c>
      <c r="I71" s="62" t="s">
        <v>236</v>
      </c>
      <c r="J71" s="62"/>
      <c r="K71" s="62"/>
      <c r="L71" s="51">
        <v>1640</v>
      </c>
      <c r="M71" s="51">
        <v>2787229</v>
      </c>
      <c r="N71" s="144">
        <v>0</v>
      </c>
      <c r="O71" s="11">
        <v>0</v>
      </c>
      <c r="P71" s="11">
        <v>0</v>
      </c>
      <c r="Q71" s="29">
        <v>0</v>
      </c>
      <c r="R71" s="29">
        <v>2787229</v>
      </c>
      <c r="S71" s="29">
        <v>3000</v>
      </c>
      <c r="T71" s="29">
        <f t="shared" si="3"/>
        <v>2790229</v>
      </c>
    </row>
    <row r="72" spans="1:20" ht="21" customHeight="1" x14ac:dyDescent="0.25">
      <c r="A72" s="21">
        <v>55</v>
      </c>
      <c r="B72" s="63" t="s">
        <v>237</v>
      </c>
      <c r="C72" s="62" t="s">
        <v>238</v>
      </c>
      <c r="D72" s="24" t="s">
        <v>30</v>
      </c>
      <c r="E72" s="62" t="s">
        <v>239</v>
      </c>
      <c r="F72" s="62" t="s">
        <v>25</v>
      </c>
      <c r="G72" s="143">
        <v>3500</v>
      </c>
      <c r="H72" s="62" t="s">
        <v>26</v>
      </c>
      <c r="I72" s="62" t="s">
        <v>240</v>
      </c>
      <c r="J72" s="62"/>
      <c r="K72" s="62"/>
      <c r="L72" s="51">
        <v>1175</v>
      </c>
      <c r="M72" s="51">
        <v>1996948</v>
      </c>
      <c r="N72" s="144">
        <v>0</v>
      </c>
      <c r="O72" s="11">
        <v>0</v>
      </c>
      <c r="P72" s="11">
        <v>0</v>
      </c>
      <c r="Q72" s="29">
        <v>0</v>
      </c>
      <c r="R72" s="29">
        <v>1996948</v>
      </c>
      <c r="S72" s="29">
        <v>3000</v>
      </c>
      <c r="T72" s="29">
        <f t="shared" si="3"/>
        <v>1999948</v>
      </c>
    </row>
    <row r="73" spans="1:20" ht="21" customHeight="1" x14ac:dyDescent="0.25">
      <c r="A73" s="21">
        <v>56</v>
      </c>
      <c r="B73" s="63" t="s">
        <v>241</v>
      </c>
      <c r="C73" s="62" t="s">
        <v>242</v>
      </c>
      <c r="D73" s="24" t="s">
        <v>84</v>
      </c>
      <c r="E73" s="62" t="s">
        <v>243</v>
      </c>
      <c r="F73" s="62" t="s">
        <v>25</v>
      </c>
      <c r="G73" s="143">
        <v>11000</v>
      </c>
      <c r="H73" s="62" t="s">
        <v>26</v>
      </c>
      <c r="I73" s="62" t="s">
        <v>244</v>
      </c>
      <c r="J73" s="62"/>
      <c r="K73" s="62"/>
      <c r="L73" s="51">
        <v>2501</v>
      </c>
      <c r="M73" s="51">
        <v>4250525</v>
      </c>
      <c r="N73" s="144">
        <v>0</v>
      </c>
      <c r="O73" s="11">
        <v>0</v>
      </c>
      <c r="P73" s="11">
        <v>0</v>
      </c>
      <c r="Q73" s="29">
        <v>0</v>
      </c>
      <c r="R73" s="29">
        <v>4250525</v>
      </c>
      <c r="S73" s="29">
        <v>3000</v>
      </c>
      <c r="T73" s="29">
        <f t="shared" si="3"/>
        <v>4253525</v>
      </c>
    </row>
    <row r="74" spans="1:20" ht="21" customHeight="1" x14ac:dyDescent="0.25">
      <c r="A74" s="21">
        <v>57</v>
      </c>
      <c r="B74" s="63" t="s">
        <v>245</v>
      </c>
      <c r="C74" s="62" t="s">
        <v>246</v>
      </c>
      <c r="D74" s="24" t="s">
        <v>23</v>
      </c>
      <c r="E74" s="62" t="s">
        <v>247</v>
      </c>
      <c r="F74" s="62" t="s">
        <v>25</v>
      </c>
      <c r="G74" s="143">
        <v>4400</v>
      </c>
      <c r="H74" s="62" t="s">
        <v>26</v>
      </c>
      <c r="I74" s="62" t="s">
        <v>248</v>
      </c>
      <c r="J74" s="62"/>
      <c r="K74" s="62"/>
      <c r="L74" s="51">
        <v>952</v>
      </c>
      <c r="M74" s="51">
        <v>1617953</v>
      </c>
      <c r="N74" s="144">
        <v>0</v>
      </c>
      <c r="O74" s="11">
        <v>0</v>
      </c>
      <c r="P74" s="11">
        <v>0</v>
      </c>
      <c r="Q74" s="29">
        <v>0</v>
      </c>
      <c r="R74" s="29">
        <v>1617953</v>
      </c>
      <c r="S74" s="29">
        <v>3000</v>
      </c>
      <c r="T74" s="29">
        <f t="shared" si="3"/>
        <v>1620953</v>
      </c>
    </row>
    <row r="75" spans="1:20" ht="21" customHeight="1" x14ac:dyDescent="0.25">
      <c r="A75" s="21">
        <v>58</v>
      </c>
      <c r="B75" s="63" t="s">
        <v>249</v>
      </c>
      <c r="C75" s="62" t="s">
        <v>250</v>
      </c>
      <c r="D75" s="24" t="s">
        <v>30</v>
      </c>
      <c r="E75" s="62" t="s">
        <v>251</v>
      </c>
      <c r="F75" s="62" t="s">
        <v>25</v>
      </c>
      <c r="G75" s="143">
        <v>5500</v>
      </c>
      <c r="H75" s="62" t="s">
        <v>26</v>
      </c>
      <c r="I75" s="62" t="s">
        <v>252</v>
      </c>
      <c r="J75" s="62"/>
      <c r="K75" s="62"/>
      <c r="L75" s="51">
        <v>1470</v>
      </c>
      <c r="M75" s="51">
        <v>2498309</v>
      </c>
      <c r="N75" s="144">
        <v>0</v>
      </c>
      <c r="O75" s="11">
        <v>0</v>
      </c>
      <c r="P75" s="11">
        <v>0</v>
      </c>
      <c r="Q75" s="29">
        <v>0</v>
      </c>
      <c r="R75" s="29">
        <v>2498309</v>
      </c>
      <c r="S75" s="29">
        <v>3000</v>
      </c>
      <c r="T75" s="29">
        <f t="shared" si="3"/>
        <v>2501309</v>
      </c>
    </row>
    <row r="76" spans="1:20" ht="21" customHeight="1" x14ac:dyDescent="0.25">
      <c r="A76" s="21">
        <v>59</v>
      </c>
      <c r="B76" s="63" t="s">
        <v>253</v>
      </c>
      <c r="C76" s="62" t="s">
        <v>254</v>
      </c>
      <c r="D76" s="24" t="s">
        <v>30</v>
      </c>
      <c r="E76" s="62" t="s">
        <v>255</v>
      </c>
      <c r="F76" s="62" t="s">
        <v>25</v>
      </c>
      <c r="G76" s="143">
        <v>13200</v>
      </c>
      <c r="H76" s="62" t="s">
        <v>26</v>
      </c>
      <c r="I76" s="62" t="s">
        <v>256</v>
      </c>
      <c r="J76" s="62"/>
      <c r="K76" s="62"/>
      <c r="L76" s="51">
        <v>1867</v>
      </c>
      <c r="M76" s="51">
        <v>3173023</v>
      </c>
      <c r="N76" s="144">
        <v>0</v>
      </c>
      <c r="O76" s="11">
        <v>0</v>
      </c>
      <c r="P76" s="11">
        <v>0</v>
      </c>
      <c r="Q76" s="29">
        <v>0</v>
      </c>
      <c r="R76" s="29">
        <v>3173023</v>
      </c>
      <c r="S76" s="29">
        <v>3000</v>
      </c>
      <c r="T76" s="29">
        <f t="shared" si="3"/>
        <v>3176023</v>
      </c>
    </row>
    <row r="77" spans="1:20" ht="21" customHeight="1" x14ac:dyDescent="0.25">
      <c r="A77" s="21">
        <v>60</v>
      </c>
      <c r="B77" s="63" t="s">
        <v>257</v>
      </c>
      <c r="C77" s="62" t="s">
        <v>258</v>
      </c>
      <c r="D77" s="24" t="s">
        <v>30</v>
      </c>
      <c r="E77" s="62" t="s">
        <v>259</v>
      </c>
      <c r="F77" s="62" t="s">
        <v>25</v>
      </c>
      <c r="G77" s="143">
        <v>11000</v>
      </c>
      <c r="H77" s="62" t="s">
        <v>26</v>
      </c>
      <c r="I77" s="62" t="s">
        <v>260</v>
      </c>
      <c r="J77" s="62"/>
      <c r="K77" s="62"/>
      <c r="L77" s="51">
        <v>2509</v>
      </c>
      <c r="M77" s="51">
        <v>4264121</v>
      </c>
      <c r="N77" s="144">
        <v>0</v>
      </c>
      <c r="O77" s="11">
        <v>0</v>
      </c>
      <c r="P77" s="11">
        <v>0</v>
      </c>
      <c r="Q77" s="29">
        <v>0</v>
      </c>
      <c r="R77" s="29">
        <v>4264121</v>
      </c>
      <c r="S77" s="29">
        <v>3000</v>
      </c>
      <c r="T77" s="29">
        <f t="shared" si="3"/>
        <v>4267121</v>
      </c>
    </row>
    <row r="78" spans="1:20" ht="21" customHeight="1" x14ac:dyDescent="0.25">
      <c r="A78" s="21">
        <v>61</v>
      </c>
      <c r="B78" s="63" t="s">
        <v>261</v>
      </c>
      <c r="C78" s="62" t="s">
        <v>262</v>
      </c>
      <c r="D78" s="24" t="s">
        <v>30</v>
      </c>
      <c r="E78" s="62" t="s">
        <v>263</v>
      </c>
      <c r="F78" s="62" t="s">
        <v>25</v>
      </c>
      <c r="G78" s="143">
        <v>4400</v>
      </c>
      <c r="H78" s="62" t="s">
        <v>26</v>
      </c>
      <c r="I78" s="62" t="s">
        <v>264</v>
      </c>
      <c r="J78" s="62"/>
      <c r="K78" s="62"/>
      <c r="L78" s="51">
        <v>781</v>
      </c>
      <c r="M78" s="51">
        <v>1327333</v>
      </c>
      <c r="N78" s="144">
        <v>0</v>
      </c>
      <c r="O78" s="11">
        <v>0</v>
      </c>
      <c r="P78" s="11">
        <v>0</v>
      </c>
      <c r="Q78" s="29">
        <v>0</v>
      </c>
      <c r="R78" s="29">
        <v>1327333</v>
      </c>
      <c r="S78" s="29">
        <v>3000</v>
      </c>
      <c r="T78" s="29">
        <f t="shared" si="3"/>
        <v>1330333</v>
      </c>
    </row>
    <row r="79" spans="1:20" ht="21" customHeight="1" x14ac:dyDescent="0.25">
      <c r="A79" s="21">
        <v>62</v>
      </c>
      <c r="B79" s="63" t="s">
        <v>265</v>
      </c>
      <c r="C79" s="62" t="s">
        <v>266</v>
      </c>
      <c r="D79" s="24" t="s">
        <v>23</v>
      </c>
      <c r="E79" s="62" t="s">
        <v>267</v>
      </c>
      <c r="F79" s="62" t="s">
        <v>25</v>
      </c>
      <c r="G79" s="143">
        <v>7700</v>
      </c>
      <c r="H79" s="62" t="s">
        <v>26</v>
      </c>
      <c r="I79" s="62" t="s">
        <v>268</v>
      </c>
      <c r="J79" s="62"/>
      <c r="K79" s="62"/>
      <c r="L79" s="51">
        <v>1049</v>
      </c>
      <c r="M79" s="51">
        <v>1782807</v>
      </c>
      <c r="N79" s="144">
        <v>0</v>
      </c>
      <c r="O79" s="11">
        <v>0</v>
      </c>
      <c r="P79" s="11">
        <v>0</v>
      </c>
      <c r="Q79" s="29">
        <v>0</v>
      </c>
      <c r="R79" s="29">
        <v>1782807</v>
      </c>
      <c r="S79" s="29">
        <v>3000</v>
      </c>
      <c r="T79" s="29">
        <f t="shared" si="3"/>
        <v>1785807</v>
      </c>
    </row>
    <row r="80" spans="1:20" ht="21" customHeight="1" x14ac:dyDescent="0.25">
      <c r="A80" s="21">
        <v>63</v>
      </c>
      <c r="B80" s="63" t="s">
        <v>269</v>
      </c>
      <c r="C80" s="62" t="s">
        <v>270</v>
      </c>
      <c r="D80" s="24" t="s">
        <v>30</v>
      </c>
      <c r="E80" s="62" t="s">
        <v>267</v>
      </c>
      <c r="F80" s="62" t="s">
        <v>25</v>
      </c>
      <c r="G80" s="143">
        <v>5500</v>
      </c>
      <c r="H80" s="62" t="s">
        <v>26</v>
      </c>
      <c r="I80" s="62" t="s">
        <v>271</v>
      </c>
      <c r="J80" s="62"/>
      <c r="K80" s="62"/>
      <c r="L80" s="51">
        <v>616</v>
      </c>
      <c r="M80" s="51">
        <v>1046910</v>
      </c>
      <c r="N80" s="144">
        <v>0</v>
      </c>
      <c r="O80" s="11">
        <v>0</v>
      </c>
      <c r="P80" s="11">
        <v>0</v>
      </c>
      <c r="Q80" s="29">
        <v>0</v>
      </c>
      <c r="R80" s="29">
        <v>1046910</v>
      </c>
      <c r="S80" s="29">
        <v>3000</v>
      </c>
      <c r="T80" s="29">
        <f t="shared" si="3"/>
        <v>1049910</v>
      </c>
    </row>
    <row r="81" spans="1:20" ht="21" customHeight="1" x14ac:dyDescent="0.25">
      <c r="A81" s="21">
        <v>64</v>
      </c>
      <c r="B81" s="63" t="s">
        <v>272</v>
      </c>
      <c r="C81" s="62" t="s">
        <v>273</v>
      </c>
      <c r="D81" s="24" t="s">
        <v>23</v>
      </c>
      <c r="E81" s="62" t="s">
        <v>274</v>
      </c>
      <c r="F81" s="62" t="s">
        <v>25</v>
      </c>
      <c r="G81" s="143">
        <v>4400</v>
      </c>
      <c r="H81" s="62" t="s">
        <v>26</v>
      </c>
      <c r="I81" s="62" t="s">
        <v>275</v>
      </c>
      <c r="J81" s="62"/>
      <c r="K81" s="62"/>
      <c r="L81" s="51">
        <v>1265</v>
      </c>
      <c r="M81" s="51">
        <v>2149905</v>
      </c>
      <c r="N81" s="144">
        <v>0</v>
      </c>
      <c r="O81" s="11">
        <v>0</v>
      </c>
      <c r="P81" s="11">
        <v>0</v>
      </c>
      <c r="Q81" s="29">
        <v>0</v>
      </c>
      <c r="R81" s="29">
        <v>2149905</v>
      </c>
      <c r="S81" s="29">
        <v>3000</v>
      </c>
      <c r="T81" s="29">
        <f t="shared" si="3"/>
        <v>2152905</v>
      </c>
    </row>
    <row r="82" spans="1:20" ht="21" customHeight="1" x14ac:dyDescent="0.25">
      <c r="A82" s="21">
        <v>65</v>
      </c>
      <c r="B82" s="63" t="s">
        <v>276</v>
      </c>
      <c r="C82" s="62" t="s">
        <v>277</v>
      </c>
      <c r="D82" s="24" t="s">
        <v>30</v>
      </c>
      <c r="E82" s="62" t="s">
        <v>278</v>
      </c>
      <c r="F82" s="62" t="s">
        <v>25</v>
      </c>
      <c r="G82" s="143">
        <v>4400</v>
      </c>
      <c r="H82" s="62" t="s">
        <v>26</v>
      </c>
      <c r="I82" s="62" t="s">
        <v>279</v>
      </c>
      <c r="J82" s="62"/>
      <c r="K82" s="62"/>
      <c r="L82" s="51">
        <v>814</v>
      </c>
      <c r="M82" s="51">
        <v>1383417</v>
      </c>
      <c r="N82" s="144">
        <v>0</v>
      </c>
      <c r="O82" s="11">
        <v>0</v>
      </c>
      <c r="P82" s="11">
        <v>0</v>
      </c>
      <c r="Q82" s="29">
        <v>0</v>
      </c>
      <c r="R82" s="29">
        <v>1383417</v>
      </c>
      <c r="S82" s="29">
        <v>3000</v>
      </c>
      <c r="T82" s="29">
        <f t="shared" si="3"/>
        <v>1386417</v>
      </c>
    </row>
    <row r="83" spans="1:20" ht="21" customHeight="1" x14ac:dyDescent="0.25">
      <c r="A83" s="21">
        <v>66</v>
      </c>
      <c r="B83" s="63" t="s">
        <v>280</v>
      </c>
      <c r="C83" s="62" t="s">
        <v>281</v>
      </c>
      <c r="D83" s="24" t="s">
        <v>30</v>
      </c>
      <c r="E83" s="62" t="s">
        <v>204</v>
      </c>
      <c r="F83" s="62" t="s">
        <v>25</v>
      </c>
      <c r="G83" s="143">
        <v>5500</v>
      </c>
      <c r="H83" s="62" t="s">
        <v>26</v>
      </c>
      <c r="I83" s="62" t="s">
        <v>282</v>
      </c>
      <c r="J83" s="62"/>
      <c r="K83" s="62"/>
      <c r="L83" s="51">
        <v>1586</v>
      </c>
      <c r="M83" s="51">
        <v>2695455</v>
      </c>
      <c r="N83" s="144">
        <v>0</v>
      </c>
      <c r="O83" s="11">
        <v>0</v>
      </c>
      <c r="P83" s="11">
        <v>0</v>
      </c>
      <c r="Q83" s="29">
        <v>0</v>
      </c>
      <c r="R83" s="29">
        <v>2695455</v>
      </c>
      <c r="S83" s="29">
        <v>3000</v>
      </c>
      <c r="T83" s="29">
        <f t="shared" si="3"/>
        <v>2698455</v>
      </c>
    </row>
    <row r="84" spans="1:20" ht="21" customHeight="1" x14ac:dyDescent="0.25">
      <c r="A84" s="21">
        <v>67</v>
      </c>
      <c r="B84" s="63" t="s">
        <v>283</v>
      </c>
      <c r="C84" s="62" t="s">
        <v>284</v>
      </c>
      <c r="D84" s="24" t="s">
        <v>30</v>
      </c>
      <c r="E84" s="62" t="s">
        <v>285</v>
      </c>
      <c r="F84" s="62" t="s">
        <v>25</v>
      </c>
      <c r="G84" s="143">
        <v>5500</v>
      </c>
      <c r="H84" s="62" t="s">
        <v>26</v>
      </c>
      <c r="I84" s="62" t="s">
        <v>286</v>
      </c>
      <c r="J84" s="62"/>
      <c r="K84" s="62"/>
      <c r="L84" s="51">
        <v>2747</v>
      </c>
      <c r="M84" s="51">
        <v>4668609</v>
      </c>
      <c r="N84" s="144">
        <v>0</v>
      </c>
      <c r="O84" s="11">
        <v>0</v>
      </c>
      <c r="P84" s="11">
        <v>0</v>
      </c>
      <c r="Q84" s="29">
        <v>0</v>
      </c>
      <c r="R84" s="29">
        <v>4668609</v>
      </c>
      <c r="S84" s="29">
        <v>3000</v>
      </c>
      <c r="T84" s="29">
        <f t="shared" si="3"/>
        <v>4671609</v>
      </c>
    </row>
    <row r="85" spans="1:20" ht="21" customHeight="1" x14ac:dyDescent="0.25">
      <c r="A85" s="21">
        <v>68</v>
      </c>
      <c r="B85" s="63" t="s">
        <v>287</v>
      </c>
      <c r="C85" s="62" t="s">
        <v>288</v>
      </c>
      <c r="D85" s="24" t="s">
        <v>30</v>
      </c>
      <c r="E85" s="62" t="s">
        <v>251</v>
      </c>
      <c r="F85" s="62" t="s">
        <v>25</v>
      </c>
      <c r="G85" s="143">
        <v>5500</v>
      </c>
      <c r="H85" s="62" t="s">
        <v>26</v>
      </c>
      <c r="I85" s="62" t="s">
        <v>289</v>
      </c>
      <c r="J85" s="62"/>
      <c r="K85" s="62"/>
      <c r="L85" s="51">
        <v>2293</v>
      </c>
      <c r="M85" s="51">
        <v>3897022</v>
      </c>
      <c r="N85" s="144">
        <v>0</v>
      </c>
      <c r="O85" s="11">
        <v>0</v>
      </c>
      <c r="P85" s="11">
        <v>0</v>
      </c>
      <c r="Q85" s="29">
        <v>0</v>
      </c>
      <c r="R85" s="29">
        <v>3897022</v>
      </c>
      <c r="S85" s="29">
        <v>3000</v>
      </c>
      <c r="T85" s="29">
        <f t="shared" si="3"/>
        <v>3900022</v>
      </c>
    </row>
    <row r="86" spans="1:20" ht="21" customHeight="1" x14ac:dyDescent="0.25">
      <c r="A86" s="21">
        <v>69</v>
      </c>
      <c r="B86" s="63" t="s">
        <v>290</v>
      </c>
      <c r="C86" s="62" t="s">
        <v>291</v>
      </c>
      <c r="D86" s="24" t="s">
        <v>23</v>
      </c>
      <c r="E86" s="62" t="s">
        <v>292</v>
      </c>
      <c r="F86" s="62" t="s">
        <v>25</v>
      </c>
      <c r="G86" s="143">
        <v>4400</v>
      </c>
      <c r="H86" s="62" t="s">
        <v>26</v>
      </c>
      <c r="I86" s="62" t="s">
        <v>293</v>
      </c>
      <c r="J86" s="62"/>
      <c r="K86" s="62"/>
      <c r="L86" s="51">
        <v>563</v>
      </c>
      <c r="M86" s="51">
        <v>956835</v>
      </c>
      <c r="N86" s="144">
        <v>0</v>
      </c>
      <c r="O86" s="11">
        <v>0</v>
      </c>
      <c r="P86" s="11">
        <v>0</v>
      </c>
      <c r="Q86" s="29">
        <v>0</v>
      </c>
      <c r="R86" s="29">
        <v>956835</v>
      </c>
      <c r="S86" s="29">
        <v>3000</v>
      </c>
      <c r="T86" s="29">
        <f t="shared" si="3"/>
        <v>959835</v>
      </c>
    </row>
    <row r="87" spans="1:20" ht="21" customHeight="1" x14ac:dyDescent="0.25">
      <c r="A87" s="21">
        <v>70</v>
      </c>
      <c r="B87" s="63" t="s">
        <v>294</v>
      </c>
      <c r="C87" s="62" t="s">
        <v>295</v>
      </c>
      <c r="D87" s="24" t="s">
        <v>23</v>
      </c>
      <c r="E87" s="62" t="s">
        <v>292</v>
      </c>
      <c r="F87" s="62" t="s">
        <v>25</v>
      </c>
      <c r="G87" s="143">
        <v>4400</v>
      </c>
      <c r="H87" s="62" t="s">
        <v>26</v>
      </c>
      <c r="I87" s="62" t="s">
        <v>296</v>
      </c>
      <c r="J87" s="62"/>
      <c r="K87" s="62"/>
      <c r="L87" s="51">
        <v>539</v>
      </c>
      <c r="M87" s="51">
        <v>916047</v>
      </c>
      <c r="N87" s="144">
        <v>0</v>
      </c>
      <c r="O87" s="11">
        <v>0</v>
      </c>
      <c r="P87" s="11">
        <v>0</v>
      </c>
      <c r="Q87" s="29">
        <v>0</v>
      </c>
      <c r="R87" s="29">
        <v>916047</v>
      </c>
      <c r="S87" s="29">
        <v>3000</v>
      </c>
      <c r="T87" s="29">
        <f t="shared" si="3"/>
        <v>919047</v>
      </c>
    </row>
    <row r="88" spans="1:20" ht="21" customHeight="1" x14ac:dyDescent="0.25">
      <c r="A88" s="21">
        <v>71</v>
      </c>
      <c r="B88" s="63" t="s">
        <v>297</v>
      </c>
      <c r="C88" s="62" t="s">
        <v>298</v>
      </c>
      <c r="D88" s="24" t="s">
        <v>23</v>
      </c>
      <c r="E88" s="62" t="s">
        <v>299</v>
      </c>
      <c r="F88" s="62" t="s">
        <v>25</v>
      </c>
      <c r="G88" s="143">
        <v>4400</v>
      </c>
      <c r="H88" s="62" t="s">
        <v>26</v>
      </c>
      <c r="I88" s="62" t="s">
        <v>300</v>
      </c>
      <c r="J88" s="62"/>
      <c r="K88" s="62"/>
      <c r="L88" s="51">
        <v>1549</v>
      </c>
      <c r="M88" s="51">
        <v>2632572</v>
      </c>
      <c r="N88" s="144">
        <v>0</v>
      </c>
      <c r="O88" s="11">
        <v>0</v>
      </c>
      <c r="P88" s="11">
        <v>0</v>
      </c>
      <c r="Q88" s="29">
        <v>0</v>
      </c>
      <c r="R88" s="29">
        <v>2632572</v>
      </c>
      <c r="S88" s="29">
        <v>3000</v>
      </c>
      <c r="T88" s="29">
        <f t="shared" si="3"/>
        <v>2635572</v>
      </c>
    </row>
    <row r="89" spans="1:20" ht="21" customHeight="1" x14ac:dyDescent="0.25">
      <c r="A89" s="21">
        <v>72</v>
      </c>
      <c r="B89" s="63" t="s">
        <v>301</v>
      </c>
      <c r="C89" s="62" t="s">
        <v>302</v>
      </c>
      <c r="D89" s="24" t="s">
        <v>30</v>
      </c>
      <c r="E89" s="62" t="s">
        <v>303</v>
      </c>
      <c r="F89" s="62" t="s">
        <v>25</v>
      </c>
      <c r="G89" s="143">
        <v>5500</v>
      </c>
      <c r="H89" s="62" t="s">
        <v>26</v>
      </c>
      <c r="I89" s="62" t="s">
        <v>304</v>
      </c>
      <c r="J89" s="62"/>
      <c r="K89" s="62"/>
      <c r="L89" s="51">
        <v>1660</v>
      </c>
      <c r="M89" s="51">
        <v>2821220</v>
      </c>
      <c r="N89" s="144">
        <v>0</v>
      </c>
      <c r="O89" s="11">
        <v>0</v>
      </c>
      <c r="P89" s="11">
        <v>0</v>
      </c>
      <c r="Q89" s="29">
        <v>0</v>
      </c>
      <c r="R89" s="29">
        <v>2821220</v>
      </c>
      <c r="S89" s="29">
        <v>3000</v>
      </c>
      <c r="T89" s="29">
        <f t="shared" si="3"/>
        <v>2824220</v>
      </c>
    </row>
    <row r="90" spans="1:20" ht="21" customHeight="1" x14ac:dyDescent="0.25">
      <c r="A90" s="21">
        <v>73</v>
      </c>
      <c r="B90" s="63" t="s">
        <v>305</v>
      </c>
      <c r="C90" s="62" t="s">
        <v>306</v>
      </c>
      <c r="D90" s="24" t="s">
        <v>23</v>
      </c>
      <c r="E90" s="62" t="s">
        <v>196</v>
      </c>
      <c r="F90" s="62" t="s">
        <v>25</v>
      </c>
      <c r="G90" s="143">
        <v>4400</v>
      </c>
      <c r="H90" s="62" t="s">
        <v>26</v>
      </c>
      <c r="I90" s="62" t="s">
        <v>307</v>
      </c>
      <c r="J90" s="62"/>
      <c r="K90" s="62"/>
      <c r="L90" s="51">
        <v>1217</v>
      </c>
      <c r="M90" s="51">
        <v>2068328</v>
      </c>
      <c r="N90" s="144">
        <v>0</v>
      </c>
      <c r="O90" s="11">
        <v>0</v>
      </c>
      <c r="P90" s="11">
        <v>0</v>
      </c>
      <c r="Q90" s="29">
        <v>0</v>
      </c>
      <c r="R90" s="29">
        <v>2068328</v>
      </c>
      <c r="S90" s="29">
        <v>3000</v>
      </c>
      <c r="T90" s="29">
        <f t="shared" si="3"/>
        <v>2071328</v>
      </c>
    </row>
    <row r="91" spans="1:20" ht="21" customHeight="1" x14ac:dyDescent="0.25">
      <c r="A91" s="21">
        <v>74</v>
      </c>
      <c r="B91" s="63" t="s">
        <v>308</v>
      </c>
      <c r="C91" s="62" t="s">
        <v>309</v>
      </c>
      <c r="D91" s="24" t="s">
        <v>30</v>
      </c>
      <c r="E91" s="62" t="s">
        <v>235</v>
      </c>
      <c r="F91" s="62" t="s">
        <v>25</v>
      </c>
      <c r="G91" s="143">
        <v>4400</v>
      </c>
      <c r="H91" s="62" t="s">
        <v>26</v>
      </c>
      <c r="I91" s="62" t="s">
        <v>310</v>
      </c>
      <c r="J91" s="62"/>
      <c r="K91" s="62"/>
      <c r="L91" s="51">
        <v>1084</v>
      </c>
      <c r="M91" s="51">
        <v>1842291</v>
      </c>
      <c r="N91" s="144">
        <v>0</v>
      </c>
      <c r="O91" s="11">
        <v>0</v>
      </c>
      <c r="P91" s="11">
        <v>0</v>
      </c>
      <c r="Q91" s="29">
        <v>0</v>
      </c>
      <c r="R91" s="29">
        <v>1842291</v>
      </c>
      <c r="S91" s="29">
        <v>3000</v>
      </c>
      <c r="T91" s="29">
        <f t="shared" si="3"/>
        <v>1845291</v>
      </c>
    </row>
    <row r="92" spans="1:20" ht="21" customHeight="1" x14ac:dyDescent="0.25">
      <c r="A92" s="21">
        <v>75</v>
      </c>
      <c r="B92" s="63" t="s">
        <v>311</v>
      </c>
      <c r="C92" s="62" t="s">
        <v>312</v>
      </c>
      <c r="D92" s="24" t="s">
        <v>23</v>
      </c>
      <c r="E92" s="62" t="s">
        <v>133</v>
      </c>
      <c r="F92" s="62" t="s">
        <v>25</v>
      </c>
      <c r="G92" s="143">
        <v>5500</v>
      </c>
      <c r="H92" s="62" t="s">
        <v>26</v>
      </c>
      <c r="I92" s="62" t="s">
        <v>313</v>
      </c>
      <c r="J92" s="62"/>
      <c r="K92" s="62"/>
      <c r="L92" s="51">
        <v>1703</v>
      </c>
      <c r="M92" s="51">
        <v>2894300</v>
      </c>
      <c r="N92" s="144">
        <v>0</v>
      </c>
      <c r="O92" s="11">
        <v>0</v>
      </c>
      <c r="P92" s="11">
        <v>0</v>
      </c>
      <c r="Q92" s="29">
        <v>0</v>
      </c>
      <c r="R92" s="29">
        <v>2894300</v>
      </c>
      <c r="S92" s="29">
        <v>3000</v>
      </c>
      <c r="T92" s="29">
        <f t="shared" si="3"/>
        <v>2897300</v>
      </c>
    </row>
    <row r="93" spans="1:20" ht="21" customHeight="1" x14ac:dyDescent="0.25">
      <c r="A93" s="21">
        <v>76</v>
      </c>
      <c r="B93" s="63" t="s">
        <v>314</v>
      </c>
      <c r="C93" s="62" t="s">
        <v>315</v>
      </c>
      <c r="D93" s="24" t="s">
        <v>316</v>
      </c>
      <c r="E93" s="62" t="s">
        <v>115</v>
      </c>
      <c r="F93" s="62" t="s">
        <v>25</v>
      </c>
      <c r="G93" s="143">
        <v>7700</v>
      </c>
      <c r="H93" s="62" t="s">
        <v>26</v>
      </c>
      <c r="I93" s="62" t="s">
        <v>317</v>
      </c>
      <c r="J93" s="62"/>
      <c r="K93" s="62"/>
      <c r="L93" s="51">
        <v>1634</v>
      </c>
      <c r="M93" s="51">
        <v>2777032</v>
      </c>
      <c r="N93" s="144">
        <v>0</v>
      </c>
      <c r="O93" s="11">
        <v>0</v>
      </c>
      <c r="P93" s="11">
        <v>0</v>
      </c>
      <c r="Q93" s="29">
        <v>0</v>
      </c>
      <c r="R93" s="29">
        <v>2777032</v>
      </c>
      <c r="S93" s="29">
        <v>3000</v>
      </c>
      <c r="T93" s="29">
        <f t="shared" si="3"/>
        <v>2780032</v>
      </c>
    </row>
    <row r="94" spans="1:20" ht="21" customHeight="1" x14ac:dyDescent="0.25">
      <c r="A94" s="21">
        <v>77</v>
      </c>
      <c r="B94" s="63" t="s">
        <v>318</v>
      </c>
      <c r="C94" s="62" t="s">
        <v>319</v>
      </c>
      <c r="D94" s="24" t="s">
        <v>23</v>
      </c>
      <c r="E94" s="62" t="s">
        <v>235</v>
      </c>
      <c r="F94" s="62" t="s">
        <v>25</v>
      </c>
      <c r="G94" s="143">
        <v>7120</v>
      </c>
      <c r="H94" s="62" t="s">
        <v>26</v>
      </c>
      <c r="I94" s="62" t="s">
        <v>320</v>
      </c>
      <c r="J94" s="62"/>
      <c r="K94" s="62"/>
      <c r="L94" s="51">
        <v>2670</v>
      </c>
      <c r="M94" s="51">
        <v>4537745</v>
      </c>
      <c r="N94" s="144">
        <v>0</v>
      </c>
      <c r="O94" s="11">
        <v>0</v>
      </c>
      <c r="P94" s="11">
        <v>0</v>
      </c>
      <c r="Q94" s="29">
        <v>0</v>
      </c>
      <c r="R94" s="29">
        <v>4537745</v>
      </c>
      <c r="S94" s="29">
        <v>3000</v>
      </c>
      <c r="T94" s="29">
        <f t="shared" si="3"/>
        <v>4540745</v>
      </c>
    </row>
    <row r="95" spans="1:20" ht="21" customHeight="1" x14ac:dyDescent="0.25">
      <c r="A95" s="21">
        <v>78</v>
      </c>
      <c r="B95" s="63" t="s">
        <v>321</v>
      </c>
      <c r="C95" s="62" t="s">
        <v>322</v>
      </c>
      <c r="D95" s="24" t="s">
        <v>30</v>
      </c>
      <c r="E95" s="62" t="s">
        <v>274</v>
      </c>
      <c r="F95" s="62" t="s">
        <v>25</v>
      </c>
      <c r="G95" s="143">
        <v>5500</v>
      </c>
      <c r="H95" s="62" t="s">
        <v>26</v>
      </c>
      <c r="I95" s="62" t="s">
        <v>323</v>
      </c>
      <c r="J95" s="62"/>
      <c r="K95" s="62"/>
      <c r="L95" s="51">
        <v>467</v>
      </c>
      <c r="M95" s="51">
        <v>793681</v>
      </c>
      <c r="N95" s="144">
        <v>0</v>
      </c>
      <c r="O95" s="11">
        <v>0</v>
      </c>
      <c r="P95" s="11">
        <v>0</v>
      </c>
      <c r="Q95" s="29">
        <v>0</v>
      </c>
      <c r="R95" s="29">
        <v>793681</v>
      </c>
      <c r="S95" s="29">
        <v>3000</v>
      </c>
      <c r="T95" s="29">
        <f t="shared" si="3"/>
        <v>796681</v>
      </c>
    </row>
    <row r="96" spans="1:20" ht="21" customHeight="1" x14ac:dyDescent="0.25">
      <c r="A96" s="21">
        <v>79</v>
      </c>
      <c r="B96" s="63" t="s">
        <v>324</v>
      </c>
      <c r="C96" s="62" t="s">
        <v>325</v>
      </c>
      <c r="D96" s="24" t="s">
        <v>30</v>
      </c>
      <c r="E96" s="62" t="s">
        <v>123</v>
      </c>
      <c r="F96" s="62" t="s">
        <v>25</v>
      </c>
      <c r="G96" s="143">
        <v>16500</v>
      </c>
      <c r="H96" s="62" t="s">
        <v>26</v>
      </c>
      <c r="I96" s="62" t="s">
        <v>326</v>
      </c>
      <c r="J96" s="62"/>
      <c r="K96" s="62"/>
      <c r="L96" s="51">
        <v>2457</v>
      </c>
      <c r="M96" s="51">
        <v>4175745</v>
      </c>
      <c r="N96" s="144">
        <v>0</v>
      </c>
      <c r="O96" s="11">
        <v>0</v>
      </c>
      <c r="P96" s="11">
        <v>0</v>
      </c>
      <c r="Q96" s="29">
        <v>0</v>
      </c>
      <c r="R96" s="29">
        <v>4175745</v>
      </c>
      <c r="S96" s="29">
        <v>3000</v>
      </c>
      <c r="T96" s="29">
        <f t="shared" si="3"/>
        <v>4178745</v>
      </c>
    </row>
    <row r="97" spans="1:20" ht="21" customHeight="1" x14ac:dyDescent="0.25">
      <c r="A97" s="21">
        <v>80</v>
      </c>
      <c r="B97" s="63" t="s">
        <v>327</v>
      </c>
      <c r="C97" s="62" t="s">
        <v>328</v>
      </c>
      <c r="D97" s="24" t="s">
        <v>30</v>
      </c>
      <c r="E97" s="62" t="s">
        <v>329</v>
      </c>
      <c r="F97" s="62" t="s">
        <v>25</v>
      </c>
      <c r="G97" s="143">
        <v>4400</v>
      </c>
      <c r="H97" s="62" t="s">
        <v>26</v>
      </c>
      <c r="I97" s="62" t="s">
        <v>330</v>
      </c>
      <c r="J97" s="62"/>
      <c r="K97" s="62"/>
      <c r="L97" s="51">
        <v>2736</v>
      </c>
      <c r="M97" s="51">
        <v>4649914</v>
      </c>
      <c r="N97" s="144">
        <v>0</v>
      </c>
      <c r="O97" s="11">
        <v>0</v>
      </c>
      <c r="P97" s="11">
        <v>0</v>
      </c>
      <c r="Q97" s="29">
        <v>0</v>
      </c>
      <c r="R97" s="29">
        <v>4649914</v>
      </c>
      <c r="S97" s="29">
        <v>3000</v>
      </c>
      <c r="T97" s="29">
        <f t="shared" si="3"/>
        <v>4652914</v>
      </c>
    </row>
    <row r="98" spans="1:20" ht="21" customHeight="1" x14ac:dyDescent="0.25">
      <c r="A98" s="21"/>
      <c r="B98" s="63"/>
      <c r="C98" s="62"/>
      <c r="D98" s="24"/>
      <c r="E98" s="62"/>
      <c r="F98" s="62"/>
      <c r="G98" s="143"/>
      <c r="H98" s="62"/>
      <c r="I98" s="62"/>
      <c r="J98" s="62"/>
      <c r="K98" s="62"/>
      <c r="L98" s="51"/>
      <c r="M98" s="51"/>
      <c r="N98" s="144"/>
      <c r="O98" s="11"/>
      <c r="P98" s="11"/>
      <c r="Q98" s="29"/>
      <c r="R98" s="29"/>
      <c r="S98" s="29"/>
      <c r="T98" s="29"/>
    </row>
    <row r="99" spans="1:20" s="35" customFormat="1" ht="36.75" customHeight="1" x14ac:dyDescent="0.25">
      <c r="A99" s="162" t="s">
        <v>179</v>
      </c>
      <c r="B99" s="162"/>
      <c r="C99" s="162"/>
      <c r="D99" s="162"/>
      <c r="E99" s="162"/>
      <c r="F99" s="162"/>
      <c r="G99" s="46">
        <v>411180</v>
      </c>
      <c r="H99" s="46"/>
      <c r="I99" s="46"/>
      <c r="J99" s="46"/>
      <c r="K99" s="46"/>
      <c r="L99" s="46">
        <v>107933</v>
      </c>
      <c r="M99" s="47">
        <v>183435372</v>
      </c>
      <c r="N99" s="48">
        <v>0</v>
      </c>
      <c r="O99" s="48">
        <v>0</v>
      </c>
      <c r="P99" s="48">
        <v>0</v>
      </c>
      <c r="Q99" s="47">
        <f>SUM(Q56:Q98)</f>
        <v>10000</v>
      </c>
      <c r="R99" s="47">
        <f t="shared" ref="R99:T99" si="4">SUM(R56:R98)</f>
        <v>183445372</v>
      </c>
      <c r="S99" s="47">
        <f t="shared" si="4"/>
        <v>240000</v>
      </c>
      <c r="T99" s="47">
        <f t="shared" si="4"/>
        <v>183685372</v>
      </c>
    </row>
    <row r="100" spans="1:20" s="35" customFormat="1" ht="21" customHeight="1" x14ac:dyDescent="0.25">
      <c r="A100" s="18"/>
      <c r="B100" s="18"/>
      <c r="C100" s="18"/>
      <c r="D100" s="18"/>
      <c r="E100" s="18"/>
      <c r="F100" s="18"/>
      <c r="G100" s="49"/>
      <c r="H100" s="49"/>
      <c r="I100" s="14"/>
      <c r="J100" s="14"/>
      <c r="K100" s="14"/>
      <c r="L100" s="38"/>
      <c r="M100" s="16"/>
      <c r="N100" s="39"/>
      <c r="O100" s="39"/>
      <c r="P100" s="39"/>
      <c r="Q100" s="40"/>
      <c r="R100" s="40"/>
      <c r="S100" s="40"/>
      <c r="T100" s="40"/>
    </row>
    <row r="101" spans="1:20" ht="21" customHeight="1" x14ac:dyDescent="0.25">
      <c r="A101" s="14"/>
      <c r="C101" s="14" t="s">
        <v>180</v>
      </c>
      <c r="D101" s="14"/>
      <c r="E101" s="14" t="s">
        <v>180</v>
      </c>
      <c r="I101" s="14" t="s">
        <v>0</v>
      </c>
      <c r="L101" s="41" t="s">
        <v>0</v>
      </c>
    </row>
    <row r="102" spans="1:20" s="93" customFormat="1" ht="42" customHeight="1" x14ac:dyDescent="0.25">
      <c r="A102" s="31" t="s">
        <v>4</v>
      </c>
      <c r="B102" s="31" t="s">
        <v>5</v>
      </c>
      <c r="C102" s="31" t="s">
        <v>6</v>
      </c>
      <c r="D102" s="22"/>
      <c r="E102" s="31" t="s">
        <v>7</v>
      </c>
      <c r="F102" s="31" t="s">
        <v>8</v>
      </c>
      <c r="G102" s="31" t="s">
        <v>9</v>
      </c>
      <c r="H102" s="31" t="s">
        <v>10</v>
      </c>
      <c r="I102" s="31" t="s">
        <v>11</v>
      </c>
      <c r="J102" s="31" t="s">
        <v>12</v>
      </c>
      <c r="K102" s="31" t="s">
        <v>13</v>
      </c>
      <c r="L102" s="31" t="s">
        <v>14</v>
      </c>
      <c r="M102" s="141" t="s">
        <v>15</v>
      </c>
      <c r="N102" s="142" t="s">
        <v>16</v>
      </c>
      <c r="O102" s="142" t="s">
        <v>17</v>
      </c>
      <c r="P102" s="142" t="s">
        <v>18</v>
      </c>
      <c r="Q102" s="141" t="s">
        <v>19</v>
      </c>
      <c r="R102" s="141" t="s">
        <v>20</v>
      </c>
      <c r="S102" s="141" t="s">
        <v>3655</v>
      </c>
      <c r="T102" s="141" t="s">
        <v>3656</v>
      </c>
    </row>
    <row r="103" spans="1:20" ht="21" customHeight="1" x14ac:dyDescent="0.25">
      <c r="A103" s="44"/>
      <c r="B103" s="20"/>
      <c r="C103" s="25"/>
      <c r="D103" s="25"/>
      <c r="E103" s="25"/>
      <c r="F103" s="25"/>
      <c r="G103" s="25"/>
      <c r="H103" s="25"/>
      <c r="I103" s="25" t="s">
        <v>0</v>
      </c>
      <c r="J103" s="25"/>
      <c r="K103" s="25"/>
      <c r="L103" s="28" t="s">
        <v>0</v>
      </c>
      <c r="M103" s="29"/>
      <c r="N103" s="30"/>
      <c r="O103" s="30"/>
      <c r="P103" s="30"/>
      <c r="Q103" s="29"/>
      <c r="R103" s="29"/>
      <c r="S103" s="29"/>
      <c r="T103" s="29"/>
    </row>
    <row r="104" spans="1:20" ht="21" customHeight="1" x14ac:dyDescent="0.25">
      <c r="A104" s="24"/>
      <c r="B104" s="25"/>
      <c r="C104" s="24" t="s">
        <v>180</v>
      </c>
      <c r="D104" s="24"/>
      <c r="E104" s="45" t="s">
        <v>181</v>
      </c>
      <c r="F104" s="25"/>
      <c r="G104" s="46">
        <v>411180</v>
      </c>
      <c r="H104" s="46">
        <v>0</v>
      </c>
      <c r="I104" s="46">
        <v>0</v>
      </c>
      <c r="J104" s="46"/>
      <c r="K104" s="46"/>
      <c r="L104" s="46">
        <v>107933</v>
      </c>
      <c r="M104" s="47">
        <v>183435372</v>
      </c>
      <c r="N104" s="48">
        <v>0</v>
      </c>
      <c r="O104" s="48">
        <v>0</v>
      </c>
      <c r="P104" s="48">
        <v>0</v>
      </c>
      <c r="Q104" s="47">
        <f>Q99</f>
        <v>10000</v>
      </c>
      <c r="R104" s="47">
        <f t="shared" ref="R104:T104" si="5">R99</f>
        <v>183445372</v>
      </c>
      <c r="S104" s="47">
        <f t="shared" si="5"/>
        <v>240000</v>
      </c>
      <c r="T104" s="47">
        <f t="shared" si="5"/>
        <v>183685372</v>
      </c>
    </row>
    <row r="105" spans="1:20" ht="21" customHeight="1" x14ac:dyDescent="0.25">
      <c r="A105" s="21">
        <v>81</v>
      </c>
      <c r="B105" s="63" t="s">
        <v>331</v>
      </c>
      <c r="C105" s="62" t="s">
        <v>332</v>
      </c>
      <c r="D105" s="24" t="s">
        <v>30</v>
      </c>
      <c r="E105" s="62" t="s">
        <v>333</v>
      </c>
      <c r="F105" s="62" t="s">
        <v>25</v>
      </c>
      <c r="G105" s="143">
        <v>7700</v>
      </c>
      <c r="H105" s="62" t="s">
        <v>26</v>
      </c>
      <c r="I105" s="62" t="s">
        <v>334</v>
      </c>
      <c r="J105" s="62"/>
      <c r="K105" s="62"/>
      <c r="L105" s="51">
        <v>2614</v>
      </c>
      <c r="M105" s="54">
        <v>4442571</v>
      </c>
      <c r="N105" s="30">
        <v>0</v>
      </c>
      <c r="O105" s="52">
        <v>0</v>
      </c>
      <c r="P105" s="52">
        <v>0</v>
      </c>
      <c r="Q105" s="29">
        <v>0</v>
      </c>
      <c r="R105" s="29">
        <v>4442571</v>
      </c>
      <c r="S105" s="29">
        <v>3000</v>
      </c>
      <c r="T105" s="29">
        <f t="shared" ref="T105:T144" si="6">R105+S105</f>
        <v>4445571</v>
      </c>
    </row>
    <row r="106" spans="1:20" ht="21" customHeight="1" x14ac:dyDescent="0.25">
      <c r="A106" s="21">
        <v>82</v>
      </c>
      <c r="B106" s="63" t="s">
        <v>335</v>
      </c>
      <c r="C106" s="62" t="s">
        <v>336</v>
      </c>
      <c r="D106" s="24" t="s">
        <v>30</v>
      </c>
      <c r="E106" s="62" t="s">
        <v>337</v>
      </c>
      <c r="F106" s="62" t="s">
        <v>25</v>
      </c>
      <c r="G106" s="143">
        <v>4400</v>
      </c>
      <c r="H106" s="62" t="s">
        <v>26</v>
      </c>
      <c r="I106" s="62" t="s">
        <v>338</v>
      </c>
      <c r="J106" s="62"/>
      <c r="K106" s="62"/>
      <c r="L106" s="51">
        <v>2652</v>
      </c>
      <c r="M106" s="54">
        <v>4507154</v>
      </c>
      <c r="N106" s="30">
        <v>0</v>
      </c>
      <c r="O106" s="52">
        <v>0</v>
      </c>
      <c r="P106" s="52">
        <v>0</v>
      </c>
      <c r="Q106" s="29">
        <v>0</v>
      </c>
      <c r="R106" s="29">
        <v>4507154</v>
      </c>
      <c r="S106" s="29">
        <v>3000</v>
      </c>
      <c r="T106" s="29">
        <f t="shared" si="6"/>
        <v>4510154</v>
      </c>
    </row>
    <row r="107" spans="1:20" ht="21" customHeight="1" x14ac:dyDescent="0.25">
      <c r="A107" s="21">
        <v>83</v>
      </c>
      <c r="B107" s="63" t="s">
        <v>339</v>
      </c>
      <c r="C107" s="62" t="s">
        <v>340</v>
      </c>
      <c r="D107" s="24" t="s">
        <v>30</v>
      </c>
      <c r="E107" s="62" t="s">
        <v>341</v>
      </c>
      <c r="F107" s="62" t="s">
        <v>25</v>
      </c>
      <c r="G107" s="143">
        <v>5500</v>
      </c>
      <c r="H107" s="62" t="s">
        <v>26</v>
      </c>
      <c r="I107" s="62" t="s">
        <v>342</v>
      </c>
      <c r="J107" s="62"/>
      <c r="K107" s="62"/>
      <c r="L107" s="51">
        <v>2035</v>
      </c>
      <c r="M107" s="54">
        <v>3458544</v>
      </c>
      <c r="N107" s="30">
        <v>0</v>
      </c>
      <c r="O107" s="52">
        <v>0</v>
      </c>
      <c r="P107" s="52">
        <v>0</v>
      </c>
      <c r="Q107" s="29">
        <v>0</v>
      </c>
      <c r="R107" s="29">
        <v>3458544</v>
      </c>
      <c r="S107" s="29">
        <v>3000</v>
      </c>
      <c r="T107" s="29">
        <f t="shared" si="6"/>
        <v>3461544</v>
      </c>
    </row>
    <row r="108" spans="1:20" ht="21" customHeight="1" x14ac:dyDescent="0.25">
      <c r="A108" s="21">
        <v>84</v>
      </c>
      <c r="B108" s="63" t="s">
        <v>343</v>
      </c>
      <c r="C108" s="62" t="s">
        <v>344</v>
      </c>
      <c r="D108" s="24" t="s">
        <v>23</v>
      </c>
      <c r="E108" s="62" t="s">
        <v>345</v>
      </c>
      <c r="F108" s="62" t="s">
        <v>25</v>
      </c>
      <c r="G108" s="143">
        <v>4400</v>
      </c>
      <c r="H108" s="62" t="s">
        <v>26</v>
      </c>
      <c r="I108" s="62" t="s">
        <v>346</v>
      </c>
      <c r="J108" s="62"/>
      <c r="K108" s="62"/>
      <c r="L108" s="51">
        <v>2691</v>
      </c>
      <c r="M108" s="54">
        <v>4573435</v>
      </c>
      <c r="N108" s="30">
        <v>0</v>
      </c>
      <c r="O108" s="52">
        <v>0</v>
      </c>
      <c r="P108" s="52">
        <v>0</v>
      </c>
      <c r="Q108" s="29">
        <v>0</v>
      </c>
      <c r="R108" s="29">
        <v>4573435</v>
      </c>
      <c r="S108" s="29">
        <v>3000</v>
      </c>
      <c r="T108" s="29">
        <f t="shared" si="6"/>
        <v>4576435</v>
      </c>
    </row>
    <row r="109" spans="1:20" ht="21" customHeight="1" x14ac:dyDescent="0.25">
      <c r="A109" s="21">
        <v>85</v>
      </c>
      <c r="B109" s="63" t="s">
        <v>347</v>
      </c>
      <c r="C109" s="62" t="s">
        <v>348</v>
      </c>
      <c r="D109" s="24" t="s">
        <v>30</v>
      </c>
      <c r="E109" s="62" t="s">
        <v>349</v>
      </c>
      <c r="F109" s="62" t="s">
        <v>25</v>
      </c>
      <c r="G109" s="143">
        <v>3500</v>
      </c>
      <c r="H109" s="62" t="s">
        <v>26</v>
      </c>
      <c r="I109" s="62" t="s">
        <v>350</v>
      </c>
      <c r="J109" s="62"/>
      <c r="K109" s="62"/>
      <c r="L109" s="51">
        <v>625</v>
      </c>
      <c r="M109" s="54">
        <v>1062206</v>
      </c>
      <c r="N109" s="30">
        <v>0</v>
      </c>
      <c r="O109" s="52">
        <v>0</v>
      </c>
      <c r="P109" s="52">
        <v>0</v>
      </c>
      <c r="Q109" s="29">
        <v>0</v>
      </c>
      <c r="R109" s="29">
        <v>1062206</v>
      </c>
      <c r="S109" s="29">
        <v>3000</v>
      </c>
      <c r="T109" s="29">
        <f t="shared" si="6"/>
        <v>1065206</v>
      </c>
    </row>
    <row r="110" spans="1:20" ht="21" customHeight="1" x14ac:dyDescent="0.25">
      <c r="A110" s="21">
        <v>86</v>
      </c>
      <c r="B110" s="63" t="s">
        <v>351</v>
      </c>
      <c r="C110" s="62" t="s">
        <v>352</v>
      </c>
      <c r="D110" s="24" t="s">
        <v>23</v>
      </c>
      <c r="E110" s="62" t="s">
        <v>58</v>
      </c>
      <c r="F110" s="62" t="s">
        <v>25</v>
      </c>
      <c r="G110" s="143">
        <v>6360</v>
      </c>
      <c r="H110" s="62" t="s">
        <v>26</v>
      </c>
      <c r="I110" s="62" t="s">
        <v>353</v>
      </c>
      <c r="J110" s="62"/>
      <c r="K110" s="62"/>
      <c r="L110" s="51">
        <v>2385</v>
      </c>
      <c r="M110" s="54">
        <v>4053379</v>
      </c>
      <c r="N110" s="30">
        <v>0</v>
      </c>
      <c r="O110" s="52">
        <v>0</v>
      </c>
      <c r="P110" s="52">
        <v>0</v>
      </c>
      <c r="Q110" s="29">
        <v>0</v>
      </c>
      <c r="R110" s="29">
        <v>4053379</v>
      </c>
      <c r="S110" s="29">
        <v>3000</v>
      </c>
      <c r="T110" s="29">
        <f t="shared" si="6"/>
        <v>4056379</v>
      </c>
    </row>
    <row r="111" spans="1:20" ht="21" customHeight="1" x14ac:dyDescent="0.25">
      <c r="A111" s="21">
        <v>87</v>
      </c>
      <c r="B111" s="63" t="s">
        <v>354</v>
      </c>
      <c r="C111" s="62" t="s">
        <v>355</v>
      </c>
      <c r="D111" s="24" t="s">
        <v>23</v>
      </c>
      <c r="E111" s="62" t="s">
        <v>141</v>
      </c>
      <c r="F111" s="62" t="s">
        <v>25</v>
      </c>
      <c r="G111" s="143">
        <v>5500</v>
      </c>
      <c r="H111" s="62" t="s">
        <v>26</v>
      </c>
      <c r="I111" s="62" t="s">
        <v>356</v>
      </c>
      <c r="J111" s="62"/>
      <c r="K111" s="62"/>
      <c r="L111" s="51">
        <v>1301</v>
      </c>
      <c r="M111" s="54">
        <v>2211089</v>
      </c>
      <c r="N111" s="30">
        <v>0</v>
      </c>
      <c r="O111" s="52">
        <v>0</v>
      </c>
      <c r="P111" s="52">
        <v>0</v>
      </c>
      <c r="Q111" s="29">
        <v>0</v>
      </c>
      <c r="R111" s="29">
        <v>2211089</v>
      </c>
      <c r="S111" s="29">
        <v>3000</v>
      </c>
      <c r="T111" s="29">
        <f t="shared" si="6"/>
        <v>2214089</v>
      </c>
    </row>
    <row r="112" spans="1:20" ht="21" customHeight="1" x14ac:dyDescent="0.25">
      <c r="A112" s="21">
        <v>88</v>
      </c>
      <c r="B112" s="63" t="s">
        <v>357</v>
      </c>
      <c r="C112" s="62" t="s">
        <v>358</v>
      </c>
      <c r="D112" s="24" t="s">
        <v>23</v>
      </c>
      <c r="E112" s="62" t="s">
        <v>359</v>
      </c>
      <c r="F112" s="62" t="s">
        <v>25</v>
      </c>
      <c r="G112" s="143">
        <v>9500</v>
      </c>
      <c r="H112" s="62" t="s">
        <v>26</v>
      </c>
      <c r="I112" s="62" t="s">
        <v>360</v>
      </c>
      <c r="J112" s="62"/>
      <c r="K112" s="62"/>
      <c r="L112" s="51">
        <v>398</v>
      </c>
      <c r="M112" s="54">
        <v>676413</v>
      </c>
      <c r="N112" s="30">
        <v>0</v>
      </c>
      <c r="O112" s="52">
        <v>0</v>
      </c>
      <c r="P112" s="52">
        <v>0</v>
      </c>
      <c r="Q112" s="29">
        <v>0</v>
      </c>
      <c r="R112" s="29">
        <v>676413</v>
      </c>
      <c r="S112" s="29">
        <v>3000</v>
      </c>
      <c r="T112" s="29">
        <f t="shared" si="6"/>
        <v>679413</v>
      </c>
    </row>
    <row r="113" spans="1:20" ht="21" customHeight="1" x14ac:dyDescent="0.25">
      <c r="A113" s="21">
        <v>89</v>
      </c>
      <c r="B113" s="63" t="s">
        <v>361</v>
      </c>
      <c r="C113" s="62" t="s">
        <v>362</v>
      </c>
      <c r="D113" s="24" t="s">
        <v>30</v>
      </c>
      <c r="E113" s="62" t="s">
        <v>363</v>
      </c>
      <c r="F113" s="62" t="s">
        <v>25</v>
      </c>
      <c r="G113" s="143">
        <v>3500</v>
      </c>
      <c r="H113" s="62" t="s">
        <v>26</v>
      </c>
      <c r="I113" s="62" t="s">
        <v>364</v>
      </c>
      <c r="J113" s="62"/>
      <c r="K113" s="62"/>
      <c r="L113" s="51">
        <v>1313</v>
      </c>
      <c r="M113" s="54">
        <v>2231483</v>
      </c>
      <c r="N113" s="30">
        <v>0</v>
      </c>
      <c r="O113" s="52">
        <v>0</v>
      </c>
      <c r="P113" s="52">
        <v>0</v>
      </c>
      <c r="Q113" s="29">
        <v>0</v>
      </c>
      <c r="R113" s="29">
        <v>2231483</v>
      </c>
      <c r="S113" s="29">
        <v>3000</v>
      </c>
      <c r="T113" s="29">
        <f t="shared" si="6"/>
        <v>2234483</v>
      </c>
    </row>
    <row r="114" spans="1:20" ht="21" customHeight="1" x14ac:dyDescent="0.25">
      <c r="A114" s="21">
        <v>90</v>
      </c>
      <c r="B114" s="63" t="s">
        <v>365</v>
      </c>
      <c r="C114" s="62" t="s">
        <v>366</v>
      </c>
      <c r="D114" s="24" t="s">
        <v>23</v>
      </c>
      <c r="E114" s="62" t="s">
        <v>367</v>
      </c>
      <c r="F114" s="62" t="s">
        <v>25</v>
      </c>
      <c r="G114" s="143">
        <v>5940</v>
      </c>
      <c r="H114" s="62" t="s">
        <v>26</v>
      </c>
      <c r="I114" s="62" t="s">
        <v>368</v>
      </c>
      <c r="J114" s="62"/>
      <c r="K114" s="62"/>
      <c r="L114" s="51">
        <v>2228</v>
      </c>
      <c r="M114" s="54">
        <v>3786553</v>
      </c>
      <c r="N114" s="30">
        <v>0</v>
      </c>
      <c r="O114" s="52">
        <v>0</v>
      </c>
      <c r="P114" s="52">
        <v>0</v>
      </c>
      <c r="Q114" s="29">
        <v>0</v>
      </c>
      <c r="R114" s="29">
        <v>3786553</v>
      </c>
      <c r="S114" s="29">
        <v>3000</v>
      </c>
      <c r="T114" s="29">
        <f t="shared" si="6"/>
        <v>3789553</v>
      </c>
    </row>
    <row r="115" spans="1:20" ht="21" customHeight="1" x14ac:dyDescent="0.25">
      <c r="A115" s="21">
        <v>91</v>
      </c>
      <c r="B115" s="63" t="s">
        <v>369</v>
      </c>
      <c r="C115" s="62" t="s">
        <v>370</v>
      </c>
      <c r="D115" s="24" t="s">
        <v>30</v>
      </c>
      <c r="E115" s="62" t="s">
        <v>371</v>
      </c>
      <c r="F115" s="62" t="s">
        <v>25</v>
      </c>
      <c r="G115" s="143">
        <v>5040</v>
      </c>
      <c r="H115" s="62" t="s">
        <v>26</v>
      </c>
      <c r="I115" s="62" t="s">
        <v>372</v>
      </c>
      <c r="J115" s="62"/>
      <c r="K115" s="62"/>
      <c r="L115" s="51">
        <v>1890</v>
      </c>
      <c r="M115" s="54">
        <v>3212112</v>
      </c>
      <c r="N115" s="30">
        <v>0</v>
      </c>
      <c r="O115" s="52">
        <v>0</v>
      </c>
      <c r="P115" s="52">
        <v>0</v>
      </c>
      <c r="Q115" s="29">
        <v>0</v>
      </c>
      <c r="R115" s="29">
        <v>3212112</v>
      </c>
      <c r="S115" s="29">
        <v>3000</v>
      </c>
      <c r="T115" s="29">
        <f t="shared" si="6"/>
        <v>3215112</v>
      </c>
    </row>
    <row r="116" spans="1:20" ht="21" customHeight="1" x14ac:dyDescent="0.25">
      <c r="A116" s="21">
        <v>92</v>
      </c>
      <c r="B116" s="63" t="s">
        <v>373</v>
      </c>
      <c r="C116" s="62" t="s">
        <v>374</v>
      </c>
      <c r="D116" s="24" t="s">
        <v>30</v>
      </c>
      <c r="E116" s="62" t="s">
        <v>375</v>
      </c>
      <c r="F116" s="62" t="s">
        <v>25</v>
      </c>
      <c r="G116" s="143">
        <v>5500</v>
      </c>
      <c r="H116" s="62" t="s">
        <v>26</v>
      </c>
      <c r="I116" s="62" t="s">
        <v>376</v>
      </c>
      <c r="J116" s="62"/>
      <c r="K116" s="62"/>
      <c r="L116" s="51">
        <v>1632</v>
      </c>
      <c r="M116" s="54">
        <v>2773633</v>
      </c>
      <c r="N116" s="30">
        <v>0</v>
      </c>
      <c r="O116" s="52">
        <v>0</v>
      </c>
      <c r="P116" s="52">
        <v>0</v>
      </c>
      <c r="Q116" s="29">
        <v>0</v>
      </c>
      <c r="R116" s="29">
        <v>2773633</v>
      </c>
      <c r="S116" s="29">
        <v>3000</v>
      </c>
      <c r="T116" s="29">
        <f t="shared" si="6"/>
        <v>2776633</v>
      </c>
    </row>
    <row r="117" spans="1:20" ht="21" customHeight="1" x14ac:dyDescent="0.25">
      <c r="A117" s="21">
        <v>93</v>
      </c>
      <c r="B117" s="63" t="s">
        <v>377</v>
      </c>
      <c r="C117" s="62" t="s">
        <v>378</v>
      </c>
      <c r="D117" s="24" t="s">
        <v>30</v>
      </c>
      <c r="E117" s="62" t="s">
        <v>379</v>
      </c>
      <c r="F117" s="62" t="s">
        <v>25</v>
      </c>
      <c r="G117" s="143">
        <v>15210</v>
      </c>
      <c r="H117" s="62" t="s">
        <v>26</v>
      </c>
      <c r="I117" s="62" t="s">
        <v>380</v>
      </c>
      <c r="J117" s="62"/>
      <c r="K117" s="62"/>
      <c r="L117" s="51">
        <v>5704</v>
      </c>
      <c r="M117" s="54">
        <v>9694119</v>
      </c>
      <c r="N117" s="30">
        <v>0</v>
      </c>
      <c r="O117" s="52">
        <v>0</v>
      </c>
      <c r="P117" s="52">
        <v>0</v>
      </c>
      <c r="Q117" s="29">
        <v>10000</v>
      </c>
      <c r="R117" s="29">
        <v>9704119</v>
      </c>
      <c r="S117" s="29">
        <v>3000</v>
      </c>
      <c r="T117" s="29">
        <f t="shared" si="6"/>
        <v>9707119</v>
      </c>
    </row>
    <row r="118" spans="1:20" ht="21" customHeight="1" x14ac:dyDescent="0.25">
      <c r="A118" s="21">
        <v>94</v>
      </c>
      <c r="B118" s="63" t="s">
        <v>381</v>
      </c>
      <c r="C118" s="62" t="s">
        <v>382</v>
      </c>
      <c r="D118" s="24" t="s">
        <v>23</v>
      </c>
      <c r="E118" s="62" t="s">
        <v>65</v>
      </c>
      <c r="F118" s="62" t="s">
        <v>25</v>
      </c>
      <c r="G118" s="143">
        <v>12640</v>
      </c>
      <c r="H118" s="62" t="s">
        <v>26</v>
      </c>
      <c r="I118" s="62" t="s">
        <v>383</v>
      </c>
      <c r="J118" s="62"/>
      <c r="K118" s="62"/>
      <c r="L118" s="51">
        <v>4740</v>
      </c>
      <c r="M118" s="54">
        <v>8055772</v>
      </c>
      <c r="N118" s="30">
        <v>0</v>
      </c>
      <c r="O118" s="52">
        <v>0</v>
      </c>
      <c r="P118" s="52">
        <v>0</v>
      </c>
      <c r="Q118" s="29">
        <v>10000</v>
      </c>
      <c r="R118" s="29">
        <v>8065772</v>
      </c>
      <c r="S118" s="29">
        <v>3000</v>
      </c>
      <c r="T118" s="29">
        <f t="shared" si="6"/>
        <v>8068772</v>
      </c>
    </row>
    <row r="119" spans="1:20" ht="21" customHeight="1" x14ac:dyDescent="0.25">
      <c r="A119" s="21">
        <v>95</v>
      </c>
      <c r="B119" s="63" t="s">
        <v>384</v>
      </c>
      <c r="C119" s="62" t="s">
        <v>385</v>
      </c>
      <c r="D119" s="24" t="s">
        <v>23</v>
      </c>
      <c r="E119" s="62" t="s">
        <v>386</v>
      </c>
      <c r="F119" s="62" t="s">
        <v>25</v>
      </c>
      <c r="G119" s="143">
        <v>7700</v>
      </c>
      <c r="H119" s="62" t="s">
        <v>26</v>
      </c>
      <c r="I119" s="62" t="s">
        <v>387</v>
      </c>
      <c r="J119" s="62"/>
      <c r="K119" s="62"/>
      <c r="L119" s="51">
        <v>1872</v>
      </c>
      <c r="M119" s="54">
        <v>3181520</v>
      </c>
      <c r="N119" s="30">
        <v>0</v>
      </c>
      <c r="O119" s="52">
        <v>0</v>
      </c>
      <c r="P119" s="52">
        <v>0</v>
      </c>
      <c r="Q119" s="29">
        <v>0</v>
      </c>
      <c r="R119" s="29">
        <v>3181520</v>
      </c>
      <c r="S119" s="29">
        <v>3000</v>
      </c>
      <c r="T119" s="29">
        <f t="shared" si="6"/>
        <v>3184520</v>
      </c>
    </row>
    <row r="120" spans="1:20" ht="21" customHeight="1" x14ac:dyDescent="0.25">
      <c r="A120" s="21">
        <v>96</v>
      </c>
      <c r="B120" s="63" t="s">
        <v>388</v>
      </c>
      <c r="C120" s="62" t="s">
        <v>389</v>
      </c>
      <c r="D120" s="24" t="s">
        <v>23</v>
      </c>
      <c r="E120" s="62" t="s">
        <v>119</v>
      </c>
      <c r="F120" s="62" t="s">
        <v>25</v>
      </c>
      <c r="G120" s="143">
        <v>4400</v>
      </c>
      <c r="H120" s="62" t="s">
        <v>26</v>
      </c>
      <c r="I120" s="62" t="s">
        <v>390</v>
      </c>
      <c r="J120" s="62"/>
      <c r="K120" s="62"/>
      <c r="L120" s="51">
        <v>1496</v>
      </c>
      <c r="M120" s="54">
        <v>2542497</v>
      </c>
      <c r="N120" s="30">
        <v>0</v>
      </c>
      <c r="O120" s="52">
        <v>0</v>
      </c>
      <c r="P120" s="52">
        <v>0</v>
      </c>
      <c r="Q120" s="29">
        <v>0</v>
      </c>
      <c r="R120" s="29">
        <v>2542497</v>
      </c>
      <c r="S120" s="29">
        <v>3000</v>
      </c>
      <c r="T120" s="29">
        <f t="shared" si="6"/>
        <v>2545497</v>
      </c>
    </row>
    <row r="121" spans="1:20" ht="21" customHeight="1" x14ac:dyDescent="0.25">
      <c r="A121" s="21">
        <v>97</v>
      </c>
      <c r="B121" s="63" t="s">
        <v>391</v>
      </c>
      <c r="C121" s="62" t="s">
        <v>392</v>
      </c>
      <c r="D121" s="24" t="s">
        <v>23</v>
      </c>
      <c r="E121" s="62" t="s">
        <v>329</v>
      </c>
      <c r="F121" s="62" t="s">
        <v>25</v>
      </c>
      <c r="G121" s="143">
        <v>2820</v>
      </c>
      <c r="H121" s="62" t="s">
        <v>26</v>
      </c>
      <c r="I121" s="62" t="s">
        <v>393</v>
      </c>
      <c r="J121" s="62"/>
      <c r="K121" s="62"/>
      <c r="L121" s="51">
        <v>1058</v>
      </c>
      <c r="M121" s="54">
        <v>1798103</v>
      </c>
      <c r="N121" s="30">
        <v>0</v>
      </c>
      <c r="O121" s="52">
        <v>0</v>
      </c>
      <c r="P121" s="52">
        <v>0</v>
      </c>
      <c r="Q121" s="29">
        <v>0</v>
      </c>
      <c r="R121" s="29">
        <v>1798103</v>
      </c>
      <c r="S121" s="29">
        <v>3000</v>
      </c>
      <c r="T121" s="29">
        <f t="shared" si="6"/>
        <v>1801103</v>
      </c>
    </row>
    <row r="122" spans="1:20" ht="21" customHeight="1" x14ac:dyDescent="0.25">
      <c r="A122" s="21">
        <v>98</v>
      </c>
      <c r="B122" s="63" t="s">
        <v>394</v>
      </c>
      <c r="C122" s="62" t="s">
        <v>395</v>
      </c>
      <c r="D122" s="24" t="s">
        <v>30</v>
      </c>
      <c r="E122" s="62" t="s">
        <v>161</v>
      </c>
      <c r="F122" s="62" t="s">
        <v>25</v>
      </c>
      <c r="G122" s="143">
        <v>4400</v>
      </c>
      <c r="H122" s="62" t="s">
        <v>26</v>
      </c>
      <c r="I122" s="62" t="s">
        <v>396</v>
      </c>
      <c r="J122" s="62"/>
      <c r="K122" s="62"/>
      <c r="L122" s="51">
        <v>1333</v>
      </c>
      <c r="M122" s="54">
        <v>2265473</v>
      </c>
      <c r="N122" s="30">
        <v>0</v>
      </c>
      <c r="O122" s="52">
        <v>0</v>
      </c>
      <c r="P122" s="52">
        <v>0</v>
      </c>
      <c r="Q122" s="29">
        <v>0</v>
      </c>
      <c r="R122" s="29">
        <v>2265473</v>
      </c>
      <c r="S122" s="29">
        <v>3000</v>
      </c>
      <c r="T122" s="29">
        <f t="shared" si="6"/>
        <v>2268473</v>
      </c>
    </row>
    <row r="123" spans="1:20" ht="21" customHeight="1" x14ac:dyDescent="0.25">
      <c r="A123" s="21">
        <v>99</v>
      </c>
      <c r="B123" s="63" t="s">
        <v>397</v>
      </c>
      <c r="C123" s="62" t="s">
        <v>398</v>
      </c>
      <c r="D123" s="24" t="s">
        <v>30</v>
      </c>
      <c r="E123" s="62" t="s">
        <v>200</v>
      </c>
      <c r="F123" s="62" t="s">
        <v>25</v>
      </c>
      <c r="G123" s="143">
        <v>5500</v>
      </c>
      <c r="H123" s="62" t="s">
        <v>26</v>
      </c>
      <c r="I123" s="62" t="s">
        <v>399</v>
      </c>
      <c r="J123" s="62"/>
      <c r="K123" s="62"/>
      <c r="L123" s="51">
        <v>1630</v>
      </c>
      <c r="M123" s="54">
        <v>2770234</v>
      </c>
      <c r="N123" s="30">
        <v>0</v>
      </c>
      <c r="O123" s="52">
        <v>0</v>
      </c>
      <c r="P123" s="52">
        <v>0</v>
      </c>
      <c r="Q123" s="29">
        <v>0</v>
      </c>
      <c r="R123" s="29">
        <v>2770234</v>
      </c>
      <c r="S123" s="29">
        <v>3000</v>
      </c>
      <c r="T123" s="29">
        <f t="shared" si="6"/>
        <v>2773234</v>
      </c>
    </row>
    <row r="124" spans="1:20" ht="21" customHeight="1" x14ac:dyDescent="0.25">
      <c r="A124" s="21">
        <v>100</v>
      </c>
      <c r="B124" s="63" t="s">
        <v>400</v>
      </c>
      <c r="C124" s="62" t="s">
        <v>401</v>
      </c>
      <c r="D124" s="24" t="s">
        <v>30</v>
      </c>
      <c r="E124" s="62" t="s">
        <v>402</v>
      </c>
      <c r="F124" s="62" t="s">
        <v>25</v>
      </c>
      <c r="G124" s="143">
        <v>4400</v>
      </c>
      <c r="H124" s="62" t="s">
        <v>26</v>
      </c>
      <c r="I124" s="62" t="s">
        <v>403</v>
      </c>
      <c r="J124" s="62"/>
      <c r="K124" s="62"/>
      <c r="L124" s="51">
        <v>2420</v>
      </c>
      <c r="M124" s="54">
        <v>4112863</v>
      </c>
      <c r="N124" s="30">
        <v>0</v>
      </c>
      <c r="O124" s="52">
        <v>0</v>
      </c>
      <c r="P124" s="52">
        <v>0</v>
      </c>
      <c r="Q124" s="29">
        <v>0</v>
      </c>
      <c r="R124" s="29">
        <v>4112863</v>
      </c>
      <c r="S124" s="29">
        <v>3000</v>
      </c>
      <c r="T124" s="29">
        <f t="shared" si="6"/>
        <v>4115863</v>
      </c>
    </row>
    <row r="125" spans="1:20" ht="21" customHeight="1" x14ac:dyDescent="0.25">
      <c r="A125" s="21">
        <v>101</v>
      </c>
      <c r="B125" s="63" t="s">
        <v>404</v>
      </c>
      <c r="C125" s="62" t="s">
        <v>405</v>
      </c>
      <c r="D125" s="24" t="s">
        <v>23</v>
      </c>
      <c r="E125" s="62" t="s">
        <v>115</v>
      </c>
      <c r="F125" s="62" t="s">
        <v>25</v>
      </c>
      <c r="G125" s="143">
        <v>4400</v>
      </c>
      <c r="H125" s="62" t="s">
        <v>26</v>
      </c>
      <c r="I125" s="62" t="s">
        <v>406</v>
      </c>
      <c r="J125" s="62"/>
      <c r="K125" s="62"/>
      <c r="L125" s="51">
        <v>1357</v>
      </c>
      <c r="M125" s="54">
        <v>2306262</v>
      </c>
      <c r="N125" s="30">
        <v>0</v>
      </c>
      <c r="O125" s="52">
        <v>0</v>
      </c>
      <c r="P125" s="52">
        <v>0</v>
      </c>
      <c r="Q125" s="29">
        <v>0</v>
      </c>
      <c r="R125" s="29">
        <v>2306262</v>
      </c>
      <c r="S125" s="29">
        <v>3000</v>
      </c>
      <c r="T125" s="29">
        <f t="shared" si="6"/>
        <v>2309262</v>
      </c>
    </row>
    <row r="126" spans="1:20" ht="21" customHeight="1" x14ac:dyDescent="0.25">
      <c r="A126" s="21">
        <v>102</v>
      </c>
      <c r="B126" s="63" t="s">
        <v>407</v>
      </c>
      <c r="C126" s="62" t="s">
        <v>408</v>
      </c>
      <c r="D126" s="24" t="s">
        <v>30</v>
      </c>
      <c r="E126" s="62" t="s">
        <v>409</v>
      </c>
      <c r="F126" s="62" t="s">
        <v>25</v>
      </c>
      <c r="G126" s="143">
        <v>3500</v>
      </c>
      <c r="H126" s="62" t="s">
        <v>26</v>
      </c>
      <c r="I126" s="62" t="s">
        <v>410</v>
      </c>
      <c r="J126" s="62"/>
      <c r="K126" s="62"/>
      <c r="L126" s="51">
        <v>734</v>
      </c>
      <c r="M126" s="54">
        <v>1247455</v>
      </c>
      <c r="N126" s="30">
        <v>0</v>
      </c>
      <c r="O126" s="52">
        <v>0</v>
      </c>
      <c r="P126" s="52">
        <v>0</v>
      </c>
      <c r="Q126" s="29">
        <v>0</v>
      </c>
      <c r="R126" s="29">
        <v>1247455</v>
      </c>
      <c r="S126" s="29">
        <v>3000</v>
      </c>
      <c r="T126" s="29">
        <f t="shared" si="6"/>
        <v>1250455</v>
      </c>
    </row>
    <row r="127" spans="1:20" ht="21" customHeight="1" x14ac:dyDescent="0.25">
      <c r="A127" s="21">
        <v>103</v>
      </c>
      <c r="B127" s="63" t="s">
        <v>411</v>
      </c>
      <c r="C127" s="62" t="s">
        <v>412</v>
      </c>
      <c r="D127" s="24" t="s">
        <v>30</v>
      </c>
      <c r="E127" s="62" t="s">
        <v>413</v>
      </c>
      <c r="F127" s="62" t="s">
        <v>25</v>
      </c>
      <c r="G127" s="143">
        <v>4400</v>
      </c>
      <c r="H127" s="62" t="s">
        <v>26</v>
      </c>
      <c r="I127" s="62" t="s">
        <v>414</v>
      </c>
      <c r="J127" s="62"/>
      <c r="K127" s="62"/>
      <c r="L127" s="51">
        <v>2486</v>
      </c>
      <c r="M127" s="54">
        <v>4225032</v>
      </c>
      <c r="N127" s="30">
        <v>0</v>
      </c>
      <c r="O127" s="52">
        <v>0</v>
      </c>
      <c r="P127" s="52">
        <v>0</v>
      </c>
      <c r="Q127" s="29">
        <v>0</v>
      </c>
      <c r="R127" s="29">
        <v>4225032</v>
      </c>
      <c r="S127" s="29">
        <v>3000</v>
      </c>
      <c r="T127" s="29">
        <f t="shared" si="6"/>
        <v>4228032</v>
      </c>
    </row>
    <row r="128" spans="1:20" ht="21" customHeight="1" x14ac:dyDescent="0.25">
      <c r="A128" s="21">
        <v>104</v>
      </c>
      <c r="B128" s="63" t="s">
        <v>415</v>
      </c>
      <c r="C128" s="62" t="s">
        <v>416</v>
      </c>
      <c r="D128" s="24" t="s">
        <v>30</v>
      </c>
      <c r="E128" s="62" t="s">
        <v>212</v>
      </c>
      <c r="F128" s="62" t="s">
        <v>25</v>
      </c>
      <c r="G128" s="143">
        <v>3040</v>
      </c>
      <c r="H128" s="62" t="s">
        <v>26</v>
      </c>
      <c r="I128" s="62" t="s">
        <v>417</v>
      </c>
      <c r="J128" s="62"/>
      <c r="K128" s="62"/>
      <c r="L128" s="51">
        <v>1140</v>
      </c>
      <c r="M128" s="54">
        <v>1937464</v>
      </c>
      <c r="N128" s="30">
        <v>0</v>
      </c>
      <c r="O128" s="52">
        <v>0</v>
      </c>
      <c r="P128" s="52">
        <v>0</v>
      </c>
      <c r="Q128" s="29">
        <v>0</v>
      </c>
      <c r="R128" s="29">
        <v>1937464</v>
      </c>
      <c r="S128" s="29">
        <v>3000</v>
      </c>
      <c r="T128" s="29">
        <f t="shared" si="6"/>
        <v>1940464</v>
      </c>
    </row>
    <row r="129" spans="1:20" ht="21" customHeight="1" x14ac:dyDescent="0.25">
      <c r="A129" s="21">
        <v>105</v>
      </c>
      <c r="B129" s="63" t="s">
        <v>418</v>
      </c>
      <c r="C129" s="62" t="s">
        <v>419</v>
      </c>
      <c r="D129" s="24" t="s">
        <v>30</v>
      </c>
      <c r="E129" s="62" t="s">
        <v>420</v>
      </c>
      <c r="F129" s="62" t="s">
        <v>25</v>
      </c>
      <c r="G129" s="143">
        <v>3600</v>
      </c>
      <c r="H129" s="62" t="s">
        <v>26</v>
      </c>
      <c r="I129" s="62" t="s">
        <v>421</v>
      </c>
      <c r="J129" s="62"/>
      <c r="K129" s="62"/>
      <c r="L129" s="51">
        <v>1350</v>
      </c>
      <c r="M129" s="54">
        <v>2294366</v>
      </c>
      <c r="N129" s="30">
        <v>0</v>
      </c>
      <c r="O129" s="52">
        <v>0</v>
      </c>
      <c r="P129" s="52">
        <v>0</v>
      </c>
      <c r="Q129" s="29">
        <v>0</v>
      </c>
      <c r="R129" s="29">
        <v>2294366</v>
      </c>
      <c r="S129" s="29">
        <v>3000</v>
      </c>
      <c r="T129" s="29">
        <f t="shared" si="6"/>
        <v>2297366</v>
      </c>
    </row>
    <row r="130" spans="1:20" ht="21" customHeight="1" x14ac:dyDescent="0.25">
      <c r="A130" s="21">
        <v>106</v>
      </c>
      <c r="B130" s="63" t="s">
        <v>422</v>
      </c>
      <c r="C130" s="62" t="s">
        <v>423</v>
      </c>
      <c r="D130" s="24" t="s">
        <v>23</v>
      </c>
      <c r="E130" s="62" t="s">
        <v>424</v>
      </c>
      <c r="F130" s="62" t="s">
        <v>25</v>
      </c>
      <c r="G130" s="143">
        <v>3500</v>
      </c>
      <c r="H130" s="62" t="s">
        <v>26</v>
      </c>
      <c r="I130" s="62" t="s">
        <v>425</v>
      </c>
      <c r="J130" s="62"/>
      <c r="K130" s="62"/>
      <c r="L130" s="51">
        <v>829</v>
      </c>
      <c r="M130" s="54">
        <v>1408910</v>
      </c>
      <c r="N130" s="30">
        <v>0</v>
      </c>
      <c r="O130" s="52">
        <v>0</v>
      </c>
      <c r="P130" s="52">
        <v>0</v>
      </c>
      <c r="Q130" s="29">
        <v>0</v>
      </c>
      <c r="R130" s="29">
        <v>1408910</v>
      </c>
      <c r="S130" s="29">
        <v>3000</v>
      </c>
      <c r="T130" s="29">
        <f t="shared" si="6"/>
        <v>1411910</v>
      </c>
    </row>
    <row r="131" spans="1:20" ht="21" customHeight="1" x14ac:dyDescent="0.25">
      <c r="A131" s="21">
        <v>107</v>
      </c>
      <c r="B131" s="63" t="s">
        <v>426</v>
      </c>
      <c r="C131" s="62" t="s">
        <v>427</v>
      </c>
      <c r="D131" s="24" t="s">
        <v>30</v>
      </c>
      <c r="E131" s="62" t="s">
        <v>428</v>
      </c>
      <c r="F131" s="62" t="s">
        <v>25</v>
      </c>
      <c r="G131" s="143">
        <v>3500</v>
      </c>
      <c r="H131" s="62" t="s">
        <v>26</v>
      </c>
      <c r="I131" s="62" t="s">
        <v>429</v>
      </c>
      <c r="J131" s="62"/>
      <c r="K131" s="62"/>
      <c r="L131" s="51">
        <v>383</v>
      </c>
      <c r="M131" s="54">
        <v>650920</v>
      </c>
      <c r="N131" s="30">
        <v>0</v>
      </c>
      <c r="O131" s="52">
        <v>0</v>
      </c>
      <c r="P131" s="52">
        <v>0</v>
      </c>
      <c r="Q131" s="29">
        <v>0</v>
      </c>
      <c r="R131" s="29">
        <v>650920</v>
      </c>
      <c r="S131" s="29">
        <v>3000</v>
      </c>
      <c r="T131" s="29">
        <f t="shared" si="6"/>
        <v>653920</v>
      </c>
    </row>
    <row r="132" spans="1:20" ht="21" customHeight="1" x14ac:dyDescent="0.25">
      <c r="A132" s="21">
        <v>108</v>
      </c>
      <c r="B132" s="63" t="s">
        <v>430</v>
      </c>
      <c r="C132" s="62" t="s">
        <v>431</v>
      </c>
      <c r="D132" s="24" t="s">
        <v>23</v>
      </c>
      <c r="E132" s="62" t="s">
        <v>107</v>
      </c>
      <c r="F132" s="62" t="s">
        <v>25</v>
      </c>
      <c r="G132" s="143">
        <v>4400</v>
      </c>
      <c r="H132" s="62" t="s">
        <v>26</v>
      </c>
      <c r="I132" s="62" t="s">
        <v>432</v>
      </c>
      <c r="J132" s="62"/>
      <c r="K132" s="62"/>
      <c r="L132" s="51">
        <v>176</v>
      </c>
      <c r="M132" s="54">
        <v>299117</v>
      </c>
      <c r="N132" s="30">
        <v>0</v>
      </c>
      <c r="O132" s="52">
        <v>0</v>
      </c>
      <c r="P132" s="52">
        <v>0</v>
      </c>
      <c r="Q132" s="29">
        <v>0</v>
      </c>
      <c r="R132" s="29">
        <v>299117</v>
      </c>
      <c r="S132" s="29">
        <v>3000</v>
      </c>
      <c r="T132" s="29">
        <f t="shared" si="6"/>
        <v>302117</v>
      </c>
    </row>
    <row r="133" spans="1:20" ht="21" customHeight="1" x14ac:dyDescent="0.25">
      <c r="A133" s="21">
        <v>109</v>
      </c>
      <c r="B133" s="63" t="s">
        <v>433</v>
      </c>
      <c r="C133" s="62" t="s">
        <v>434</v>
      </c>
      <c r="D133" s="24" t="s">
        <v>30</v>
      </c>
      <c r="E133" s="62" t="s">
        <v>435</v>
      </c>
      <c r="F133" s="62" t="s">
        <v>25</v>
      </c>
      <c r="G133" s="143">
        <v>5500</v>
      </c>
      <c r="H133" s="62" t="s">
        <v>26</v>
      </c>
      <c r="I133" s="62" t="s">
        <v>436</v>
      </c>
      <c r="J133" s="62"/>
      <c r="K133" s="62"/>
      <c r="L133" s="51">
        <v>1160</v>
      </c>
      <c r="M133" s="54">
        <v>1971455</v>
      </c>
      <c r="N133" s="30">
        <v>0</v>
      </c>
      <c r="O133" s="52">
        <v>0</v>
      </c>
      <c r="P133" s="52">
        <v>0</v>
      </c>
      <c r="Q133" s="29">
        <v>0</v>
      </c>
      <c r="R133" s="29">
        <v>1971455</v>
      </c>
      <c r="S133" s="29">
        <v>3000</v>
      </c>
      <c r="T133" s="29">
        <f t="shared" si="6"/>
        <v>1974455</v>
      </c>
    </row>
    <row r="134" spans="1:20" ht="21" customHeight="1" x14ac:dyDescent="0.25">
      <c r="A134" s="21">
        <v>110</v>
      </c>
      <c r="B134" s="63" t="s">
        <v>437</v>
      </c>
      <c r="C134" s="62" t="s">
        <v>438</v>
      </c>
      <c r="D134" s="24" t="s">
        <v>23</v>
      </c>
      <c r="E134" s="62" t="s">
        <v>439</v>
      </c>
      <c r="F134" s="62" t="s">
        <v>25</v>
      </c>
      <c r="G134" s="143">
        <v>5500</v>
      </c>
      <c r="H134" s="62" t="s">
        <v>26</v>
      </c>
      <c r="I134" s="62" t="s">
        <v>440</v>
      </c>
      <c r="J134" s="62"/>
      <c r="K134" s="62"/>
      <c r="L134" s="51">
        <v>1186</v>
      </c>
      <c r="M134" s="54">
        <v>2015643</v>
      </c>
      <c r="N134" s="30">
        <v>0</v>
      </c>
      <c r="O134" s="52">
        <v>0</v>
      </c>
      <c r="P134" s="52">
        <v>0</v>
      </c>
      <c r="Q134" s="29">
        <v>0</v>
      </c>
      <c r="R134" s="29">
        <v>2015643</v>
      </c>
      <c r="S134" s="29">
        <v>3000</v>
      </c>
      <c r="T134" s="29">
        <f t="shared" si="6"/>
        <v>2018643</v>
      </c>
    </row>
    <row r="135" spans="1:20" ht="21" customHeight="1" x14ac:dyDescent="0.25">
      <c r="A135" s="21">
        <v>111</v>
      </c>
      <c r="B135" s="63" t="s">
        <v>441</v>
      </c>
      <c r="C135" s="62" t="s">
        <v>442</v>
      </c>
      <c r="D135" s="24" t="s">
        <v>23</v>
      </c>
      <c r="E135" s="62" t="s">
        <v>443</v>
      </c>
      <c r="F135" s="62" t="s">
        <v>25</v>
      </c>
      <c r="G135" s="143">
        <v>3500</v>
      </c>
      <c r="H135" s="62" t="s">
        <v>26</v>
      </c>
      <c r="I135" s="62" t="s">
        <v>444</v>
      </c>
      <c r="J135" s="62"/>
      <c r="K135" s="62"/>
      <c r="L135" s="51">
        <v>815</v>
      </c>
      <c r="M135" s="54">
        <v>1385117</v>
      </c>
      <c r="N135" s="30">
        <v>0</v>
      </c>
      <c r="O135" s="52">
        <v>0</v>
      </c>
      <c r="P135" s="52">
        <v>0</v>
      </c>
      <c r="Q135" s="29">
        <v>0</v>
      </c>
      <c r="R135" s="29">
        <v>1385117</v>
      </c>
      <c r="S135" s="29">
        <v>3000</v>
      </c>
      <c r="T135" s="29">
        <f t="shared" si="6"/>
        <v>1388117</v>
      </c>
    </row>
    <row r="136" spans="1:20" ht="21" customHeight="1" x14ac:dyDescent="0.25">
      <c r="A136" s="21">
        <v>112</v>
      </c>
      <c r="B136" s="63" t="s">
        <v>445</v>
      </c>
      <c r="C136" s="62" t="s">
        <v>446</v>
      </c>
      <c r="D136" s="24" t="s">
        <v>23</v>
      </c>
      <c r="E136" s="62" t="s">
        <v>447</v>
      </c>
      <c r="F136" s="62" t="s">
        <v>25</v>
      </c>
      <c r="G136" s="143">
        <v>3650</v>
      </c>
      <c r="H136" s="62" t="s">
        <v>26</v>
      </c>
      <c r="I136" s="62" t="s">
        <v>448</v>
      </c>
      <c r="J136" s="62"/>
      <c r="K136" s="62"/>
      <c r="L136" s="51">
        <v>1369</v>
      </c>
      <c r="M136" s="54">
        <v>2326657</v>
      </c>
      <c r="N136" s="30">
        <v>0</v>
      </c>
      <c r="O136" s="52">
        <v>0</v>
      </c>
      <c r="P136" s="52">
        <v>0</v>
      </c>
      <c r="Q136" s="29">
        <v>0</v>
      </c>
      <c r="R136" s="29">
        <v>2326657</v>
      </c>
      <c r="S136" s="29">
        <v>3000</v>
      </c>
      <c r="T136" s="29">
        <f t="shared" si="6"/>
        <v>2329657</v>
      </c>
    </row>
    <row r="137" spans="1:20" ht="21" customHeight="1" x14ac:dyDescent="0.25">
      <c r="A137" s="21">
        <v>113</v>
      </c>
      <c r="B137" s="63" t="s">
        <v>449</v>
      </c>
      <c r="C137" s="62" t="s">
        <v>450</v>
      </c>
      <c r="D137" s="24" t="s">
        <v>23</v>
      </c>
      <c r="E137" s="62" t="s">
        <v>451</v>
      </c>
      <c r="F137" s="62" t="s">
        <v>25</v>
      </c>
      <c r="G137" s="143">
        <v>3500</v>
      </c>
      <c r="H137" s="62" t="s">
        <v>26</v>
      </c>
      <c r="I137" s="62" t="s">
        <v>452</v>
      </c>
      <c r="J137" s="62"/>
      <c r="K137" s="62"/>
      <c r="L137" s="51">
        <v>140</v>
      </c>
      <c r="M137" s="54">
        <v>237934</v>
      </c>
      <c r="N137" s="30">
        <v>0</v>
      </c>
      <c r="O137" s="52">
        <v>0</v>
      </c>
      <c r="P137" s="52">
        <v>0</v>
      </c>
      <c r="Q137" s="29">
        <v>0</v>
      </c>
      <c r="R137" s="29">
        <v>237934</v>
      </c>
      <c r="S137" s="29">
        <v>3000</v>
      </c>
      <c r="T137" s="29">
        <f t="shared" si="6"/>
        <v>240934</v>
      </c>
    </row>
    <row r="138" spans="1:20" ht="21" customHeight="1" x14ac:dyDescent="0.25">
      <c r="A138" s="21">
        <v>114</v>
      </c>
      <c r="B138" s="63" t="s">
        <v>453</v>
      </c>
      <c r="C138" s="62" t="s">
        <v>454</v>
      </c>
      <c r="D138" s="24" t="s">
        <v>23</v>
      </c>
      <c r="E138" s="62" t="s">
        <v>455</v>
      </c>
      <c r="F138" s="62" t="s">
        <v>25</v>
      </c>
      <c r="G138" s="143">
        <v>3500</v>
      </c>
      <c r="H138" s="62" t="s">
        <v>26</v>
      </c>
      <c r="I138" s="62" t="s">
        <v>456</v>
      </c>
      <c r="J138" s="62"/>
      <c r="K138" s="62"/>
      <c r="L138" s="51">
        <v>1144</v>
      </c>
      <c r="M138" s="54">
        <v>1944262</v>
      </c>
      <c r="N138" s="30">
        <v>0</v>
      </c>
      <c r="O138" s="52">
        <v>0</v>
      </c>
      <c r="P138" s="52">
        <v>0</v>
      </c>
      <c r="Q138" s="29">
        <v>0</v>
      </c>
      <c r="R138" s="29">
        <v>1944262</v>
      </c>
      <c r="S138" s="29">
        <v>3000</v>
      </c>
      <c r="T138" s="29">
        <f t="shared" si="6"/>
        <v>1947262</v>
      </c>
    </row>
    <row r="139" spans="1:20" ht="21" customHeight="1" x14ac:dyDescent="0.25">
      <c r="A139" s="21">
        <v>115</v>
      </c>
      <c r="B139" s="63" t="s">
        <v>457</v>
      </c>
      <c r="C139" s="62" t="s">
        <v>458</v>
      </c>
      <c r="D139" s="24" t="s">
        <v>30</v>
      </c>
      <c r="E139" s="62" t="s">
        <v>459</v>
      </c>
      <c r="F139" s="62" t="s">
        <v>25</v>
      </c>
      <c r="G139" s="143">
        <v>1200</v>
      </c>
      <c r="H139" s="62" t="s">
        <v>26</v>
      </c>
      <c r="I139" s="62" t="s">
        <v>460</v>
      </c>
      <c r="J139" s="62"/>
      <c r="K139" s="62"/>
      <c r="L139" s="51">
        <v>450</v>
      </c>
      <c r="M139" s="54">
        <v>764789</v>
      </c>
      <c r="N139" s="30">
        <v>0</v>
      </c>
      <c r="O139" s="52">
        <v>0</v>
      </c>
      <c r="P139" s="52">
        <v>0</v>
      </c>
      <c r="Q139" s="29">
        <v>0</v>
      </c>
      <c r="R139" s="29">
        <v>764789</v>
      </c>
      <c r="S139" s="29">
        <v>3000</v>
      </c>
      <c r="T139" s="29">
        <f t="shared" si="6"/>
        <v>767789</v>
      </c>
    </row>
    <row r="140" spans="1:20" ht="21" customHeight="1" x14ac:dyDescent="0.25">
      <c r="A140" s="21">
        <v>116</v>
      </c>
      <c r="B140" s="63" t="s">
        <v>461</v>
      </c>
      <c r="C140" s="62" t="s">
        <v>462</v>
      </c>
      <c r="D140" s="24" t="s">
        <v>30</v>
      </c>
      <c r="E140" s="62" t="s">
        <v>463</v>
      </c>
      <c r="F140" s="62" t="s">
        <v>25</v>
      </c>
      <c r="G140" s="143">
        <v>5500</v>
      </c>
      <c r="H140" s="62" t="s">
        <v>26</v>
      </c>
      <c r="I140" s="62" t="s">
        <v>464</v>
      </c>
      <c r="J140" s="62"/>
      <c r="K140" s="62"/>
      <c r="L140" s="51">
        <v>2471</v>
      </c>
      <c r="M140" s="54">
        <v>4199539</v>
      </c>
      <c r="N140" s="30">
        <v>0</v>
      </c>
      <c r="O140" s="52">
        <v>0</v>
      </c>
      <c r="P140" s="52">
        <v>0</v>
      </c>
      <c r="Q140" s="29">
        <v>0</v>
      </c>
      <c r="R140" s="29">
        <v>4199539</v>
      </c>
      <c r="S140" s="29">
        <v>3000</v>
      </c>
      <c r="T140" s="29">
        <f t="shared" si="6"/>
        <v>4202539</v>
      </c>
    </row>
    <row r="141" spans="1:20" ht="21" customHeight="1" x14ac:dyDescent="0.25">
      <c r="A141" s="21">
        <v>117</v>
      </c>
      <c r="B141" s="63" t="s">
        <v>465</v>
      </c>
      <c r="C141" s="62" t="s">
        <v>466</v>
      </c>
      <c r="D141" s="24" t="s">
        <v>30</v>
      </c>
      <c r="E141" s="62" t="s">
        <v>467</v>
      </c>
      <c r="F141" s="62" t="s">
        <v>25</v>
      </c>
      <c r="G141" s="143">
        <v>5500</v>
      </c>
      <c r="H141" s="62" t="s">
        <v>26</v>
      </c>
      <c r="I141" s="62" t="s">
        <v>468</v>
      </c>
      <c r="J141" s="62"/>
      <c r="K141" s="62"/>
      <c r="L141" s="51">
        <v>1777</v>
      </c>
      <c r="M141" s="54">
        <v>3020065</v>
      </c>
      <c r="N141" s="30">
        <v>0</v>
      </c>
      <c r="O141" s="52">
        <v>0</v>
      </c>
      <c r="P141" s="52">
        <v>0</v>
      </c>
      <c r="Q141" s="29">
        <v>0</v>
      </c>
      <c r="R141" s="29">
        <v>3020065</v>
      </c>
      <c r="S141" s="29">
        <v>3000</v>
      </c>
      <c r="T141" s="29">
        <f t="shared" si="6"/>
        <v>3023065</v>
      </c>
    </row>
    <row r="142" spans="1:20" ht="21" customHeight="1" x14ac:dyDescent="0.25">
      <c r="A142" s="21">
        <v>118</v>
      </c>
      <c r="B142" s="63" t="s">
        <v>469</v>
      </c>
      <c r="C142" s="62" t="s">
        <v>470</v>
      </c>
      <c r="D142" s="24" t="s">
        <v>30</v>
      </c>
      <c r="E142" s="62" t="s">
        <v>471</v>
      </c>
      <c r="F142" s="62" t="s">
        <v>25</v>
      </c>
      <c r="G142" s="143">
        <v>4400</v>
      </c>
      <c r="H142" s="62" t="s">
        <v>26</v>
      </c>
      <c r="I142" s="62" t="s">
        <v>472</v>
      </c>
      <c r="J142" s="62"/>
      <c r="K142" s="62"/>
      <c r="L142" s="51">
        <v>1944</v>
      </c>
      <c r="M142" s="54">
        <v>3303886</v>
      </c>
      <c r="N142" s="30">
        <v>0</v>
      </c>
      <c r="O142" s="52">
        <v>0</v>
      </c>
      <c r="P142" s="52">
        <v>0</v>
      </c>
      <c r="Q142" s="29">
        <v>0</v>
      </c>
      <c r="R142" s="29">
        <v>3303886</v>
      </c>
      <c r="S142" s="29">
        <v>3000</v>
      </c>
      <c r="T142" s="29">
        <f t="shared" si="6"/>
        <v>3306886</v>
      </c>
    </row>
    <row r="143" spans="1:20" ht="21" customHeight="1" x14ac:dyDescent="0.25">
      <c r="A143" s="21">
        <v>119</v>
      </c>
      <c r="B143" s="63" t="s">
        <v>473</v>
      </c>
      <c r="C143" s="62" t="s">
        <v>474</v>
      </c>
      <c r="D143" s="24" t="s">
        <v>30</v>
      </c>
      <c r="E143" s="62" t="s">
        <v>475</v>
      </c>
      <c r="F143" s="62" t="s">
        <v>25</v>
      </c>
      <c r="G143" s="143">
        <v>4400</v>
      </c>
      <c r="H143" s="62" t="s">
        <v>26</v>
      </c>
      <c r="I143" s="62" t="s">
        <v>476</v>
      </c>
      <c r="J143" s="62"/>
      <c r="K143" s="62"/>
      <c r="L143" s="51">
        <v>968</v>
      </c>
      <c r="M143" s="54">
        <v>1645145</v>
      </c>
      <c r="N143" s="30">
        <v>0</v>
      </c>
      <c r="O143" s="52">
        <v>0</v>
      </c>
      <c r="P143" s="52">
        <v>0</v>
      </c>
      <c r="Q143" s="29">
        <v>0</v>
      </c>
      <c r="R143" s="29">
        <v>1645145</v>
      </c>
      <c r="S143" s="29">
        <v>3000</v>
      </c>
      <c r="T143" s="29">
        <f t="shared" si="6"/>
        <v>1648145</v>
      </c>
    </row>
    <row r="144" spans="1:20" ht="21" customHeight="1" x14ac:dyDescent="0.25">
      <c r="A144" s="21">
        <v>120</v>
      </c>
      <c r="B144" s="63" t="s">
        <v>477</v>
      </c>
      <c r="C144" s="62" t="s">
        <v>478</v>
      </c>
      <c r="D144" s="24" t="s">
        <v>23</v>
      </c>
      <c r="E144" s="62" t="s">
        <v>479</v>
      </c>
      <c r="F144" s="62" t="s">
        <v>25</v>
      </c>
      <c r="G144" s="143">
        <v>3500</v>
      </c>
      <c r="H144" s="62" t="s">
        <v>26</v>
      </c>
      <c r="I144" s="62" t="s">
        <v>480</v>
      </c>
      <c r="J144" s="62"/>
      <c r="K144" s="62"/>
      <c r="L144" s="51">
        <v>703</v>
      </c>
      <c r="M144" s="54">
        <v>1194770</v>
      </c>
      <c r="N144" s="30">
        <v>0</v>
      </c>
      <c r="O144" s="52">
        <v>0</v>
      </c>
      <c r="P144" s="52">
        <v>0</v>
      </c>
      <c r="Q144" s="29">
        <v>0</v>
      </c>
      <c r="R144" s="29">
        <v>1194770</v>
      </c>
      <c r="S144" s="29">
        <v>3000</v>
      </c>
      <c r="T144" s="29">
        <f t="shared" si="6"/>
        <v>1197770</v>
      </c>
    </row>
    <row r="145" spans="1:20" ht="21" customHeight="1" x14ac:dyDescent="0.25">
      <c r="A145" s="21"/>
      <c r="B145" s="63"/>
      <c r="C145" s="62"/>
      <c r="D145" s="24"/>
      <c r="E145" s="62"/>
      <c r="F145" s="62"/>
      <c r="G145" s="143"/>
      <c r="H145" s="62"/>
      <c r="I145" s="62"/>
      <c r="J145" s="62"/>
      <c r="K145" s="62"/>
      <c r="L145" s="51"/>
      <c r="M145" s="54"/>
      <c r="N145" s="30"/>
      <c r="O145" s="52"/>
      <c r="P145" s="52"/>
      <c r="Q145" s="29"/>
      <c r="R145" s="29"/>
      <c r="S145" s="29"/>
      <c r="T145" s="29"/>
    </row>
    <row r="146" spans="1:20" s="35" customFormat="1" ht="36.75" customHeight="1" x14ac:dyDescent="0.25">
      <c r="A146" s="164" t="s">
        <v>179</v>
      </c>
      <c r="B146" s="164"/>
      <c r="C146" s="164"/>
      <c r="D146" s="164"/>
      <c r="E146" s="164"/>
      <c r="F146" s="164"/>
      <c r="G146" s="46">
        <v>615080</v>
      </c>
      <c r="H146" s="63"/>
      <c r="I146" s="46">
        <v>0</v>
      </c>
      <c r="J146" s="46"/>
      <c r="K146" s="46"/>
      <c r="L146" s="46">
        <v>172532</v>
      </c>
      <c r="M146" s="47">
        <v>293223313</v>
      </c>
      <c r="N146" s="48">
        <v>0</v>
      </c>
      <c r="O146" s="48">
        <v>0</v>
      </c>
      <c r="P146" s="48">
        <v>0</v>
      </c>
      <c r="Q146" s="47">
        <f>SUM(Q104:Q144)</f>
        <v>30000</v>
      </c>
      <c r="R146" s="47">
        <f t="shared" ref="R146:T146" si="7">SUM(R104:R144)</f>
        <v>293253313</v>
      </c>
      <c r="S146" s="47">
        <f t="shared" si="7"/>
        <v>360000</v>
      </c>
      <c r="T146" s="47">
        <f t="shared" si="7"/>
        <v>293613313</v>
      </c>
    </row>
    <row r="147" spans="1:20" ht="21" customHeight="1" x14ac:dyDescent="0.25">
      <c r="L147" s="41"/>
    </row>
    <row r="148" spans="1:20" ht="21" customHeight="1" x14ac:dyDescent="0.25">
      <c r="L148" s="41"/>
    </row>
    <row r="149" spans="1:20" s="93" customFormat="1" ht="42" customHeight="1" x14ac:dyDescent="0.25">
      <c r="A149" s="31" t="s">
        <v>4</v>
      </c>
      <c r="B149" s="31" t="s">
        <v>5</v>
      </c>
      <c r="C149" s="31" t="s">
        <v>6</v>
      </c>
      <c r="D149" s="22"/>
      <c r="E149" s="31" t="s">
        <v>7</v>
      </c>
      <c r="F149" s="31" t="s">
        <v>8</v>
      </c>
      <c r="G149" s="31" t="s">
        <v>9</v>
      </c>
      <c r="H149" s="31" t="s">
        <v>10</v>
      </c>
      <c r="I149" s="31" t="s">
        <v>11</v>
      </c>
      <c r="J149" s="31" t="s">
        <v>12</v>
      </c>
      <c r="K149" s="31" t="s">
        <v>13</v>
      </c>
      <c r="L149" s="31" t="s">
        <v>14</v>
      </c>
      <c r="M149" s="141" t="s">
        <v>15</v>
      </c>
      <c r="N149" s="142" t="s">
        <v>16</v>
      </c>
      <c r="O149" s="142" t="s">
        <v>17</v>
      </c>
      <c r="P149" s="142" t="s">
        <v>18</v>
      </c>
      <c r="Q149" s="141" t="s">
        <v>19</v>
      </c>
      <c r="R149" s="141" t="s">
        <v>20</v>
      </c>
      <c r="S149" s="141" t="s">
        <v>3655</v>
      </c>
      <c r="T149" s="141" t="s">
        <v>3656</v>
      </c>
    </row>
    <row r="150" spans="1:20" ht="21" customHeight="1" x14ac:dyDescent="0.25">
      <c r="A150" s="24"/>
      <c r="B150" s="25"/>
      <c r="C150" s="25"/>
      <c r="D150" s="25"/>
      <c r="E150" s="25"/>
      <c r="F150" s="25"/>
      <c r="G150" s="25"/>
      <c r="H150" s="25"/>
      <c r="I150" s="25" t="s">
        <v>0</v>
      </c>
      <c r="J150" s="25"/>
      <c r="K150" s="25"/>
      <c r="L150" s="28" t="s">
        <v>0</v>
      </c>
      <c r="M150" s="29"/>
      <c r="N150" s="30"/>
      <c r="O150" s="30"/>
      <c r="P150" s="30"/>
      <c r="Q150" s="29"/>
      <c r="R150" s="29"/>
      <c r="S150" s="29"/>
      <c r="T150" s="29"/>
    </row>
    <row r="151" spans="1:20" ht="21" customHeight="1" x14ac:dyDescent="0.25">
      <c r="A151" s="24"/>
      <c r="B151" s="25"/>
      <c r="C151" s="50"/>
      <c r="D151" s="50"/>
      <c r="E151" s="45" t="s">
        <v>181</v>
      </c>
      <c r="F151" s="25"/>
      <c r="G151" s="46">
        <v>615080</v>
      </c>
      <c r="H151" s="46">
        <v>0</v>
      </c>
      <c r="I151" s="46">
        <v>0</v>
      </c>
      <c r="J151" s="46"/>
      <c r="K151" s="46"/>
      <c r="L151" s="46">
        <v>172532</v>
      </c>
      <c r="M151" s="42">
        <v>293223313</v>
      </c>
      <c r="N151" s="43">
        <v>0</v>
      </c>
      <c r="O151" s="43">
        <v>0</v>
      </c>
      <c r="P151" s="43">
        <v>0</v>
      </c>
      <c r="Q151" s="42">
        <f>Q146</f>
        <v>30000</v>
      </c>
      <c r="R151" s="42">
        <f t="shared" ref="R151:T151" si="8">R146</f>
        <v>293253313</v>
      </c>
      <c r="S151" s="42">
        <f t="shared" si="8"/>
        <v>360000</v>
      </c>
      <c r="T151" s="42">
        <f t="shared" si="8"/>
        <v>293613313</v>
      </c>
    </row>
    <row r="152" spans="1:20" ht="21" customHeight="1" x14ac:dyDescent="0.25">
      <c r="A152" s="21">
        <v>121</v>
      </c>
      <c r="B152" s="63" t="s">
        <v>481</v>
      </c>
      <c r="C152" s="62" t="s">
        <v>482</v>
      </c>
      <c r="D152" s="24" t="s">
        <v>23</v>
      </c>
      <c r="E152" s="62" t="s">
        <v>483</v>
      </c>
      <c r="F152" s="62" t="s">
        <v>25</v>
      </c>
      <c r="G152" s="143">
        <v>4400</v>
      </c>
      <c r="H152" s="63" t="s">
        <v>26</v>
      </c>
      <c r="I152" s="63" t="s">
        <v>484</v>
      </c>
      <c r="J152" s="62"/>
      <c r="K152" s="62"/>
      <c r="L152" s="51">
        <v>594</v>
      </c>
      <c r="M152" s="51">
        <v>1009521</v>
      </c>
      <c r="N152" s="30">
        <v>0</v>
      </c>
      <c r="O152" s="52">
        <v>0</v>
      </c>
      <c r="P152" s="52">
        <v>0</v>
      </c>
      <c r="Q152" s="29">
        <v>0</v>
      </c>
      <c r="R152" s="29">
        <v>1009521</v>
      </c>
      <c r="S152" s="29">
        <v>3000</v>
      </c>
      <c r="T152" s="29">
        <f t="shared" ref="T152:T191" si="9">R152+S152</f>
        <v>1012521</v>
      </c>
    </row>
    <row r="153" spans="1:20" ht="21" customHeight="1" x14ac:dyDescent="0.25">
      <c r="A153" s="21">
        <v>122</v>
      </c>
      <c r="B153" s="63" t="s">
        <v>485</v>
      </c>
      <c r="C153" s="62" t="s">
        <v>68</v>
      </c>
      <c r="D153" s="24" t="s">
        <v>30</v>
      </c>
      <c r="E153" s="62" t="s">
        <v>69</v>
      </c>
      <c r="F153" s="62" t="s">
        <v>25</v>
      </c>
      <c r="G153" s="143">
        <v>3500</v>
      </c>
      <c r="H153" s="63" t="s">
        <v>26</v>
      </c>
      <c r="I153" s="63" t="s">
        <v>486</v>
      </c>
      <c r="J153" s="62"/>
      <c r="K153" s="62"/>
      <c r="L153" s="51">
        <v>833</v>
      </c>
      <c r="M153" s="51">
        <v>1415708</v>
      </c>
      <c r="N153" s="30">
        <v>0</v>
      </c>
      <c r="O153" s="52">
        <v>0</v>
      </c>
      <c r="P153" s="52">
        <v>0</v>
      </c>
      <c r="Q153" s="29">
        <v>0</v>
      </c>
      <c r="R153" s="29">
        <v>1415708</v>
      </c>
      <c r="S153" s="29">
        <v>3000</v>
      </c>
      <c r="T153" s="29">
        <f t="shared" si="9"/>
        <v>1418708</v>
      </c>
    </row>
    <row r="154" spans="1:20" ht="21" customHeight="1" x14ac:dyDescent="0.25">
      <c r="A154" s="21">
        <v>123</v>
      </c>
      <c r="B154" s="63" t="s">
        <v>487</v>
      </c>
      <c r="C154" s="62" t="s">
        <v>488</v>
      </c>
      <c r="D154" s="24" t="s">
        <v>30</v>
      </c>
      <c r="E154" s="62" t="s">
        <v>292</v>
      </c>
      <c r="F154" s="62" t="s">
        <v>25</v>
      </c>
      <c r="G154" s="143">
        <v>4400</v>
      </c>
      <c r="H154" s="63" t="s">
        <v>26</v>
      </c>
      <c r="I154" s="63" t="s">
        <v>489</v>
      </c>
      <c r="J154" s="62"/>
      <c r="K154" s="62"/>
      <c r="L154" s="51">
        <v>1110</v>
      </c>
      <c r="M154" s="51">
        <v>1886478</v>
      </c>
      <c r="N154" s="30">
        <v>0</v>
      </c>
      <c r="O154" s="52">
        <v>0</v>
      </c>
      <c r="P154" s="52">
        <v>0</v>
      </c>
      <c r="Q154" s="29">
        <v>0</v>
      </c>
      <c r="R154" s="29">
        <v>1886478</v>
      </c>
      <c r="S154" s="29">
        <v>3000</v>
      </c>
      <c r="T154" s="29">
        <f t="shared" si="9"/>
        <v>1889478</v>
      </c>
    </row>
    <row r="155" spans="1:20" ht="21" customHeight="1" x14ac:dyDescent="0.25">
      <c r="A155" s="21">
        <v>124</v>
      </c>
      <c r="B155" s="63" t="s">
        <v>490</v>
      </c>
      <c r="C155" s="62" t="s">
        <v>491</v>
      </c>
      <c r="D155" s="24" t="s">
        <v>316</v>
      </c>
      <c r="E155" s="62" t="s">
        <v>492</v>
      </c>
      <c r="F155" s="62" t="s">
        <v>25</v>
      </c>
      <c r="G155" s="143">
        <v>5500</v>
      </c>
      <c r="H155" s="63" t="s">
        <v>26</v>
      </c>
      <c r="I155" s="63" t="s">
        <v>493</v>
      </c>
      <c r="J155" s="62"/>
      <c r="K155" s="62"/>
      <c r="L155" s="51">
        <v>2146</v>
      </c>
      <c r="M155" s="51">
        <v>3647191</v>
      </c>
      <c r="N155" s="30">
        <v>0</v>
      </c>
      <c r="O155" s="52">
        <v>0</v>
      </c>
      <c r="P155" s="52">
        <v>0</v>
      </c>
      <c r="Q155" s="29">
        <v>0</v>
      </c>
      <c r="R155" s="29">
        <v>3647191</v>
      </c>
      <c r="S155" s="29">
        <v>3000</v>
      </c>
      <c r="T155" s="29">
        <f t="shared" si="9"/>
        <v>3650191</v>
      </c>
    </row>
    <row r="156" spans="1:20" ht="21" customHeight="1" x14ac:dyDescent="0.25">
      <c r="A156" s="21">
        <v>125</v>
      </c>
      <c r="B156" s="63" t="s">
        <v>494</v>
      </c>
      <c r="C156" s="62" t="s">
        <v>495</v>
      </c>
      <c r="D156" s="24" t="s">
        <v>84</v>
      </c>
      <c r="E156" s="62" t="s">
        <v>496</v>
      </c>
      <c r="F156" s="62" t="s">
        <v>25</v>
      </c>
      <c r="G156" s="143">
        <v>7700</v>
      </c>
      <c r="H156" s="63" t="s">
        <v>26</v>
      </c>
      <c r="I156" s="63" t="s">
        <v>497</v>
      </c>
      <c r="J156" s="62"/>
      <c r="K156" s="62"/>
      <c r="L156" s="51">
        <v>2518</v>
      </c>
      <c r="M156" s="51">
        <v>4279417</v>
      </c>
      <c r="N156" s="30">
        <v>0</v>
      </c>
      <c r="O156" s="52">
        <v>0</v>
      </c>
      <c r="P156" s="52">
        <v>0</v>
      </c>
      <c r="Q156" s="29">
        <v>0</v>
      </c>
      <c r="R156" s="29">
        <v>4279417</v>
      </c>
      <c r="S156" s="29">
        <v>3000</v>
      </c>
      <c r="T156" s="29">
        <f t="shared" si="9"/>
        <v>4282417</v>
      </c>
    </row>
    <row r="157" spans="1:20" ht="21" customHeight="1" x14ac:dyDescent="0.25">
      <c r="A157" s="21">
        <v>126</v>
      </c>
      <c r="B157" s="63" t="s">
        <v>498</v>
      </c>
      <c r="C157" s="62" t="s">
        <v>499</v>
      </c>
      <c r="D157" s="24" t="s">
        <v>84</v>
      </c>
      <c r="E157" s="62" t="s">
        <v>500</v>
      </c>
      <c r="F157" s="62" t="s">
        <v>25</v>
      </c>
      <c r="G157" s="143">
        <v>3500</v>
      </c>
      <c r="H157" s="63" t="s">
        <v>26</v>
      </c>
      <c r="I157" s="63" t="s">
        <v>501</v>
      </c>
      <c r="J157" s="62"/>
      <c r="K157" s="62"/>
      <c r="L157" s="51">
        <v>2027</v>
      </c>
      <c r="M157" s="51">
        <v>3444947</v>
      </c>
      <c r="N157" s="30">
        <v>0</v>
      </c>
      <c r="O157" s="52">
        <v>0</v>
      </c>
      <c r="P157" s="52">
        <v>0</v>
      </c>
      <c r="Q157" s="29">
        <v>0</v>
      </c>
      <c r="R157" s="29">
        <v>3444947</v>
      </c>
      <c r="S157" s="29">
        <v>3000</v>
      </c>
      <c r="T157" s="29">
        <f t="shared" si="9"/>
        <v>3447947</v>
      </c>
    </row>
    <row r="158" spans="1:20" ht="21" customHeight="1" x14ac:dyDescent="0.25">
      <c r="A158" s="21">
        <v>127</v>
      </c>
      <c r="B158" s="63" t="s">
        <v>502</v>
      </c>
      <c r="C158" s="62" t="s">
        <v>503</v>
      </c>
      <c r="D158" s="24" t="s">
        <v>84</v>
      </c>
      <c r="E158" s="62" t="s">
        <v>504</v>
      </c>
      <c r="F158" s="62" t="s">
        <v>25</v>
      </c>
      <c r="G158" s="143">
        <v>3500</v>
      </c>
      <c r="H158" s="63" t="s">
        <v>26</v>
      </c>
      <c r="I158" s="63" t="s">
        <v>505</v>
      </c>
      <c r="J158" s="62"/>
      <c r="K158" s="62"/>
      <c r="L158" s="51">
        <v>855</v>
      </c>
      <c r="M158" s="51">
        <v>1453098</v>
      </c>
      <c r="N158" s="30">
        <v>0</v>
      </c>
      <c r="O158" s="52">
        <v>0</v>
      </c>
      <c r="P158" s="52">
        <v>0</v>
      </c>
      <c r="Q158" s="29">
        <v>0</v>
      </c>
      <c r="R158" s="29">
        <v>1453098</v>
      </c>
      <c r="S158" s="29">
        <v>3000</v>
      </c>
      <c r="T158" s="29">
        <f t="shared" si="9"/>
        <v>1456098</v>
      </c>
    </row>
    <row r="159" spans="1:20" ht="21" customHeight="1" x14ac:dyDescent="0.25">
      <c r="A159" s="21">
        <v>128</v>
      </c>
      <c r="B159" s="63" t="s">
        <v>506</v>
      </c>
      <c r="C159" s="62" t="s">
        <v>507</v>
      </c>
      <c r="D159" s="24" t="s">
        <v>30</v>
      </c>
      <c r="E159" s="62" t="s">
        <v>224</v>
      </c>
      <c r="F159" s="62" t="s">
        <v>25</v>
      </c>
      <c r="G159" s="143">
        <v>5500</v>
      </c>
      <c r="H159" s="63" t="s">
        <v>26</v>
      </c>
      <c r="I159" s="63" t="s">
        <v>508</v>
      </c>
      <c r="J159" s="62"/>
      <c r="K159" s="62"/>
      <c r="L159" s="51">
        <v>1279</v>
      </c>
      <c r="M159" s="51">
        <v>2173699</v>
      </c>
      <c r="N159" s="30">
        <v>0</v>
      </c>
      <c r="O159" s="52">
        <v>0</v>
      </c>
      <c r="P159" s="52">
        <v>0</v>
      </c>
      <c r="Q159" s="29">
        <v>0</v>
      </c>
      <c r="R159" s="29">
        <v>2173699</v>
      </c>
      <c r="S159" s="29">
        <v>3000</v>
      </c>
      <c r="T159" s="29">
        <f t="shared" si="9"/>
        <v>2176699</v>
      </c>
    </row>
    <row r="160" spans="1:20" ht="21" customHeight="1" x14ac:dyDescent="0.25">
      <c r="A160" s="21">
        <v>129</v>
      </c>
      <c r="B160" s="63" t="s">
        <v>509</v>
      </c>
      <c r="C160" s="62" t="s">
        <v>98</v>
      </c>
      <c r="D160" s="24" t="s">
        <v>316</v>
      </c>
      <c r="E160" s="62" t="s">
        <v>510</v>
      </c>
      <c r="F160" s="62" t="s">
        <v>25</v>
      </c>
      <c r="G160" s="143">
        <v>3500</v>
      </c>
      <c r="H160" s="63" t="s">
        <v>26</v>
      </c>
      <c r="I160" s="63" t="s">
        <v>511</v>
      </c>
      <c r="J160" s="62"/>
      <c r="K160" s="62"/>
      <c r="L160" s="51">
        <v>749</v>
      </c>
      <c r="M160" s="51">
        <v>1272948</v>
      </c>
      <c r="N160" s="30">
        <v>0</v>
      </c>
      <c r="O160" s="52">
        <v>0</v>
      </c>
      <c r="P160" s="52">
        <v>0</v>
      </c>
      <c r="Q160" s="29">
        <v>0</v>
      </c>
      <c r="R160" s="29">
        <v>1272948</v>
      </c>
      <c r="S160" s="29">
        <v>3000</v>
      </c>
      <c r="T160" s="29">
        <f t="shared" si="9"/>
        <v>1275948</v>
      </c>
    </row>
    <row r="161" spans="1:20" ht="21" customHeight="1" x14ac:dyDescent="0.25">
      <c r="A161" s="21">
        <v>130</v>
      </c>
      <c r="B161" s="63" t="s">
        <v>512</v>
      </c>
      <c r="C161" s="62" t="s">
        <v>513</v>
      </c>
      <c r="D161" s="24" t="s">
        <v>30</v>
      </c>
      <c r="E161" s="62" t="s">
        <v>514</v>
      </c>
      <c r="F161" s="62" t="s">
        <v>25</v>
      </c>
      <c r="G161" s="143">
        <v>4400</v>
      </c>
      <c r="H161" s="63" t="s">
        <v>26</v>
      </c>
      <c r="I161" s="63" t="s">
        <v>515</v>
      </c>
      <c r="J161" s="62"/>
      <c r="K161" s="62"/>
      <c r="L161" s="51">
        <v>1246</v>
      </c>
      <c r="M161" s="51">
        <v>2117614</v>
      </c>
      <c r="N161" s="30">
        <v>0</v>
      </c>
      <c r="O161" s="52">
        <v>0</v>
      </c>
      <c r="P161" s="52">
        <v>0</v>
      </c>
      <c r="Q161" s="29">
        <v>0</v>
      </c>
      <c r="R161" s="29">
        <v>2117614</v>
      </c>
      <c r="S161" s="29">
        <v>3000</v>
      </c>
      <c r="T161" s="29">
        <f t="shared" si="9"/>
        <v>2120614</v>
      </c>
    </row>
    <row r="162" spans="1:20" ht="21" customHeight="1" x14ac:dyDescent="0.25">
      <c r="A162" s="21">
        <v>131</v>
      </c>
      <c r="B162" s="63" t="s">
        <v>516</v>
      </c>
      <c r="C162" s="62" t="s">
        <v>517</v>
      </c>
      <c r="D162" s="24" t="s">
        <v>30</v>
      </c>
      <c r="E162" s="62" t="s">
        <v>518</v>
      </c>
      <c r="F162" s="62" t="s">
        <v>25</v>
      </c>
      <c r="G162" s="143">
        <v>5500</v>
      </c>
      <c r="H162" s="63" t="s">
        <v>26</v>
      </c>
      <c r="I162" s="63" t="s">
        <v>519</v>
      </c>
      <c r="J162" s="62"/>
      <c r="K162" s="62"/>
      <c r="L162" s="51">
        <v>1613</v>
      </c>
      <c r="M162" s="51">
        <v>2741342</v>
      </c>
      <c r="N162" s="30">
        <v>0</v>
      </c>
      <c r="O162" s="52">
        <v>0</v>
      </c>
      <c r="P162" s="52">
        <v>0</v>
      </c>
      <c r="Q162" s="29">
        <v>0</v>
      </c>
      <c r="R162" s="29">
        <v>2741342</v>
      </c>
      <c r="S162" s="29">
        <v>3000</v>
      </c>
      <c r="T162" s="29">
        <f t="shared" si="9"/>
        <v>2744342</v>
      </c>
    </row>
    <row r="163" spans="1:20" ht="21" customHeight="1" x14ac:dyDescent="0.25">
      <c r="A163" s="21">
        <v>132</v>
      </c>
      <c r="B163" s="63" t="s">
        <v>520</v>
      </c>
      <c r="C163" s="62" t="s">
        <v>521</v>
      </c>
      <c r="D163" s="24" t="s">
        <v>23</v>
      </c>
      <c r="E163" s="62" t="s">
        <v>224</v>
      </c>
      <c r="F163" s="62" t="s">
        <v>25</v>
      </c>
      <c r="G163" s="143">
        <v>3500</v>
      </c>
      <c r="H163" s="63" t="s">
        <v>26</v>
      </c>
      <c r="I163" s="63" t="s">
        <v>522</v>
      </c>
      <c r="J163" s="62"/>
      <c r="K163" s="62"/>
      <c r="L163" s="51">
        <v>140</v>
      </c>
      <c r="M163" s="51">
        <v>237934</v>
      </c>
      <c r="N163" s="30">
        <v>0</v>
      </c>
      <c r="O163" s="52">
        <v>0</v>
      </c>
      <c r="P163" s="52">
        <v>0</v>
      </c>
      <c r="Q163" s="29">
        <v>0</v>
      </c>
      <c r="R163" s="29">
        <v>237934</v>
      </c>
      <c r="S163" s="29">
        <v>3000</v>
      </c>
      <c r="T163" s="29">
        <f t="shared" si="9"/>
        <v>240934</v>
      </c>
    </row>
    <row r="164" spans="1:20" ht="21" customHeight="1" x14ac:dyDescent="0.25">
      <c r="A164" s="21">
        <v>133</v>
      </c>
      <c r="B164" s="63" t="s">
        <v>523</v>
      </c>
      <c r="C164" s="62" t="s">
        <v>524</v>
      </c>
      <c r="D164" s="24" t="s">
        <v>23</v>
      </c>
      <c r="E164" s="62" t="s">
        <v>239</v>
      </c>
      <c r="F164" s="62" t="s">
        <v>25</v>
      </c>
      <c r="G164" s="143">
        <v>3500</v>
      </c>
      <c r="H164" s="63" t="s">
        <v>26</v>
      </c>
      <c r="I164" s="63" t="s">
        <v>525</v>
      </c>
      <c r="J164" s="62"/>
      <c r="K164" s="62"/>
      <c r="L164" s="51">
        <v>1044</v>
      </c>
      <c r="M164" s="51">
        <v>1774309</v>
      </c>
      <c r="N164" s="30">
        <v>0</v>
      </c>
      <c r="O164" s="52">
        <v>0</v>
      </c>
      <c r="P164" s="52">
        <v>0</v>
      </c>
      <c r="Q164" s="29">
        <v>0</v>
      </c>
      <c r="R164" s="29">
        <v>1774309</v>
      </c>
      <c r="S164" s="29">
        <v>3000</v>
      </c>
      <c r="T164" s="29">
        <f t="shared" si="9"/>
        <v>1777309</v>
      </c>
    </row>
    <row r="165" spans="1:20" ht="21" customHeight="1" x14ac:dyDescent="0.25">
      <c r="A165" s="21">
        <v>134</v>
      </c>
      <c r="B165" s="63" t="s">
        <v>526</v>
      </c>
      <c r="C165" s="62" t="s">
        <v>527</v>
      </c>
      <c r="D165" s="24" t="s">
        <v>23</v>
      </c>
      <c r="E165" s="62" t="s">
        <v>528</v>
      </c>
      <c r="F165" s="62" t="s">
        <v>25</v>
      </c>
      <c r="G165" s="143">
        <v>3500</v>
      </c>
      <c r="H165" s="63" t="s">
        <v>26</v>
      </c>
      <c r="I165" s="63" t="s">
        <v>529</v>
      </c>
      <c r="J165" s="62"/>
      <c r="K165" s="62"/>
      <c r="L165" s="51">
        <v>280</v>
      </c>
      <c r="M165" s="51">
        <v>475868</v>
      </c>
      <c r="N165" s="30">
        <v>0</v>
      </c>
      <c r="O165" s="52">
        <v>0</v>
      </c>
      <c r="P165" s="52">
        <v>0</v>
      </c>
      <c r="Q165" s="29">
        <v>0</v>
      </c>
      <c r="R165" s="29">
        <v>475868</v>
      </c>
      <c r="S165" s="29">
        <v>3000</v>
      </c>
      <c r="T165" s="29">
        <f t="shared" si="9"/>
        <v>478868</v>
      </c>
    </row>
    <row r="166" spans="1:20" ht="21" customHeight="1" x14ac:dyDescent="0.25">
      <c r="A166" s="21">
        <v>135</v>
      </c>
      <c r="B166" s="63" t="s">
        <v>530</v>
      </c>
      <c r="C166" s="62" t="s">
        <v>531</v>
      </c>
      <c r="D166" s="24" t="s">
        <v>23</v>
      </c>
      <c r="E166" s="62" t="s">
        <v>532</v>
      </c>
      <c r="F166" s="62" t="s">
        <v>25</v>
      </c>
      <c r="G166" s="143">
        <v>5500</v>
      </c>
      <c r="H166" s="63" t="s">
        <v>26</v>
      </c>
      <c r="I166" s="63" t="s">
        <v>533</v>
      </c>
      <c r="J166" s="62"/>
      <c r="K166" s="62"/>
      <c r="L166" s="51">
        <v>1499</v>
      </c>
      <c r="M166" s="51">
        <v>2547595</v>
      </c>
      <c r="N166" s="30">
        <v>0</v>
      </c>
      <c r="O166" s="52">
        <v>0</v>
      </c>
      <c r="P166" s="52">
        <v>0</v>
      </c>
      <c r="Q166" s="29">
        <v>0</v>
      </c>
      <c r="R166" s="29">
        <v>2547595</v>
      </c>
      <c r="S166" s="29">
        <v>3000</v>
      </c>
      <c r="T166" s="29">
        <f t="shared" si="9"/>
        <v>2550595</v>
      </c>
    </row>
    <row r="167" spans="1:20" ht="21" customHeight="1" x14ac:dyDescent="0.25">
      <c r="A167" s="21">
        <v>136</v>
      </c>
      <c r="B167" s="63" t="s">
        <v>534</v>
      </c>
      <c r="C167" s="62" t="s">
        <v>535</v>
      </c>
      <c r="D167" s="24" t="s">
        <v>316</v>
      </c>
      <c r="E167" s="62" t="s">
        <v>536</v>
      </c>
      <c r="F167" s="62" t="s">
        <v>25</v>
      </c>
      <c r="G167" s="143">
        <v>4400</v>
      </c>
      <c r="H167" s="63" t="s">
        <v>26</v>
      </c>
      <c r="I167" s="63" t="s">
        <v>537</v>
      </c>
      <c r="J167" s="62"/>
      <c r="K167" s="62"/>
      <c r="L167" s="51">
        <v>2087</v>
      </c>
      <c r="M167" s="51">
        <v>3546919</v>
      </c>
      <c r="N167" s="30">
        <v>0</v>
      </c>
      <c r="O167" s="52">
        <v>0</v>
      </c>
      <c r="P167" s="52">
        <v>0</v>
      </c>
      <c r="Q167" s="29">
        <v>0</v>
      </c>
      <c r="R167" s="29">
        <v>3546919</v>
      </c>
      <c r="S167" s="29">
        <v>3000</v>
      </c>
      <c r="T167" s="29">
        <f t="shared" si="9"/>
        <v>3549919</v>
      </c>
    </row>
    <row r="168" spans="1:20" ht="21" customHeight="1" x14ac:dyDescent="0.25">
      <c r="A168" s="21">
        <v>137</v>
      </c>
      <c r="B168" s="63" t="s">
        <v>538</v>
      </c>
      <c r="C168" s="62" t="s">
        <v>539</v>
      </c>
      <c r="D168" s="24" t="s">
        <v>23</v>
      </c>
      <c r="E168" s="62" t="s">
        <v>540</v>
      </c>
      <c r="F168" s="62" t="s">
        <v>25</v>
      </c>
      <c r="G168" s="143">
        <v>3500</v>
      </c>
      <c r="H168" s="63" t="s">
        <v>26</v>
      </c>
      <c r="I168" s="63" t="s">
        <v>541</v>
      </c>
      <c r="J168" s="62"/>
      <c r="K168" s="62"/>
      <c r="L168" s="51">
        <v>1379</v>
      </c>
      <c r="M168" s="51">
        <v>2343652</v>
      </c>
      <c r="N168" s="30">
        <v>0</v>
      </c>
      <c r="O168" s="52">
        <v>0</v>
      </c>
      <c r="P168" s="52">
        <v>0</v>
      </c>
      <c r="Q168" s="29">
        <v>0</v>
      </c>
      <c r="R168" s="29">
        <v>2343652</v>
      </c>
      <c r="S168" s="29">
        <v>3000</v>
      </c>
      <c r="T168" s="29">
        <f t="shared" si="9"/>
        <v>2346652</v>
      </c>
    </row>
    <row r="169" spans="1:20" ht="21" customHeight="1" x14ac:dyDescent="0.25">
      <c r="A169" s="21">
        <v>138</v>
      </c>
      <c r="B169" s="63" t="s">
        <v>542</v>
      </c>
      <c r="C169" s="62" t="s">
        <v>543</v>
      </c>
      <c r="D169" s="24" t="s">
        <v>23</v>
      </c>
      <c r="E169" s="62" t="s">
        <v>544</v>
      </c>
      <c r="F169" s="62" t="s">
        <v>25</v>
      </c>
      <c r="G169" s="143">
        <v>7700</v>
      </c>
      <c r="H169" s="63" t="s">
        <v>26</v>
      </c>
      <c r="I169" s="63" t="s">
        <v>545</v>
      </c>
      <c r="J169" s="62"/>
      <c r="K169" s="62"/>
      <c r="L169" s="51">
        <v>2585</v>
      </c>
      <c r="M169" s="51">
        <v>4393285</v>
      </c>
      <c r="N169" s="30">
        <v>0</v>
      </c>
      <c r="O169" s="52">
        <v>0</v>
      </c>
      <c r="P169" s="52">
        <v>0</v>
      </c>
      <c r="Q169" s="29">
        <v>0</v>
      </c>
      <c r="R169" s="29">
        <v>4393285</v>
      </c>
      <c r="S169" s="29">
        <v>3000</v>
      </c>
      <c r="T169" s="29">
        <f t="shared" si="9"/>
        <v>4396285</v>
      </c>
    </row>
    <row r="170" spans="1:20" ht="21" customHeight="1" x14ac:dyDescent="0.25">
      <c r="A170" s="21">
        <v>139</v>
      </c>
      <c r="B170" s="63" t="s">
        <v>546</v>
      </c>
      <c r="C170" s="62" t="s">
        <v>547</v>
      </c>
      <c r="D170" s="24" t="s">
        <v>30</v>
      </c>
      <c r="E170" s="62" t="s">
        <v>548</v>
      </c>
      <c r="F170" s="62" t="s">
        <v>25</v>
      </c>
      <c r="G170" s="143">
        <v>4400</v>
      </c>
      <c r="H170" s="63" t="s">
        <v>26</v>
      </c>
      <c r="I170" s="63" t="s">
        <v>549</v>
      </c>
      <c r="J170" s="62"/>
      <c r="K170" s="62"/>
      <c r="L170" s="51">
        <v>1885</v>
      </c>
      <c r="M170" s="51">
        <v>3203614</v>
      </c>
      <c r="N170" s="30">
        <v>0</v>
      </c>
      <c r="O170" s="52">
        <v>0</v>
      </c>
      <c r="P170" s="52">
        <v>0</v>
      </c>
      <c r="Q170" s="29">
        <v>0</v>
      </c>
      <c r="R170" s="29">
        <v>3203614</v>
      </c>
      <c r="S170" s="29">
        <v>3000</v>
      </c>
      <c r="T170" s="29">
        <f t="shared" si="9"/>
        <v>3206614</v>
      </c>
    </row>
    <row r="171" spans="1:20" ht="21" customHeight="1" x14ac:dyDescent="0.25">
      <c r="A171" s="21">
        <v>140</v>
      </c>
      <c r="B171" s="63" t="s">
        <v>550</v>
      </c>
      <c r="C171" s="62" t="s">
        <v>551</v>
      </c>
      <c r="D171" s="24" t="s">
        <v>23</v>
      </c>
      <c r="E171" s="62" t="s">
        <v>552</v>
      </c>
      <c r="F171" s="62" t="s">
        <v>25</v>
      </c>
      <c r="G171" s="143">
        <v>3500</v>
      </c>
      <c r="H171" s="63" t="s">
        <v>26</v>
      </c>
      <c r="I171" s="63" t="s">
        <v>553</v>
      </c>
      <c r="J171" s="62"/>
      <c r="K171" s="62"/>
      <c r="L171" s="51">
        <v>866</v>
      </c>
      <c r="M171" s="51">
        <v>1471793</v>
      </c>
      <c r="N171" s="30">
        <v>0</v>
      </c>
      <c r="O171" s="52">
        <v>0</v>
      </c>
      <c r="P171" s="52">
        <v>0</v>
      </c>
      <c r="Q171" s="29">
        <v>0</v>
      </c>
      <c r="R171" s="29">
        <v>1471793</v>
      </c>
      <c r="S171" s="29">
        <v>3000</v>
      </c>
      <c r="T171" s="29">
        <f t="shared" si="9"/>
        <v>1474793</v>
      </c>
    </row>
    <row r="172" spans="1:20" ht="21" customHeight="1" x14ac:dyDescent="0.25">
      <c r="A172" s="21">
        <v>141</v>
      </c>
      <c r="B172" s="63" t="s">
        <v>554</v>
      </c>
      <c r="C172" s="62" t="s">
        <v>555</v>
      </c>
      <c r="D172" s="24" t="s">
        <v>316</v>
      </c>
      <c r="E172" s="62" t="s">
        <v>46</v>
      </c>
      <c r="F172" s="62" t="s">
        <v>25</v>
      </c>
      <c r="G172" s="143">
        <v>3500</v>
      </c>
      <c r="H172" s="63" t="s">
        <v>26</v>
      </c>
      <c r="I172" s="63" t="s">
        <v>556</v>
      </c>
      <c r="J172" s="62"/>
      <c r="K172" s="62"/>
      <c r="L172" s="51">
        <v>480</v>
      </c>
      <c r="M172" s="51">
        <v>815774</v>
      </c>
      <c r="N172" s="30">
        <v>0</v>
      </c>
      <c r="O172" s="52">
        <v>0</v>
      </c>
      <c r="P172" s="52">
        <v>0</v>
      </c>
      <c r="Q172" s="29">
        <v>0</v>
      </c>
      <c r="R172" s="29">
        <v>815774</v>
      </c>
      <c r="S172" s="29">
        <v>3000</v>
      </c>
      <c r="T172" s="29">
        <f t="shared" si="9"/>
        <v>818774</v>
      </c>
    </row>
    <row r="173" spans="1:20" ht="21" customHeight="1" x14ac:dyDescent="0.25">
      <c r="A173" s="21">
        <v>142</v>
      </c>
      <c r="B173" s="63" t="s">
        <v>557</v>
      </c>
      <c r="C173" s="62" t="s">
        <v>558</v>
      </c>
      <c r="D173" s="24" t="s">
        <v>30</v>
      </c>
      <c r="E173" s="62" t="s">
        <v>559</v>
      </c>
      <c r="F173" s="62" t="s">
        <v>25</v>
      </c>
      <c r="G173" s="143">
        <v>4400</v>
      </c>
      <c r="H173" s="63" t="s">
        <v>26</v>
      </c>
      <c r="I173" s="63" t="s">
        <v>560</v>
      </c>
      <c r="J173" s="62"/>
      <c r="K173" s="62"/>
      <c r="L173" s="51">
        <v>776</v>
      </c>
      <c r="M173" s="51">
        <v>1318835</v>
      </c>
      <c r="N173" s="30">
        <v>0</v>
      </c>
      <c r="O173" s="52">
        <v>0</v>
      </c>
      <c r="P173" s="52">
        <v>0</v>
      </c>
      <c r="Q173" s="29">
        <v>0</v>
      </c>
      <c r="R173" s="29">
        <v>1318835</v>
      </c>
      <c r="S173" s="29">
        <v>3000</v>
      </c>
      <c r="T173" s="29">
        <f t="shared" si="9"/>
        <v>1321835</v>
      </c>
    </row>
    <row r="174" spans="1:20" ht="21" customHeight="1" x14ac:dyDescent="0.25">
      <c r="A174" s="21">
        <v>143</v>
      </c>
      <c r="B174" s="63" t="s">
        <v>561</v>
      </c>
      <c r="C174" s="62" t="s">
        <v>562</v>
      </c>
      <c r="D174" s="24" t="s">
        <v>84</v>
      </c>
      <c r="E174" s="62" t="s">
        <v>563</v>
      </c>
      <c r="F174" s="62" t="s">
        <v>25</v>
      </c>
      <c r="G174" s="143">
        <v>4400</v>
      </c>
      <c r="H174" s="63" t="s">
        <v>26</v>
      </c>
      <c r="I174" s="63" t="s">
        <v>564</v>
      </c>
      <c r="J174" s="62"/>
      <c r="K174" s="62"/>
      <c r="L174" s="51">
        <v>1650</v>
      </c>
      <c r="M174" s="51">
        <v>2804225</v>
      </c>
      <c r="N174" s="30">
        <v>0</v>
      </c>
      <c r="O174" s="52">
        <v>0</v>
      </c>
      <c r="P174" s="52">
        <v>0</v>
      </c>
      <c r="Q174" s="29">
        <v>0</v>
      </c>
      <c r="R174" s="29">
        <v>2804225</v>
      </c>
      <c r="S174" s="29">
        <v>3000</v>
      </c>
      <c r="T174" s="29">
        <f t="shared" si="9"/>
        <v>2807225</v>
      </c>
    </row>
    <row r="175" spans="1:20" ht="21" customHeight="1" x14ac:dyDescent="0.25">
      <c r="A175" s="21">
        <v>144</v>
      </c>
      <c r="B175" s="63" t="s">
        <v>565</v>
      </c>
      <c r="C175" s="62" t="s">
        <v>566</v>
      </c>
      <c r="D175" s="24" t="s">
        <v>30</v>
      </c>
      <c r="E175" s="62" t="s">
        <v>567</v>
      </c>
      <c r="F175" s="62" t="s">
        <v>25</v>
      </c>
      <c r="G175" s="143">
        <v>4400</v>
      </c>
      <c r="H175" s="63" t="s">
        <v>26</v>
      </c>
      <c r="I175" s="63" t="s">
        <v>568</v>
      </c>
      <c r="J175" s="62"/>
      <c r="K175" s="62"/>
      <c r="L175" s="51">
        <v>305</v>
      </c>
      <c r="M175" s="51">
        <v>518357</v>
      </c>
      <c r="N175" s="30">
        <v>0</v>
      </c>
      <c r="O175" s="52">
        <v>0</v>
      </c>
      <c r="P175" s="52">
        <v>0</v>
      </c>
      <c r="Q175" s="29">
        <v>0</v>
      </c>
      <c r="R175" s="29">
        <v>518357</v>
      </c>
      <c r="S175" s="29">
        <v>3000</v>
      </c>
      <c r="T175" s="29">
        <f t="shared" si="9"/>
        <v>521357</v>
      </c>
    </row>
    <row r="176" spans="1:20" ht="21" customHeight="1" x14ac:dyDescent="0.25">
      <c r="A176" s="21">
        <v>145</v>
      </c>
      <c r="B176" s="63" t="s">
        <v>569</v>
      </c>
      <c r="C176" s="62" t="s">
        <v>570</v>
      </c>
      <c r="D176" s="24" t="s">
        <v>30</v>
      </c>
      <c r="E176" s="62" t="s">
        <v>567</v>
      </c>
      <c r="F176" s="62" t="s">
        <v>25</v>
      </c>
      <c r="G176" s="143">
        <v>7700</v>
      </c>
      <c r="H176" s="63" t="s">
        <v>26</v>
      </c>
      <c r="I176" s="63" t="s">
        <v>571</v>
      </c>
      <c r="J176" s="62"/>
      <c r="K176" s="62"/>
      <c r="L176" s="51">
        <v>1201</v>
      </c>
      <c r="M176" s="51">
        <v>2041136</v>
      </c>
      <c r="N176" s="30">
        <v>0</v>
      </c>
      <c r="O176" s="52">
        <v>0</v>
      </c>
      <c r="P176" s="52">
        <v>0</v>
      </c>
      <c r="Q176" s="29">
        <v>0</v>
      </c>
      <c r="R176" s="29">
        <v>2041136</v>
      </c>
      <c r="S176" s="29">
        <v>3000</v>
      </c>
      <c r="T176" s="29">
        <f t="shared" si="9"/>
        <v>2044136</v>
      </c>
    </row>
    <row r="177" spans="1:20" ht="21" customHeight="1" x14ac:dyDescent="0.25">
      <c r="A177" s="21">
        <v>146</v>
      </c>
      <c r="B177" s="63" t="s">
        <v>572</v>
      </c>
      <c r="C177" s="62" t="s">
        <v>573</v>
      </c>
      <c r="D177" s="24" t="s">
        <v>30</v>
      </c>
      <c r="E177" s="62" t="s">
        <v>263</v>
      </c>
      <c r="F177" s="62" t="s">
        <v>25</v>
      </c>
      <c r="G177" s="143">
        <v>5500</v>
      </c>
      <c r="H177" s="63" t="s">
        <v>26</v>
      </c>
      <c r="I177" s="63" t="s">
        <v>574</v>
      </c>
      <c r="J177" s="62"/>
      <c r="K177" s="62"/>
      <c r="L177" s="51">
        <v>645</v>
      </c>
      <c r="M177" s="51">
        <v>1096197</v>
      </c>
      <c r="N177" s="30">
        <v>0</v>
      </c>
      <c r="O177" s="52">
        <v>0</v>
      </c>
      <c r="P177" s="52">
        <v>0</v>
      </c>
      <c r="Q177" s="29">
        <v>0</v>
      </c>
      <c r="R177" s="29">
        <v>1096197</v>
      </c>
      <c r="S177" s="29">
        <v>3000</v>
      </c>
      <c r="T177" s="29">
        <f t="shared" si="9"/>
        <v>1099197</v>
      </c>
    </row>
    <row r="178" spans="1:20" ht="21" customHeight="1" x14ac:dyDescent="0.25">
      <c r="A178" s="21">
        <v>147</v>
      </c>
      <c r="B178" s="63" t="s">
        <v>575</v>
      </c>
      <c r="C178" s="62" t="s">
        <v>576</v>
      </c>
      <c r="D178" s="24" t="s">
        <v>30</v>
      </c>
      <c r="E178" s="62" t="s">
        <v>263</v>
      </c>
      <c r="F178" s="62" t="s">
        <v>25</v>
      </c>
      <c r="G178" s="143">
        <v>5500</v>
      </c>
      <c r="H178" s="63" t="s">
        <v>26</v>
      </c>
      <c r="I178" s="63" t="s">
        <v>577</v>
      </c>
      <c r="J178" s="62"/>
      <c r="K178" s="62"/>
      <c r="L178" s="51">
        <v>1148</v>
      </c>
      <c r="M178" s="51">
        <v>1951060</v>
      </c>
      <c r="N178" s="30">
        <v>0</v>
      </c>
      <c r="O178" s="52">
        <v>0</v>
      </c>
      <c r="P178" s="52">
        <v>0</v>
      </c>
      <c r="Q178" s="29">
        <v>0</v>
      </c>
      <c r="R178" s="29">
        <v>1951060</v>
      </c>
      <c r="S178" s="29">
        <v>3000</v>
      </c>
      <c r="T178" s="29">
        <f t="shared" si="9"/>
        <v>1954060</v>
      </c>
    </row>
    <row r="179" spans="1:20" ht="21" customHeight="1" x14ac:dyDescent="0.25">
      <c r="A179" s="21">
        <v>148</v>
      </c>
      <c r="B179" s="63" t="s">
        <v>578</v>
      </c>
      <c r="C179" s="62" t="s">
        <v>579</v>
      </c>
      <c r="D179" s="24" t="s">
        <v>30</v>
      </c>
      <c r="E179" s="62" t="s">
        <v>274</v>
      </c>
      <c r="F179" s="62" t="s">
        <v>25</v>
      </c>
      <c r="G179" s="143">
        <v>4400</v>
      </c>
      <c r="H179" s="63" t="s">
        <v>26</v>
      </c>
      <c r="I179" s="63" t="s">
        <v>580</v>
      </c>
      <c r="J179" s="62"/>
      <c r="K179" s="62"/>
      <c r="L179" s="51">
        <v>790</v>
      </c>
      <c r="M179" s="51">
        <v>1342629</v>
      </c>
      <c r="N179" s="30">
        <v>0</v>
      </c>
      <c r="O179" s="52">
        <v>0</v>
      </c>
      <c r="P179" s="52">
        <v>0</v>
      </c>
      <c r="Q179" s="29">
        <v>0</v>
      </c>
      <c r="R179" s="29">
        <v>1342629</v>
      </c>
      <c r="S179" s="29">
        <v>3000</v>
      </c>
      <c r="T179" s="29">
        <f t="shared" si="9"/>
        <v>1345629</v>
      </c>
    </row>
    <row r="180" spans="1:20" ht="21" customHeight="1" x14ac:dyDescent="0.25">
      <c r="A180" s="21">
        <v>149</v>
      </c>
      <c r="B180" s="63" t="s">
        <v>581</v>
      </c>
      <c r="C180" s="62" t="s">
        <v>503</v>
      </c>
      <c r="D180" s="24" t="s">
        <v>30</v>
      </c>
      <c r="E180" s="62" t="s">
        <v>504</v>
      </c>
      <c r="F180" s="62" t="s">
        <v>25</v>
      </c>
      <c r="G180" s="143">
        <v>640</v>
      </c>
      <c r="H180" s="63" t="s">
        <v>26</v>
      </c>
      <c r="I180" s="63" t="s">
        <v>582</v>
      </c>
      <c r="J180" s="62"/>
      <c r="K180" s="62"/>
      <c r="L180" s="51">
        <v>26</v>
      </c>
      <c r="M180" s="51">
        <v>44188</v>
      </c>
      <c r="N180" s="30">
        <v>0</v>
      </c>
      <c r="O180" s="52">
        <v>0</v>
      </c>
      <c r="P180" s="52">
        <v>0</v>
      </c>
      <c r="Q180" s="29">
        <v>0</v>
      </c>
      <c r="R180" s="29">
        <v>44188</v>
      </c>
      <c r="S180" s="29">
        <v>3000</v>
      </c>
      <c r="T180" s="29">
        <f t="shared" si="9"/>
        <v>47188</v>
      </c>
    </row>
    <row r="181" spans="1:20" ht="21" customHeight="1" x14ac:dyDescent="0.25">
      <c r="A181" s="21">
        <v>150</v>
      </c>
      <c r="B181" s="63" t="s">
        <v>583</v>
      </c>
      <c r="C181" s="62" t="s">
        <v>584</v>
      </c>
      <c r="D181" s="24" t="s">
        <v>30</v>
      </c>
      <c r="E181" s="62" t="s">
        <v>363</v>
      </c>
      <c r="F181" s="62" t="s">
        <v>25</v>
      </c>
      <c r="G181" s="143">
        <v>1360</v>
      </c>
      <c r="H181" s="63" t="s">
        <v>26</v>
      </c>
      <c r="I181" s="63" t="s">
        <v>585</v>
      </c>
      <c r="J181" s="62"/>
      <c r="K181" s="62"/>
      <c r="L181" s="51">
        <v>54</v>
      </c>
      <c r="M181" s="51">
        <v>91775</v>
      </c>
      <c r="N181" s="30">
        <v>0</v>
      </c>
      <c r="O181" s="52">
        <v>0</v>
      </c>
      <c r="P181" s="52">
        <v>0</v>
      </c>
      <c r="Q181" s="29">
        <v>0</v>
      </c>
      <c r="R181" s="29">
        <v>91775</v>
      </c>
      <c r="S181" s="29">
        <v>3000</v>
      </c>
      <c r="T181" s="29">
        <f t="shared" si="9"/>
        <v>94775</v>
      </c>
    </row>
    <row r="182" spans="1:20" ht="21" customHeight="1" x14ac:dyDescent="0.25">
      <c r="A182" s="21">
        <v>151</v>
      </c>
      <c r="B182" s="63" t="s">
        <v>586</v>
      </c>
      <c r="C182" s="62" t="s">
        <v>587</v>
      </c>
      <c r="D182" s="24" t="s">
        <v>30</v>
      </c>
      <c r="E182" s="62" t="s">
        <v>588</v>
      </c>
      <c r="F182" s="62" t="s">
        <v>25</v>
      </c>
      <c r="G182" s="143">
        <v>7700</v>
      </c>
      <c r="H182" s="63" t="s">
        <v>26</v>
      </c>
      <c r="I182" s="63" t="s">
        <v>589</v>
      </c>
      <c r="J182" s="62"/>
      <c r="K182" s="62"/>
      <c r="L182" s="51">
        <v>573</v>
      </c>
      <c r="M182" s="51">
        <v>973831</v>
      </c>
      <c r="N182" s="30">
        <v>0</v>
      </c>
      <c r="O182" s="52">
        <v>0</v>
      </c>
      <c r="P182" s="52">
        <v>0</v>
      </c>
      <c r="Q182" s="29">
        <v>0</v>
      </c>
      <c r="R182" s="29">
        <v>973831</v>
      </c>
      <c r="S182" s="29">
        <v>3000</v>
      </c>
      <c r="T182" s="29">
        <f t="shared" si="9"/>
        <v>976831</v>
      </c>
    </row>
    <row r="183" spans="1:20" ht="21" customHeight="1" x14ac:dyDescent="0.25">
      <c r="A183" s="21">
        <v>152</v>
      </c>
      <c r="B183" s="63" t="s">
        <v>590</v>
      </c>
      <c r="C183" s="62" t="s">
        <v>591</v>
      </c>
      <c r="D183" s="24" t="s">
        <v>23</v>
      </c>
      <c r="E183" s="62" t="s">
        <v>592</v>
      </c>
      <c r="F183" s="62" t="s">
        <v>25</v>
      </c>
      <c r="G183" s="143">
        <v>10600</v>
      </c>
      <c r="H183" s="63" t="s">
        <v>26</v>
      </c>
      <c r="I183" s="63" t="s">
        <v>593</v>
      </c>
      <c r="J183" s="62"/>
      <c r="K183" s="62"/>
      <c r="L183" s="51">
        <v>847</v>
      </c>
      <c r="M183" s="51">
        <v>1439502</v>
      </c>
      <c r="N183" s="30">
        <v>0</v>
      </c>
      <c r="O183" s="52">
        <v>0</v>
      </c>
      <c r="P183" s="52">
        <v>0</v>
      </c>
      <c r="Q183" s="29">
        <v>0</v>
      </c>
      <c r="R183" s="29">
        <v>1439502</v>
      </c>
      <c r="S183" s="29">
        <v>3000</v>
      </c>
      <c r="T183" s="29">
        <f t="shared" si="9"/>
        <v>1442502</v>
      </c>
    </row>
    <row r="184" spans="1:20" ht="21" customHeight="1" x14ac:dyDescent="0.25">
      <c r="A184" s="21">
        <v>153</v>
      </c>
      <c r="B184" s="63" t="s">
        <v>594</v>
      </c>
      <c r="C184" s="62" t="s">
        <v>595</v>
      </c>
      <c r="D184" s="24" t="s">
        <v>23</v>
      </c>
      <c r="E184" s="62" t="s">
        <v>596</v>
      </c>
      <c r="F184" s="62" t="s">
        <v>25</v>
      </c>
      <c r="G184" s="143">
        <v>13200</v>
      </c>
      <c r="H184" s="63" t="s">
        <v>26</v>
      </c>
      <c r="I184" s="63" t="s">
        <v>597</v>
      </c>
      <c r="J184" s="62"/>
      <c r="K184" s="62"/>
      <c r="L184" s="51">
        <v>1092</v>
      </c>
      <c r="M184" s="51">
        <v>1855887</v>
      </c>
      <c r="N184" s="30">
        <v>0</v>
      </c>
      <c r="O184" s="52">
        <v>0</v>
      </c>
      <c r="P184" s="52">
        <v>0</v>
      </c>
      <c r="Q184" s="29">
        <v>0</v>
      </c>
      <c r="R184" s="29">
        <v>1855887</v>
      </c>
      <c r="S184" s="29">
        <v>3000</v>
      </c>
      <c r="T184" s="29">
        <f t="shared" si="9"/>
        <v>1858887</v>
      </c>
    </row>
    <row r="185" spans="1:20" ht="21" customHeight="1" x14ac:dyDescent="0.25">
      <c r="A185" s="21">
        <v>154</v>
      </c>
      <c r="B185" s="63" t="s">
        <v>598</v>
      </c>
      <c r="C185" s="62" t="s">
        <v>599</v>
      </c>
      <c r="D185" s="24" t="s">
        <v>30</v>
      </c>
      <c r="E185" s="62" t="s">
        <v>596</v>
      </c>
      <c r="F185" s="62" t="s">
        <v>25</v>
      </c>
      <c r="G185" s="143">
        <v>13200</v>
      </c>
      <c r="H185" s="63" t="s">
        <v>26</v>
      </c>
      <c r="I185" s="63" t="s">
        <v>600</v>
      </c>
      <c r="J185" s="62"/>
      <c r="K185" s="62"/>
      <c r="L185" s="51">
        <v>1886</v>
      </c>
      <c r="M185" s="51">
        <v>3205314</v>
      </c>
      <c r="N185" s="30">
        <v>0</v>
      </c>
      <c r="O185" s="52">
        <v>0</v>
      </c>
      <c r="P185" s="52">
        <v>0</v>
      </c>
      <c r="Q185" s="29">
        <v>0</v>
      </c>
      <c r="R185" s="29">
        <v>3205314</v>
      </c>
      <c r="S185" s="29">
        <v>3000</v>
      </c>
      <c r="T185" s="29">
        <f t="shared" si="9"/>
        <v>3208314</v>
      </c>
    </row>
    <row r="186" spans="1:20" ht="21" customHeight="1" x14ac:dyDescent="0.25">
      <c r="A186" s="21">
        <v>155</v>
      </c>
      <c r="B186" s="63" t="s">
        <v>601</v>
      </c>
      <c r="C186" s="62" t="s">
        <v>602</v>
      </c>
      <c r="D186" s="24" t="s">
        <v>30</v>
      </c>
      <c r="E186" s="62" t="s">
        <v>603</v>
      </c>
      <c r="F186" s="62" t="s">
        <v>25</v>
      </c>
      <c r="G186" s="143">
        <v>13200</v>
      </c>
      <c r="H186" s="63" t="s">
        <v>26</v>
      </c>
      <c r="I186" s="63" t="s">
        <v>604</v>
      </c>
      <c r="J186" s="62"/>
      <c r="K186" s="62"/>
      <c r="L186" s="51">
        <v>1316</v>
      </c>
      <c r="M186" s="51">
        <v>2236581</v>
      </c>
      <c r="N186" s="30">
        <v>0</v>
      </c>
      <c r="O186" s="52">
        <v>0</v>
      </c>
      <c r="P186" s="52">
        <v>0</v>
      </c>
      <c r="Q186" s="29">
        <v>0</v>
      </c>
      <c r="R186" s="29">
        <v>2236581</v>
      </c>
      <c r="S186" s="29">
        <v>3000</v>
      </c>
      <c r="T186" s="29">
        <f t="shared" si="9"/>
        <v>2239581</v>
      </c>
    </row>
    <row r="187" spans="1:20" ht="21" customHeight="1" x14ac:dyDescent="0.25">
      <c r="A187" s="21">
        <v>156</v>
      </c>
      <c r="B187" s="63" t="s">
        <v>605</v>
      </c>
      <c r="C187" s="62" t="s">
        <v>606</v>
      </c>
      <c r="D187" s="24" t="s">
        <v>23</v>
      </c>
      <c r="E187" s="62" t="s">
        <v>607</v>
      </c>
      <c r="F187" s="62" t="s">
        <v>25</v>
      </c>
      <c r="G187" s="143">
        <v>4400</v>
      </c>
      <c r="H187" s="63" t="s">
        <v>26</v>
      </c>
      <c r="I187" s="63" t="s">
        <v>608</v>
      </c>
      <c r="J187" s="62"/>
      <c r="K187" s="62"/>
      <c r="L187" s="51">
        <v>575</v>
      </c>
      <c r="M187" s="51">
        <v>977230</v>
      </c>
      <c r="N187" s="30">
        <v>0</v>
      </c>
      <c r="O187" s="52">
        <v>0</v>
      </c>
      <c r="P187" s="52">
        <v>0</v>
      </c>
      <c r="Q187" s="29">
        <v>0</v>
      </c>
      <c r="R187" s="29">
        <v>977230</v>
      </c>
      <c r="S187" s="29">
        <v>3000</v>
      </c>
      <c r="T187" s="29">
        <f t="shared" si="9"/>
        <v>980230</v>
      </c>
    </row>
    <row r="188" spans="1:20" ht="21" customHeight="1" x14ac:dyDescent="0.25">
      <c r="A188" s="21">
        <v>157</v>
      </c>
      <c r="B188" s="63" t="s">
        <v>609</v>
      </c>
      <c r="C188" s="62" t="s">
        <v>378</v>
      </c>
      <c r="D188" s="24" t="s">
        <v>30</v>
      </c>
      <c r="E188" s="62" t="s">
        <v>95</v>
      </c>
      <c r="F188" s="62" t="s">
        <v>25</v>
      </c>
      <c r="G188" s="143">
        <v>4400</v>
      </c>
      <c r="H188" s="63" t="s">
        <v>26</v>
      </c>
      <c r="I188" s="63" t="s">
        <v>610</v>
      </c>
      <c r="J188" s="62"/>
      <c r="K188" s="62"/>
      <c r="L188" s="51">
        <v>1118</v>
      </c>
      <c r="M188" s="51">
        <v>1900075</v>
      </c>
      <c r="N188" s="30">
        <v>0</v>
      </c>
      <c r="O188" s="52">
        <v>0</v>
      </c>
      <c r="P188" s="52">
        <v>0</v>
      </c>
      <c r="Q188" s="29">
        <v>0</v>
      </c>
      <c r="R188" s="29">
        <v>1900075</v>
      </c>
      <c r="S188" s="29">
        <v>3000</v>
      </c>
      <c r="T188" s="29">
        <f t="shared" si="9"/>
        <v>1903075</v>
      </c>
    </row>
    <row r="189" spans="1:20" ht="21" customHeight="1" x14ac:dyDescent="0.25">
      <c r="A189" s="21">
        <v>158</v>
      </c>
      <c r="B189" s="63" t="s">
        <v>611</v>
      </c>
      <c r="C189" s="62" t="s">
        <v>612</v>
      </c>
      <c r="D189" s="24" t="s">
        <v>23</v>
      </c>
      <c r="E189" s="62" t="s">
        <v>292</v>
      </c>
      <c r="F189" s="62" t="s">
        <v>25</v>
      </c>
      <c r="G189" s="143">
        <v>4400</v>
      </c>
      <c r="H189" s="63" t="s">
        <v>26</v>
      </c>
      <c r="I189" s="63" t="s">
        <v>613</v>
      </c>
      <c r="J189" s="62"/>
      <c r="K189" s="62"/>
      <c r="L189" s="51">
        <v>1279</v>
      </c>
      <c r="M189" s="51">
        <v>2173699</v>
      </c>
      <c r="N189" s="30">
        <v>0</v>
      </c>
      <c r="O189" s="52">
        <v>0</v>
      </c>
      <c r="P189" s="52">
        <v>0</v>
      </c>
      <c r="Q189" s="29">
        <v>0</v>
      </c>
      <c r="R189" s="29">
        <v>2173699</v>
      </c>
      <c r="S189" s="29">
        <v>3000</v>
      </c>
      <c r="T189" s="29">
        <f t="shared" si="9"/>
        <v>2176699</v>
      </c>
    </row>
    <row r="190" spans="1:20" ht="21" customHeight="1" x14ac:dyDescent="0.25">
      <c r="A190" s="21">
        <v>159</v>
      </c>
      <c r="B190" s="63" t="s">
        <v>614</v>
      </c>
      <c r="C190" s="62" t="s">
        <v>615</v>
      </c>
      <c r="D190" s="24" t="s">
        <v>23</v>
      </c>
      <c r="E190" s="62" t="s">
        <v>616</v>
      </c>
      <c r="F190" s="62" t="s">
        <v>25</v>
      </c>
      <c r="G190" s="143">
        <v>4400</v>
      </c>
      <c r="H190" s="63" t="s">
        <v>26</v>
      </c>
      <c r="I190" s="63" t="s">
        <v>617</v>
      </c>
      <c r="J190" s="62"/>
      <c r="K190" s="62"/>
      <c r="L190" s="51">
        <v>1203</v>
      </c>
      <c r="M190" s="51">
        <v>2044535</v>
      </c>
      <c r="N190" s="30">
        <v>0</v>
      </c>
      <c r="O190" s="52">
        <v>0</v>
      </c>
      <c r="P190" s="52">
        <v>0</v>
      </c>
      <c r="Q190" s="29">
        <v>0</v>
      </c>
      <c r="R190" s="29">
        <v>2044535</v>
      </c>
      <c r="S190" s="29">
        <v>3000</v>
      </c>
      <c r="T190" s="29">
        <f t="shared" si="9"/>
        <v>2047535</v>
      </c>
    </row>
    <row r="191" spans="1:20" ht="21" customHeight="1" x14ac:dyDescent="0.25">
      <c r="A191" s="21">
        <v>160</v>
      </c>
      <c r="B191" s="63" t="s">
        <v>618</v>
      </c>
      <c r="C191" s="62" t="s">
        <v>438</v>
      </c>
      <c r="D191" s="24" t="s">
        <v>30</v>
      </c>
      <c r="E191" s="62" t="s">
        <v>439</v>
      </c>
      <c r="F191" s="62" t="s">
        <v>25</v>
      </c>
      <c r="G191" s="143">
        <v>3500</v>
      </c>
      <c r="H191" s="63" t="s">
        <v>26</v>
      </c>
      <c r="I191" s="63" t="s">
        <v>619</v>
      </c>
      <c r="J191" s="62"/>
      <c r="K191" s="62"/>
      <c r="L191" s="51">
        <v>1188</v>
      </c>
      <c r="M191" s="51">
        <v>2019042</v>
      </c>
      <c r="N191" s="30">
        <v>0</v>
      </c>
      <c r="O191" s="52">
        <v>0</v>
      </c>
      <c r="P191" s="52">
        <v>0</v>
      </c>
      <c r="Q191" s="29">
        <v>0</v>
      </c>
      <c r="R191" s="29">
        <v>2019042</v>
      </c>
      <c r="S191" s="29">
        <v>3000</v>
      </c>
      <c r="T191" s="29">
        <f t="shared" si="9"/>
        <v>2022042</v>
      </c>
    </row>
    <row r="192" spans="1:20" ht="21" customHeight="1" x14ac:dyDescent="0.25">
      <c r="A192" s="21"/>
      <c r="B192" s="63"/>
      <c r="C192" s="62"/>
      <c r="D192" s="24"/>
      <c r="E192" s="62"/>
      <c r="F192" s="62"/>
      <c r="G192" s="143"/>
      <c r="H192" s="63"/>
      <c r="I192" s="63"/>
      <c r="J192" s="62"/>
      <c r="K192" s="62"/>
      <c r="L192" s="51"/>
      <c r="M192" s="51"/>
      <c r="N192" s="30"/>
      <c r="O192" s="52"/>
      <c r="P192" s="52"/>
      <c r="Q192" s="29"/>
      <c r="R192" s="29"/>
      <c r="S192" s="29"/>
      <c r="T192" s="29"/>
    </row>
    <row r="193" spans="1:20" s="35" customFormat="1" ht="36" customHeight="1" x14ac:dyDescent="0.25">
      <c r="A193" s="164" t="s">
        <v>179</v>
      </c>
      <c r="B193" s="164"/>
      <c r="C193" s="164"/>
      <c r="D193" s="164"/>
      <c r="E193" s="164"/>
      <c r="F193" s="164"/>
      <c r="G193" s="46">
        <v>826780</v>
      </c>
      <c r="H193" s="46">
        <v>0</v>
      </c>
      <c r="I193" s="46">
        <v>0</v>
      </c>
      <c r="J193" s="46"/>
      <c r="K193" s="46"/>
      <c r="L193" s="46">
        <v>217419</v>
      </c>
      <c r="M193" s="47">
        <v>369510117</v>
      </c>
      <c r="N193" s="48">
        <v>0</v>
      </c>
      <c r="O193" s="48">
        <v>0</v>
      </c>
      <c r="P193" s="48">
        <v>0</v>
      </c>
      <c r="Q193" s="47">
        <f>SUM(Q151:Q191)</f>
        <v>30000</v>
      </c>
      <c r="R193" s="47">
        <f t="shared" ref="R193:T193" si="10">SUM(R151:R191)</f>
        <v>369540117</v>
      </c>
      <c r="S193" s="47">
        <f t="shared" si="10"/>
        <v>480000</v>
      </c>
      <c r="T193" s="47">
        <f t="shared" si="10"/>
        <v>370020117</v>
      </c>
    </row>
    <row r="194" spans="1:20" ht="21" customHeight="1" x14ac:dyDescent="0.25">
      <c r="C194" s="15"/>
      <c r="D194" s="15"/>
      <c r="E194" s="15"/>
      <c r="G194" s="53"/>
      <c r="L194" s="41"/>
    </row>
    <row r="195" spans="1:20" ht="21" customHeight="1" x14ac:dyDescent="0.25">
      <c r="C195" s="15"/>
      <c r="D195" s="15"/>
      <c r="E195" s="15"/>
      <c r="G195" s="53"/>
      <c r="L195" s="41"/>
    </row>
    <row r="196" spans="1:20" s="93" customFormat="1" ht="42" customHeight="1" x14ac:dyDescent="0.25">
      <c r="A196" s="31" t="s">
        <v>4</v>
      </c>
      <c r="B196" s="31" t="s">
        <v>5</v>
      </c>
      <c r="C196" s="31" t="s">
        <v>6</v>
      </c>
      <c r="D196" s="22"/>
      <c r="E196" s="31" t="s">
        <v>7</v>
      </c>
      <c r="F196" s="31" t="s">
        <v>8</v>
      </c>
      <c r="G196" s="31" t="s">
        <v>9</v>
      </c>
      <c r="H196" s="31" t="s">
        <v>10</v>
      </c>
      <c r="I196" s="31" t="s">
        <v>11</v>
      </c>
      <c r="J196" s="31" t="s">
        <v>12</v>
      </c>
      <c r="K196" s="31" t="s">
        <v>13</v>
      </c>
      <c r="L196" s="31" t="s">
        <v>14</v>
      </c>
      <c r="M196" s="141" t="s">
        <v>15</v>
      </c>
      <c r="N196" s="142" t="s">
        <v>16</v>
      </c>
      <c r="O196" s="142" t="s">
        <v>17</v>
      </c>
      <c r="P196" s="142" t="s">
        <v>18</v>
      </c>
      <c r="Q196" s="141" t="s">
        <v>19</v>
      </c>
      <c r="R196" s="141" t="s">
        <v>20</v>
      </c>
      <c r="S196" s="141" t="s">
        <v>3655</v>
      </c>
      <c r="T196" s="141" t="s">
        <v>3656</v>
      </c>
    </row>
    <row r="197" spans="1:20" ht="21" customHeight="1" x14ac:dyDescent="0.25">
      <c r="A197" s="24"/>
      <c r="B197" s="25"/>
      <c r="C197" s="25"/>
      <c r="D197" s="25"/>
      <c r="E197" s="25"/>
      <c r="F197" s="25"/>
      <c r="G197" s="25"/>
      <c r="H197" s="25"/>
      <c r="I197" s="25" t="s">
        <v>0</v>
      </c>
      <c r="J197" s="25"/>
      <c r="K197" s="25"/>
      <c r="L197" s="28" t="s">
        <v>0</v>
      </c>
      <c r="M197" s="29"/>
      <c r="N197" s="30"/>
      <c r="O197" s="30"/>
      <c r="P197" s="30"/>
      <c r="Q197" s="29"/>
      <c r="R197" s="29"/>
      <c r="S197" s="29"/>
      <c r="T197" s="29"/>
    </row>
    <row r="198" spans="1:20" ht="21" customHeight="1" x14ac:dyDescent="0.25">
      <c r="A198" s="24"/>
      <c r="B198" s="25"/>
      <c r="C198" s="50"/>
      <c r="D198" s="50"/>
      <c r="E198" s="45" t="s">
        <v>181</v>
      </c>
      <c r="F198" s="25"/>
      <c r="G198" s="46">
        <v>826780</v>
      </c>
      <c r="H198" s="46">
        <v>0</v>
      </c>
      <c r="I198" s="46">
        <v>0</v>
      </c>
      <c r="J198" s="46"/>
      <c r="K198" s="46"/>
      <c r="L198" s="46">
        <v>217419</v>
      </c>
      <c r="M198" s="42">
        <v>369510117</v>
      </c>
      <c r="N198" s="43">
        <v>0</v>
      </c>
      <c r="O198" s="43">
        <v>0</v>
      </c>
      <c r="P198" s="43">
        <v>0</v>
      </c>
      <c r="Q198" s="42">
        <f>Q193</f>
        <v>30000</v>
      </c>
      <c r="R198" s="42">
        <f t="shared" ref="R198:T198" si="11">R193</f>
        <v>369540117</v>
      </c>
      <c r="S198" s="42">
        <f t="shared" si="11"/>
        <v>480000</v>
      </c>
      <c r="T198" s="42">
        <f t="shared" si="11"/>
        <v>370020117</v>
      </c>
    </row>
    <row r="199" spans="1:20" ht="21" customHeight="1" x14ac:dyDescent="0.25">
      <c r="A199" s="21">
        <v>161</v>
      </c>
      <c r="B199" s="61" t="s">
        <v>620</v>
      </c>
      <c r="C199" s="62" t="s">
        <v>531</v>
      </c>
      <c r="D199" s="24" t="s">
        <v>23</v>
      </c>
      <c r="E199" s="62" t="s">
        <v>532</v>
      </c>
      <c r="F199" s="62" t="s">
        <v>25</v>
      </c>
      <c r="G199" s="143">
        <v>3500</v>
      </c>
      <c r="H199" s="63" t="s">
        <v>26</v>
      </c>
      <c r="I199" s="63" t="s">
        <v>621</v>
      </c>
      <c r="J199" s="62"/>
      <c r="K199" s="62"/>
      <c r="L199" s="51">
        <v>1117</v>
      </c>
      <c r="M199" s="54">
        <v>1898375</v>
      </c>
      <c r="N199" s="30">
        <v>0</v>
      </c>
      <c r="O199" s="52">
        <v>0</v>
      </c>
      <c r="P199" s="52">
        <v>0</v>
      </c>
      <c r="Q199" s="29">
        <v>0</v>
      </c>
      <c r="R199" s="29">
        <v>1898375</v>
      </c>
      <c r="S199" s="29">
        <v>3000</v>
      </c>
      <c r="T199" s="29">
        <f t="shared" ref="T199:T238" si="12">R199+S199</f>
        <v>1901375</v>
      </c>
    </row>
    <row r="200" spans="1:20" ht="21" customHeight="1" x14ac:dyDescent="0.25">
      <c r="A200" s="21">
        <v>162</v>
      </c>
      <c r="B200" s="61" t="s">
        <v>622</v>
      </c>
      <c r="C200" s="62" t="s">
        <v>623</v>
      </c>
      <c r="D200" s="24" t="s">
        <v>23</v>
      </c>
      <c r="E200" s="62" t="s">
        <v>624</v>
      </c>
      <c r="F200" s="62" t="s">
        <v>25</v>
      </c>
      <c r="G200" s="143">
        <v>5500</v>
      </c>
      <c r="H200" s="63" t="s">
        <v>26</v>
      </c>
      <c r="I200" s="63" t="s">
        <v>625</v>
      </c>
      <c r="J200" s="62"/>
      <c r="K200" s="62"/>
      <c r="L200" s="51">
        <v>1300</v>
      </c>
      <c r="M200" s="54">
        <v>2209389</v>
      </c>
      <c r="N200" s="30">
        <v>0</v>
      </c>
      <c r="O200" s="52">
        <v>0</v>
      </c>
      <c r="P200" s="52">
        <v>0</v>
      </c>
      <c r="Q200" s="29">
        <v>0</v>
      </c>
      <c r="R200" s="29">
        <v>2209389</v>
      </c>
      <c r="S200" s="29">
        <v>3000</v>
      </c>
      <c r="T200" s="29">
        <f t="shared" si="12"/>
        <v>2212389</v>
      </c>
    </row>
    <row r="201" spans="1:20" ht="21" customHeight="1" x14ac:dyDescent="0.25">
      <c r="A201" s="21">
        <v>163</v>
      </c>
      <c r="B201" s="61" t="s">
        <v>626</v>
      </c>
      <c r="C201" s="62" t="s">
        <v>627</v>
      </c>
      <c r="D201" s="24" t="s">
        <v>23</v>
      </c>
      <c r="E201" s="62" t="s">
        <v>409</v>
      </c>
      <c r="F201" s="62" t="s">
        <v>25</v>
      </c>
      <c r="G201" s="143">
        <v>11000</v>
      </c>
      <c r="H201" s="63" t="s">
        <v>26</v>
      </c>
      <c r="I201" s="63" t="s">
        <v>628</v>
      </c>
      <c r="J201" s="62"/>
      <c r="K201" s="62"/>
      <c r="L201" s="51">
        <v>2325</v>
      </c>
      <c r="M201" s="54">
        <v>3951407</v>
      </c>
      <c r="N201" s="30">
        <v>0</v>
      </c>
      <c r="O201" s="52">
        <v>0</v>
      </c>
      <c r="P201" s="52">
        <v>0</v>
      </c>
      <c r="Q201" s="29">
        <v>0</v>
      </c>
      <c r="R201" s="29">
        <v>3951407</v>
      </c>
      <c r="S201" s="29">
        <v>3000</v>
      </c>
      <c r="T201" s="29">
        <f t="shared" si="12"/>
        <v>3954407</v>
      </c>
    </row>
    <row r="202" spans="1:20" ht="21" customHeight="1" x14ac:dyDescent="0.25">
      <c r="A202" s="21">
        <v>164</v>
      </c>
      <c r="B202" s="61" t="s">
        <v>629</v>
      </c>
      <c r="C202" s="62" t="s">
        <v>630</v>
      </c>
      <c r="D202" s="24" t="s">
        <v>23</v>
      </c>
      <c r="E202" s="62" t="s">
        <v>631</v>
      </c>
      <c r="F202" s="62" t="s">
        <v>25</v>
      </c>
      <c r="G202" s="143">
        <v>4400</v>
      </c>
      <c r="H202" s="63" t="s">
        <v>26</v>
      </c>
      <c r="I202" s="63" t="s">
        <v>632</v>
      </c>
      <c r="J202" s="62"/>
      <c r="K202" s="62"/>
      <c r="L202" s="51">
        <v>1165</v>
      </c>
      <c r="M202" s="54">
        <v>1979952</v>
      </c>
      <c r="N202" s="30">
        <v>0</v>
      </c>
      <c r="O202" s="52">
        <v>0</v>
      </c>
      <c r="P202" s="52">
        <v>0</v>
      </c>
      <c r="Q202" s="29">
        <v>0</v>
      </c>
      <c r="R202" s="29">
        <v>1979952</v>
      </c>
      <c r="S202" s="29">
        <v>3000</v>
      </c>
      <c r="T202" s="29">
        <f t="shared" si="12"/>
        <v>1982952</v>
      </c>
    </row>
    <row r="203" spans="1:20" ht="21" customHeight="1" x14ac:dyDescent="0.25">
      <c r="A203" s="21">
        <v>165</v>
      </c>
      <c r="B203" s="61" t="s">
        <v>633</v>
      </c>
      <c r="C203" s="62" t="s">
        <v>634</v>
      </c>
      <c r="D203" s="24" t="s">
        <v>23</v>
      </c>
      <c r="E203" s="62" t="s">
        <v>161</v>
      </c>
      <c r="F203" s="62" t="s">
        <v>25</v>
      </c>
      <c r="G203" s="143">
        <v>4400</v>
      </c>
      <c r="H203" s="63" t="s">
        <v>26</v>
      </c>
      <c r="I203" s="63" t="s">
        <v>635</v>
      </c>
      <c r="J203" s="62"/>
      <c r="K203" s="62"/>
      <c r="L203" s="51">
        <v>176</v>
      </c>
      <c r="M203" s="54">
        <v>299117</v>
      </c>
      <c r="N203" s="30">
        <v>0</v>
      </c>
      <c r="O203" s="52">
        <v>0</v>
      </c>
      <c r="P203" s="52">
        <v>0</v>
      </c>
      <c r="Q203" s="29">
        <v>0</v>
      </c>
      <c r="R203" s="29">
        <v>299117</v>
      </c>
      <c r="S203" s="29">
        <v>3000</v>
      </c>
      <c r="T203" s="29">
        <f t="shared" si="12"/>
        <v>302117</v>
      </c>
    </row>
    <row r="204" spans="1:20" ht="21" customHeight="1" x14ac:dyDescent="0.25">
      <c r="A204" s="21">
        <v>166</v>
      </c>
      <c r="B204" s="61" t="s">
        <v>636</v>
      </c>
      <c r="C204" s="62" t="s">
        <v>637</v>
      </c>
      <c r="D204" s="24" t="s">
        <v>23</v>
      </c>
      <c r="E204" s="62" t="s">
        <v>592</v>
      </c>
      <c r="F204" s="62" t="s">
        <v>25</v>
      </c>
      <c r="G204" s="143">
        <v>5500</v>
      </c>
      <c r="H204" s="63" t="s">
        <v>26</v>
      </c>
      <c r="I204" s="63" t="s">
        <v>638</v>
      </c>
      <c r="J204" s="62"/>
      <c r="K204" s="62"/>
      <c r="L204" s="51">
        <v>1999</v>
      </c>
      <c r="M204" s="54">
        <v>3397360</v>
      </c>
      <c r="N204" s="30">
        <v>0</v>
      </c>
      <c r="O204" s="52">
        <v>0</v>
      </c>
      <c r="P204" s="52">
        <v>0</v>
      </c>
      <c r="Q204" s="29">
        <v>0</v>
      </c>
      <c r="R204" s="29">
        <v>3397360</v>
      </c>
      <c r="S204" s="29">
        <v>3000</v>
      </c>
      <c r="T204" s="29">
        <f t="shared" si="12"/>
        <v>3400360</v>
      </c>
    </row>
    <row r="205" spans="1:20" ht="21" customHeight="1" x14ac:dyDescent="0.25">
      <c r="A205" s="21">
        <v>167</v>
      </c>
      <c r="B205" s="61" t="s">
        <v>639</v>
      </c>
      <c r="C205" s="62" t="s">
        <v>640</v>
      </c>
      <c r="D205" s="24" t="s">
        <v>23</v>
      </c>
      <c r="E205" s="62" t="s">
        <v>379</v>
      </c>
      <c r="F205" s="62" t="s">
        <v>25</v>
      </c>
      <c r="G205" s="143">
        <v>5500</v>
      </c>
      <c r="H205" s="63" t="s">
        <v>26</v>
      </c>
      <c r="I205" s="63" t="s">
        <v>641</v>
      </c>
      <c r="J205" s="62"/>
      <c r="K205" s="62"/>
      <c r="L205" s="51">
        <v>1789</v>
      </c>
      <c r="M205" s="54">
        <v>3040459</v>
      </c>
      <c r="N205" s="30">
        <v>0</v>
      </c>
      <c r="O205" s="52">
        <v>0</v>
      </c>
      <c r="P205" s="52">
        <v>0</v>
      </c>
      <c r="Q205" s="29">
        <v>0</v>
      </c>
      <c r="R205" s="29">
        <v>3040459</v>
      </c>
      <c r="S205" s="29">
        <v>3000</v>
      </c>
      <c r="T205" s="29">
        <f t="shared" si="12"/>
        <v>3043459</v>
      </c>
    </row>
    <row r="206" spans="1:20" ht="21" customHeight="1" x14ac:dyDescent="0.25">
      <c r="A206" s="21">
        <v>168</v>
      </c>
      <c r="B206" s="61" t="s">
        <v>642</v>
      </c>
      <c r="C206" s="62" t="s">
        <v>643</v>
      </c>
      <c r="D206" s="24" t="s">
        <v>23</v>
      </c>
      <c r="E206" s="62" t="s">
        <v>54</v>
      </c>
      <c r="F206" s="62" t="s">
        <v>25</v>
      </c>
      <c r="G206" s="143">
        <v>3500</v>
      </c>
      <c r="H206" s="63" t="s">
        <v>26</v>
      </c>
      <c r="I206" s="63" t="s">
        <v>644</v>
      </c>
      <c r="J206" s="62"/>
      <c r="K206" s="62"/>
      <c r="L206" s="51">
        <v>2360</v>
      </c>
      <c r="M206" s="54">
        <v>4010891</v>
      </c>
      <c r="N206" s="30">
        <v>0</v>
      </c>
      <c r="O206" s="52">
        <v>0</v>
      </c>
      <c r="P206" s="52">
        <v>0</v>
      </c>
      <c r="Q206" s="29">
        <v>0</v>
      </c>
      <c r="R206" s="29">
        <v>4010891</v>
      </c>
      <c r="S206" s="29">
        <v>3000</v>
      </c>
      <c r="T206" s="29">
        <f t="shared" si="12"/>
        <v>4013891</v>
      </c>
    </row>
    <row r="207" spans="1:20" ht="21" customHeight="1" x14ac:dyDescent="0.25">
      <c r="A207" s="21">
        <v>169</v>
      </c>
      <c r="B207" s="61" t="s">
        <v>645</v>
      </c>
      <c r="C207" s="62" t="s">
        <v>646</v>
      </c>
      <c r="D207" s="24" t="s">
        <v>30</v>
      </c>
      <c r="E207" s="62" t="s">
        <v>255</v>
      </c>
      <c r="F207" s="62" t="s">
        <v>25</v>
      </c>
      <c r="G207" s="143">
        <v>5500</v>
      </c>
      <c r="H207" s="63" t="s">
        <v>26</v>
      </c>
      <c r="I207" s="63" t="s">
        <v>647</v>
      </c>
      <c r="J207" s="62"/>
      <c r="K207" s="62"/>
      <c r="L207" s="51">
        <v>972</v>
      </c>
      <c r="M207" s="54">
        <v>1651943</v>
      </c>
      <c r="N207" s="30">
        <v>0</v>
      </c>
      <c r="O207" s="52">
        <v>0</v>
      </c>
      <c r="P207" s="52">
        <v>0</v>
      </c>
      <c r="Q207" s="29">
        <v>0</v>
      </c>
      <c r="R207" s="29">
        <v>1651943</v>
      </c>
      <c r="S207" s="29">
        <v>3000</v>
      </c>
      <c r="T207" s="29">
        <f t="shared" si="12"/>
        <v>1654943</v>
      </c>
    </row>
    <row r="208" spans="1:20" ht="21" customHeight="1" x14ac:dyDescent="0.25">
      <c r="A208" s="21">
        <v>170</v>
      </c>
      <c r="B208" s="61" t="s">
        <v>648</v>
      </c>
      <c r="C208" s="62" t="s">
        <v>649</v>
      </c>
      <c r="D208" s="24" t="s">
        <v>30</v>
      </c>
      <c r="E208" s="62" t="s">
        <v>616</v>
      </c>
      <c r="F208" s="62" t="s">
        <v>25</v>
      </c>
      <c r="G208" s="143">
        <v>5500</v>
      </c>
      <c r="H208" s="63" t="s">
        <v>26</v>
      </c>
      <c r="I208" s="63" t="s">
        <v>650</v>
      </c>
      <c r="J208" s="62"/>
      <c r="K208" s="62"/>
      <c r="L208" s="51">
        <v>1018</v>
      </c>
      <c r="M208" s="54">
        <v>1730122</v>
      </c>
      <c r="N208" s="30">
        <v>0</v>
      </c>
      <c r="O208" s="52">
        <v>0</v>
      </c>
      <c r="P208" s="52">
        <v>0</v>
      </c>
      <c r="Q208" s="29">
        <v>0</v>
      </c>
      <c r="R208" s="29">
        <v>1730122</v>
      </c>
      <c r="S208" s="29">
        <v>3000</v>
      </c>
      <c r="T208" s="29">
        <f t="shared" si="12"/>
        <v>1733122</v>
      </c>
    </row>
    <row r="209" spans="1:20" ht="21" customHeight="1" x14ac:dyDescent="0.25">
      <c r="A209" s="21">
        <v>171</v>
      </c>
      <c r="B209" s="61" t="s">
        <v>651</v>
      </c>
      <c r="C209" s="62" t="s">
        <v>652</v>
      </c>
      <c r="D209" s="24" t="s">
        <v>23</v>
      </c>
      <c r="E209" s="62" t="s">
        <v>165</v>
      </c>
      <c r="F209" s="62" t="s">
        <v>25</v>
      </c>
      <c r="G209" s="143">
        <v>4400</v>
      </c>
      <c r="H209" s="63" t="s">
        <v>26</v>
      </c>
      <c r="I209" s="63" t="s">
        <v>653</v>
      </c>
      <c r="J209" s="62"/>
      <c r="K209" s="62"/>
      <c r="L209" s="51">
        <v>3119</v>
      </c>
      <c r="M209" s="54">
        <v>5300834</v>
      </c>
      <c r="N209" s="30">
        <v>0</v>
      </c>
      <c r="O209" s="52">
        <v>0</v>
      </c>
      <c r="P209" s="52">
        <v>0</v>
      </c>
      <c r="Q209" s="29">
        <v>10000</v>
      </c>
      <c r="R209" s="29">
        <v>5310834</v>
      </c>
      <c r="S209" s="29">
        <v>3000</v>
      </c>
      <c r="T209" s="29">
        <f t="shared" si="12"/>
        <v>5313834</v>
      </c>
    </row>
    <row r="210" spans="1:20" ht="21" customHeight="1" x14ac:dyDescent="0.25">
      <c r="A210" s="21">
        <v>172</v>
      </c>
      <c r="B210" s="61" t="s">
        <v>654</v>
      </c>
      <c r="C210" s="62" t="s">
        <v>655</v>
      </c>
      <c r="D210" s="24" t="s">
        <v>23</v>
      </c>
      <c r="E210" s="62" t="s">
        <v>656</v>
      </c>
      <c r="F210" s="62" t="s">
        <v>25</v>
      </c>
      <c r="G210" s="143">
        <v>3500</v>
      </c>
      <c r="H210" s="63" t="s">
        <v>26</v>
      </c>
      <c r="I210" s="63" t="s">
        <v>657</v>
      </c>
      <c r="J210" s="62"/>
      <c r="K210" s="62"/>
      <c r="L210" s="51">
        <v>1007</v>
      </c>
      <c r="M210" s="54">
        <v>1711427</v>
      </c>
      <c r="N210" s="30">
        <v>0</v>
      </c>
      <c r="O210" s="52">
        <v>0</v>
      </c>
      <c r="P210" s="52">
        <v>0</v>
      </c>
      <c r="Q210" s="29">
        <v>0</v>
      </c>
      <c r="R210" s="29">
        <v>1711427</v>
      </c>
      <c r="S210" s="29">
        <v>3000</v>
      </c>
      <c r="T210" s="29">
        <f t="shared" si="12"/>
        <v>1714427</v>
      </c>
    </row>
    <row r="211" spans="1:20" ht="21" customHeight="1" x14ac:dyDescent="0.25">
      <c r="A211" s="21">
        <v>173</v>
      </c>
      <c r="B211" s="61" t="s">
        <v>658</v>
      </c>
      <c r="C211" s="62" t="s">
        <v>659</v>
      </c>
      <c r="D211" s="24" t="s">
        <v>23</v>
      </c>
      <c r="E211" s="62" t="s">
        <v>660</v>
      </c>
      <c r="F211" s="62" t="s">
        <v>25</v>
      </c>
      <c r="G211" s="143">
        <v>4400</v>
      </c>
      <c r="H211" s="63" t="s">
        <v>26</v>
      </c>
      <c r="I211" s="63" t="s">
        <v>661</v>
      </c>
      <c r="J211" s="62"/>
      <c r="K211" s="62"/>
      <c r="L211" s="51">
        <v>1719</v>
      </c>
      <c r="M211" s="54">
        <v>2921492</v>
      </c>
      <c r="N211" s="30">
        <v>0</v>
      </c>
      <c r="O211" s="52">
        <v>0</v>
      </c>
      <c r="P211" s="52">
        <v>0</v>
      </c>
      <c r="Q211" s="29">
        <v>0</v>
      </c>
      <c r="R211" s="29">
        <v>2921492</v>
      </c>
      <c r="S211" s="29">
        <v>3000</v>
      </c>
      <c r="T211" s="29">
        <f t="shared" si="12"/>
        <v>2924492</v>
      </c>
    </row>
    <row r="212" spans="1:20" ht="21" customHeight="1" x14ac:dyDescent="0.25">
      <c r="A212" s="21">
        <v>174</v>
      </c>
      <c r="B212" s="61" t="s">
        <v>662</v>
      </c>
      <c r="C212" s="62" t="s">
        <v>663</v>
      </c>
      <c r="D212" s="24" t="s">
        <v>23</v>
      </c>
      <c r="E212" s="62" t="s">
        <v>664</v>
      </c>
      <c r="F212" s="62" t="s">
        <v>25</v>
      </c>
      <c r="G212" s="143">
        <v>5500</v>
      </c>
      <c r="H212" s="63" t="s">
        <v>26</v>
      </c>
      <c r="I212" s="63" t="s">
        <v>665</v>
      </c>
      <c r="J212" s="62"/>
      <c r="K212" s="62"/>
      <c r="L212" s="51">
        <v>1507</v>
      </c>
      <c r="M212" s="54">
        <v>2561192</v>
      </c>
      <c r="N212" s="30">
        <v>0</v>
      </c>
      <c r="O212" s="52">
        <v>0</v>
      </c>
      <c r="P212" s="52">
        <v>0</v>
      </c>
      <c r="Q212" s="29">
        <v>0</v>
      </c>
      <c r="R212" s="29">
        <v>2561192</v>
      </c>
      <c r="S212" s="29">
        <v>3000</v>
      </c>
      <c r="T212" s="29">
        <f t="shared" si="12"/>
        <v>2564192</v>
      </c>
    </row>
    <row r="213" spans="1:20" ht="21" customHeight="1" x14ac:dyDescent="0.25">
      <c r="A213" s="21">
        <v>175</v>
      </c>
      <c r="B213" s="61" t="s">
        <v>666</v>
      </c>
      <c r="C213" s="62" t="s">
        <v>667</v>
      </c>
      <c r="D213" s="24" t="s">
        <v>30</v>
      </c>
      <c r="E213" s="62" t="s">
        <v>668</v>
      </c>
      <c r="F213" s="62" t="s">
        <v>25</v>
      </c>
      <c r="G213" s="143">
        <v>3500</v>
      </c>
      <c r="H213" s="63" t="s">
        <v>26</v>
      </c>
      <c r="I213" s="63" t="s">
        <v>669</v>
      </c>
      <c r="J213" s="62"/>
      <c r="K213" s="62"/>
      <c r="L213" s="51">
        <v>1225</v>
      </c>
      <c r="M213" s="54">
        <v>2081924</v>
      </c>
      <c r="N213" s="30">
        <v>0</v>
      </c>
      <c r="O213" s="52">
        <v>0</v>
      </c>
      <c r="P213" s="52">
        <v>0</v>
      </c>
      <c r="Q213" s="29">
        <v>0</v>
      </c>
      <c r="R213" s="29">
        <v>2081924</v>
      </c>
      <c r="S213" s="29">
        <v>3000</v>
      </c>
      <c r="T213" s="29">
        <f t="shared" si="12"/>
        <v>2084924</v>
      </c>
    </row>
    <row r="214" spans="1:20" ht="21" customHeight="1" x14ac:dyDescent="0.25">
      <c r="A214" s="21">
        <v>176</v>
      </c>
      <c r="B214" s="61" t="s">
        <v>670</v>
      </c>
      <c r="C214" s="62" t="s">
        <v>671</v>
      </c>
      <c r="D214" s="24" t="s">
        <v>23</v>
      </c>
      <c r="E214" s="62" t="s">
        <v>177</v>
      </c>
      <c r="F214" s="62" t="s">
        <v>25</v>
      </c>
      <c r="G214" s="143">
        <v>3500</v>
      </c>
      <c r="H214" s="63" t="s">
        <v>26</v>
      </c>
      <c r="I214" s="63" t="s">
        <v>672</v>
      </c>
      <c r="J214" s="62"/>
      <c r="K214" s="62"/>
      <c r="L214" s="51">
        <v>1340</v>
      </c>
      <c r="M214" s="54">
        <v>2277370</v>
      </c>
      <c r="N214" s="30">
        <v>0</v>
      </c>
      <c r="O214" s="52">
        <v>0</v>
      </c>
      <c r="P214" s="52">
        <v>0</v>
      </c>
      <c r="Q214" s="29">
        <v>0</v>
      </c>
      <c r="R214" s="29">
        <v>2277370</v>
      </c>
      <c r="S214" s="29">
        <v>3000</v>
      </c>
      <c r="T214" s="29">
        <f t="shared" si="12"/>
        <v>2280370</v>
      </c>
    </row>
    <row r="215" spans="1:20" ht="21" customHeight="1" x14ac:dyDescent="0.25">
      <c r="A215" s="21">
        <v>177</v>
      </c>
      <c r="B215" s="61" t="s">
        <v>673</v>
      </c>
      <c r="C215" s="62" t="s">
        <v>674</v>
      </c>
      <c r="D215" s="24" t="s">
        <v>30</v>
      </c>
      <c r="E215" s="62" t="s">
        <v>675</v>
      </c>
      <c r="F215" s="62" t="s">
        <v>25</v>
      </c>
      <c r="G215" s="143">
        <v>3500</v>
      </c>
      <c r="H215" s="63" t="s">
        <v>26</v>
      </c>
      <c r="I215" s="63" t="s">
        <v>676</v>
      </c>
      <c r="J215" s="62"/>
      <c r="K215" s="62"/>
      <c r="L215" s="51">
        <v>480</v>
      </c>
      <c r="M215" s="54">
        <v>815774</v>
      </c>
      <c r="N215" s="30">
        <v>0</v>
      </c>
      <c r="O215" s="52">
        <v>0</v>
      </c>
      <c r="P215" s="52">
        <v>0</v>
      </c>
      <c r="Q215" s="29">
        <v>0</v>
      </c>
      <c r="R215" s="29">
        <v>815774</v>
      </c>
      <c r="S215" s="29">
        <v>3000</v>
      </c>
      <c r="T215" s="29">
        <f t="shared" si="12"/>
        <v>818774</v>
      </c>
    </row>
    <row r="216" spans="1:20" ht="21" customHeight="1" x14ac:dyDescent="0.25">
      <c r="A216" s="21">
        <v>178</v>
      </c>
      <c r="B216" s="61" t="s">
        <v>677</v>
      </c>
      <c r="C216" s="62" t="s">
        <v>678</v>
      </c>
      <c r="D216" s="24" t="s">
        <v>30</v>
      </c>
      <c r="E216" s="62" t="s">
        <v>679</v>
      </c>
      <c r="F216" s="62" t="s">
        <v>25</v>
      </c>
      <c r="G216" s="143">
        <v>3500</v>
      </c>
      <c r="H216" s="63" t="s">
        <v>26</v>
      </c>
      <c r="I216" s="63" t="s">
        <v>680</v>
      </c>
      <c r="J216" s="62"/>
      <c r="K216" s="62"/>
      <c r="L216" s="51">
        <v>1441</v>
      </c>
      <c r="M216" s="54">
        <v>2449023</v>
      </c>
      <c r="N216" s="30">
        <v>0</v>
      </c>
      <c r="O216" s="52">
        <v>0</v>
      </c>
      <c r="P216" s="52">
        <v>0</v>
      </c>
      <c r="Q216" s="29">
        <v>0</v>
      </c>
      <c r="R216" s="29">
        <v>2449023</v>
      </c>
      <c r="S216" s="29">
        <v>3000</v>
      </c>
      <c r="T216" s="29">
        <f t="shared" si="12"/>
        <v>2452023</v>
      </c>
    </row>
    <row r="217" spans="1:20" ht="21" customHeight="1" x14ac:dyDescent="0.25">
      <c r="A217" s="21">
        <v>179</v>
      </c>
      <c r="B217" s="61" t="s">
        <v>681</v>
      </c>
      <c r="C217" s="62" t="s">
        <v>682</v>
      </c>
      <c r="D217" s="24" t="s">
        <v>30</v>
      </c>
      <c r="E217" s="62" t="s">
        <v>683</v>
      </c>
      <c r="F217" s="62" t="s">
        <v>25</v>
      </c>
      <c r="G217" s="143">
        <v>3500</v>
      </c>
      <c r="H217" s="63" t="s">
        <v>26</v>
      </c>
      <c r="I217" s="63" t="s">
        <v>684</v>
      </c>
      <c r="J217" s="62"/>
      <c r="K217" s="62"/>
      <c r="L217" s="51">
        <v>1278</v>
      </c>
      <c r="M217" s="54">
        <v>2171999</v>
      </c>
      <c r="N217" s="30">
        <v>0</v>
      </c>
      <c r="O217" s="52">
        <v>0</v>
      </c>
      <c r="P217" s="52">
        <v>0</v>
      </c>
      <c r="Q217" s="29">
        <v>0</v>
      </c>
      <c r="R217" s="29">
        <v>2171999</v>
      </c>
      <c r="S217" s="29">
        <v>3000</v>
      </c>
      <c r="T217" s="29">
        <f t="shared" si="12"/>
        <v>2174999</v>
      </c>
    </row>
    <row r="218" spans="1:20" ht="21" customHeight="1" x14ac:dyDescent="0.25">
      <c r="A218" s="21">
        <v>180</v>
      </c>
      <c r="B218" s="61" t="s">
        <v>685</v>
      </c>
      <c r="C218" s="62" t="s">
        <v>686</v>
      </c>
      <c r="D218" s="24" t="s">
        <v>30</v>
      </c>
      <c r="E218" s="62" t="s">
        <v>687</v>
      </c>
      <c r="F218" s="62" t="s">
        <v>25</v>
      </c>
      <c r="G218" s="143">
        <v>3500</v>
      </c>
      <c r="H218" s="63" t="s">
        <v>26</v>
      </c>
      <c r="I218" s="63" t="s">
        <v>688</v>
      </c>
      <c r="J218" s="62"/>
      <c r="K218" s="62"/>
      <c r="L218" s="51">
        <v>827</v>
      </c>
      <c r="M218" s="54">
        <v>1405511</v>
      </c>
      <c r="N218" s="30">
        <v>0</v>
      </c>
      <c r="O218" s="52">
        <v>0</v>
      </c>
      <c r="P218" s="52">
        <v>0</v>
      </c>
      <c r="Q218" s="29">
        <v>0</v>
      </c>
      <c r="R218" s="29">
        <v>1405511</v>
      </c>
      <c r="S218" s="29">
        <v>3000</v>
      </c>
      <c r="T218" s="29">
        <f t="shared" si="12"/>
        <v>1408511</v>
      </c>
    </row>
    <row r="219" spans="1:20" ht="21" customHeight="1" x14ac:dyDescent="0.25">
      <c r="A219" s="21">
        <v>181</v>
      </c>
      <c r="B219" s="61" t="s">
        <v>689</v>
      </c>
      <c r="C219" s="62" t="s">
        <v>690</v>
      </c>
      <c r="D219" s="24" t="s">
        <v>84</v>
      </c>
      <c r="E219" s="62" t="s">
        <v>518</v>
      </c>
      <c r="F219" s="62" t="s">
        <v>25</v>
      </c>
      <c r="G219" s="143">
        <v>4400</v>
      </c>
      <c r="H219" s="63" t="s">
        <v>26</v>
      </c>
      <c r="I219" s="63" t="s">
        <v>691</v>
      </c>
      <c r="J219" s="62"/>
      <c r="K219" s="62"/>
      <c r="L219" s="51">
        <v>1103</v>
      </c>
      <c r="M219" s="54">
        <v>1874582</v>
      </c>
      <c r="N219" s="30">
        <v>0</v>
      </c>
      <c r="O219" s="52">
        <v>0</v>
      </c>
      <c r="P219" s="52">
        <v>0</v>
      </c>
      <c r="Q219" s="29">
        <v>0</v>
      </c>
      <c r="R219" s="29">
        <v>1874582</v>
      </c>
      <c r="S219" s="29">
        <v>3000</v>
      </c>
      <c r="T219" s="29">
        <f t="shared" si="12"/>
        <v>1877582</v>
      </c>
    </row>
    <row r="220" spans="1:20" ht="21" customHeight="1" x14ac:dyDescent="0.25">
      <c r="A220" s="21">
        <v>182</v>
      </c>
      <c r="B220" s="61" t="s">
        <v>692</v>
      </c>
      <c r="C220" s="62" t="s">
        <v>693</v>
      </c>
      <c r="D220" s="24" t="s">
        <v>23</v>
      </c>
      <c r="E220" s="62" t="s">
        <v>402</v>
      </c>
      <c r="F220" s="62" t="s">
        <v>25</v>
      </c>
      <c r="G220" s="143">
        <v>3500</v>
      </c>
      <c r="H220" s="63" t="s">
        <v>26</v>
      </c>
      <c r="I220" s="63" t="s">
        <v>694</v>
      </c>
      <c r="J220" s="62"/>
      <c r="K220" s="62"/>
      <c r="L220" s="51">
        <v>1019</v>
      </c>
      <c r="M220" s="54">
        <v>1731821</v>
      </c>
      <c r="N220" s="30">
        <v>0</v>
      </c>
      <c r="O220" s="52">
        <v>0</v>
      </c>
      <c r="P220" s="52">
        <v>0</v>
      </c>
      <c r="Q220" s="29">
        <v>0</v>
      </c>
      <c r="R220" s="29">
        <v>1731821</v>
      </c>
      <c r="S220" s="29">
        <v>3000</v>
      </c>
      <c r="T220" s="29">
        <f t="shared" si="12"/>
        <v>1734821</v>
      </c>
    </row>
    <row r="221" spans="1:20" ht="21" customHeight="1" x14ac:dyDescent="0.25">
      <c r="A221" s="21">
        <v>183</v>
      </c>
      <c r="B221" s="61" t="s">
        <v>695</v>
      </c>
      <c r="C221" s="62" t="s">
        <v>696</v>
      </c>
      <c r="D221" s="24" t="s">
        <v>23</v>
      </c>
      <c r="E221" s="62" t="s">
        <v>697</v>
      </c>
      <c r="F221" s="62" t="s">
        <v>25</v>
      </c>
      <c r="G221" s="143">
        <v>3500</v>
      </c>
      <c r="H221" s="63" t="s">
        <v>26</v>
      </c>
      <c r="I221" s="63" t="s">
        <v>698</v>
      </c>
      <c r="J221" s="62"/>
      <c r="K221" s="62"/>
      <c r="L221" s="51">
        <v>572</v>
      </c>
      <c r="M221" s="54">
        <v>972131</v>
      </c>
      <c r="N221" s="30">
        <v>0</v>
      </c>
      <c r="O221" s="52">
        <v>0</v>
      </c>
      <c r="P221" s="52">
        <v>0</v>
      </c>
      <c r="Q221" s="29">
        <v>0</v>
      </c>
      <c r="R221" s="29">
        <v>972131</v>
      </c>
      <c r="S221" s="29">
        <v>3000</v>
      </c>
      <c r="T221" s="29">
        <f t="shared" si="12"/>
        <v>975131</v>
      </c>
    </row>
    <row r="222" spans="1:20" ht="21" customHeight="1" x14ac:dyDescent="0.25">
      <c r="A222" s="21">
        <v>184</v>
      </c>
      <c r="B222" s="61" t="s">
        <v>699</v>
      </c>
      <c r="C222" s="62" t="s">
        <v>700</v>
      </c>
      <c r="D222" s="24" t="s">
        <v>23</v>
      </c>
      <c r="E222" s="62" t="s">
        <v>701</v>
      </c>
      <c r="F222" s="62" t="s">
        <v>25</v>
      </c>
      <c r="G222" s="143">
        <v>900</v>
      </c>
      <c r="H222" s="63" t="s">
        <v>26</v>
      </c>
      <c r="I222" s="63" t="s">
        <v>702</v>
      </c>
      <c r="J222" s="62"/>
      <c r="K222" s="62"/>
      <c r="L222" s="51">
        <v>227</v>
      </c>
      <c r="M222" s="54">
        <v>385793</v>
      </c>
      <c r="N222" s="30">
        <v>0</v>
      </c>
      <c r="O222" s="52">
        <v>0</v>
      </c>
      <c r="P222" s="52">
        <v>0</v>
      </c>
      <c r="Q222" s="29">
        <v>0</v>
      </c>
      <c r="R222" s="29">
        <v>385793</v>
      </c>
      <c r="S222" s="29">
        <v>3000</v>
      </c>
      <c r="T222" s="29">
        <f t="shared" si="12"/>
        <v>388793</v>
      </c>
    </row>
    <row r="223" spans="1:20" ht="21" customHeight="1" x14ac:dyDescent="0.25">
      <c r="A223" s="21">
        <v>185</v>
      </c>
      <c r="B223" s="61" t="s">
        <v>703</v>
      </c>
      <c r="C223" s="62" t="s">
        <v>704</v>
      </c>
      <c r="D223" s="24" t="s">
        <v>23</v>
      </c>
      <c r="E223" s="62" t="s">
        <v>705</v>
      </c>
      <c r="F223" s="62" t="s">
        <v>25</v>
      </c>
      <c r="G223" s="143">
        <v>3500</v>
      </c>
      <c r="H223" s="63" t="s">
        <v>26</v>
      </c>
      <c r="I223" s="63" t="s">
        <v>706</v>
      </c>
      <c r="J223" s="62"/>
      <c r="K223" s="62"/>
      <c r="L223" s="51">
        <v>965</v>
      </c>
      <c r="M223" s="54">
        <v>1640046</v>
      </c>
      <c r="N223" s="30">
        <v>0</v>
      </c>
      <c r="O223" s="52">
        <v>0</v>
      </c>
      <c r="P223" s="52">
        <v>0</v>
      </c>
      <c r="Q223" s="29">
        <v>0</v>
      </c>
      <c r="R223" s="29">
        <v>1640046</v>
      </c>
      <c r="S223" s="29">
        <v>3000</v>
      </c>
      <c r="T223" s="29">
        <f t="shared" si="12"/>
        <v>1643046</v>
      </c>
    </row>
    <row r="224" spans="1:20" ht="21" customHeight="1" x14ac:dyDescent="0.25">
      <c r="A224" s="21">
        <v>186</v>
      </c>
      <c r="B224" s="61" t="s">
        <v>707</v>
      </c>
      <c r="C224" s="62" t="s">
        <v>708</v>
      </c>
      <c r="D224" s="24" t="s">
        <v>30</v>
      </c>
      <c r="E224" s="62" t="s">
        <v>709</v>
      </c>
      <c r="F224" s="62" t="s">
        <v>25</v>
      </c>
      <c r="G224" s="143">
        <v>3500</v>
      </c>
      <c r="H224" s="63" t="s">
        <v>26</v>
      </c>
      <c r="I224" s="63" t="s">
        <v>710</v>
      </c>
      <c r="J224" s="62"/>
      <c r="K224" s="62"/>
      <c r="L224" s="51">
        <v>1365</v>
      </c>
      <c r="M224" s="54">
        <v>2319858</v>
      </c>
      <c r="N224" s="30">
        <v>0</v>
      </c>
      <c r="O224" s="52">
        <v>0</v>
      </c>
      <c r="P224" s="52">
        <v>0</v>
      </c>
      <c r="Q224" s="29">
        <v>0</v>
      </c>
      <c r="R224" s="29">
        <v>2319858</v>
      </c>
      <c r="S224" s="29">
        <v>3000</v>
      </c>
      <c r="T224" s="29">
        <f t="shared" si="12"/>
        <v>2322858</v>
      </c>
    </row>
    <row r="225" spans="1:20" ht="21" customHeight="1" x14ac:dyDescent="0.25">
      <c r="A225" s="21">
        <v>187</v>
      </c>
      <c r="B225" s="61" t="s">
        <v>711</v>
      </c>
      <c r="C225" s="62" t="s">
        <v>712</v>
      </c>
      <c r="D225" s="24" t="s">
        <v>30</v>
      </c>
      <c r="E225" s="62" t="s">
        <v>713</v>
      </c>
      <c r="F225" s="62" t="s">
        <v>25</v>
      </c>
      <c r="G225" s="143">
        <v>3500</v>
      </c>
      <c r="H225" s="63" t="s">
        <v>26</v>
      </c>
      <c r="I225" s="63" t="s">
        <v>714</v>
      </c>
      <c r="J225" s="62"/>
      <c r="K225" s="62"/>
      <c r="L225" s="51">
        <v>140</v>
      </c>
      <c r="M225" s="54">
        <v>237934</v>
      </c>
      <c r="N225" s="30">
        <v>0</v>
      </c>
      <c r="O225" s="52">
        <v>0</v>
      </c>
      <c r="P225" s="52">
        <v>0</v>
      </c>
      <c r="Q225" s="29">
        <v>0</v>
      </c>
      <c r="R225" s="29">
        <v>237934</v>
      </c>
      <c r="S225" s="29">
        <v>3000</v>
      </c>
      <c r="T225" s="29">
        <f t="shared" si="12"/>
        <v>240934</v>
      </c>
    </row>
    <row r="226" spans="1:20" ht="21" customHeight="1" x14ac:dyDescent="0.25">
      <c r="A226" s="21">
        <v>188</v>
      </c>
      <c r="B226" s="61" t="s">
        <v>715</v>
      </c>
      <c r="C226" s="62" t="s">
        <v>716</v>
      </c>
      <c r="D226" s="24" t="s">
        <v>30</v>
      </c>
      <c r="E226" s="62" t="s">
        <v>717</v>
      </c>
      <c r="F226" s="62" t="s">
        <v>25</v>
      </c>
      <c r="G226" s="143">
        <v>3500</v>
      </c>
      <c r="H226" s="63" t="s">
        <v>26</v>
      </c>
      <c r="I226" s="63" t="s">
        <v>718</v>
      </c>
      <c r="J226" s="62"/>
      <c r="K226" s="62"/>
      <c r="L226" s="51">
        <v>995</v>
      </c>
      <c r="M226" s="54">
        <v>1691032</v>
      </c>
      <c r="N226" s="30">
        <v>0</v>
      </c>
      <c r="O226" s="52">
        <v>0</v>
      </c>
      <c r="P226" s="52">
        <v>0</v>
      </c>
      <c r="Q226" s="29">
        <v>0</v>
      </c>
      <c r="R226" s="29">
        <v>1691032</v>
      </c>
      <c r="S226" s="29">
        <v>3000</v>
      </c>
      <c r="T226" s="29">
        <f t="shared" si="12"/>
        <v>1694032</v>
      </c>
    </row>
    <row r="227" spans="1:20" ht="21" customHeight="1" x14ac:dyDescent="0.25">
      <c r="A227" s="21">
        <v>189</v>
      </c>
      <c r="B227" s="61" t="s">
        <v>719</v>
      </c>
      <c r="C227" s="62" t="s">
        <v>720</v>
      </c>
      <c r="D227" s="24" t="s">
        <v>30</v>
      </c>
      <c r="E227" s="62" t="s">
        <v>721</v>
      </c>
      <c r="F227" s="62" t="s">
        <v>25</v>
      </c>
      <c r="G227" s="143">
        <v>1300</v>
      </c>
      <c r="H227" s="63" t="s">
        <v>26</v>
      </c>
      <c r="I227" s="63" t="s">
        <v>722</v>
      </c>
      <c r="J227" s="62"/>
      <c r="K227" s="62"/>
      <c r="L227" s="51">
        <v>854</v>
      </c>
      <c r="M227" s="54">
        <v>1451399</v>
      </c>
      <c r="N227" s="30">
        <v>0</v>
      </c>
      <c r="O227" s="52">
        <v>0</v>
      </c>
      <c r="P227" s="52">
        <v>0</v>
      </c>
      <c r="Q227" s="29">
        <v>0</v>
      </c>
      <c r="R227" s="29">
        <v>1451399</v>
      </c>
      <c r="S227" s="29">
        <v>3000</v>
      </c>
      <c r="T227" s="29">
        <f t="shared" si="12"/>
        <v>1454399</v>
      </c>
    </row>
    <row r="228" spans="1:20" ht="21" customHeight="1" x14ac:dyDescent="0.25">
      <c r="A228" s="21">
        <v>190</v>
      </c>
      <c r="B228" s="61" t="s">
        <v>723</v>
      </c>
      <c r="C228" s="62" t="s">
        <v>724</v>
      </c>
      <c r="D228" s="24" t="s">
        <v>23</v>
      </c>
      <c r="E228" s="62" t="s">
        <v>725</v>
      </c>
      <c r="F228" s="62" t="s">
        <v>25</v>
      </c>
      <c r="G228" s="143">
        <v>2200</v>
      </c>
      <c r="H228" s="63" t="s">
        <v>26</v>
      </c>
      <c r="I228" s="63" t="s">
        <v>726</v>
      </c>
      <c r="J228" s="62"/>
      <c r="K228" s="62"/>
      <c r="L228" s="51">
        <v>1418</v>
      </c>
      <c r="M228" s="54">
        <v>2409934</v>
      </c>
      <c r="N228" s="30">
        <v>0</v>
      </c>
      <c r="O228" s="52">
        <v>0</v>
      </c>
      <c r="P228" s="52">
        <v>0</v>
      </c>
      <c r="Q228" s="29">
        <v>0</v>
      </c>
      <c r="R228" s="29">
        <v>2409934</v>
      </c>
      <c r="S228" s="29">
        <v>3000</v>
      </c>
      <c r="T228" s="29">
        <f t="shared" si="12"/>
        <v>2412934</v>
      </c>
    </row>
    <row r="229" spans="1:20" ht="21" customHeight="1" x14ac:dyDescent="0.25">
      <c r="A229" s="21">
        <v>191</v>
      </c>
      <c r="B229" s="61" t="s">
        <v>727</v>
      </c>
      <c r="C229" s="62" t="s">
        <v>728</v>
      </c>
      <c r="D229" s="24" t="s">
        <v>23</v>
      </c>
      <c r="E229" s="62" t="s">
        <v>73</v>
      </c>
      <c r="F229" s="62" t="s">
        <v>25</v>
      </c>
      <c r="G229" s="143">
        <v>2200</v>
      </c>
      <c r="H229" s="63" t="s">
        <v>26</v>
      </c>
      <c r="I229" s="63" t="s">
        <v>729</v>
      </c>
      <c r="J229" s="62"/>
      <c r="K229" s="62"/>
      <c r="L229" s="51">
        <v>384</v>
      </c>
      <c r="M229" s="54">
        <v>652620</v>
      </c>
      <c r="N229" s="30">
        <v>0</v>
      </c>
      <c r="O229" s="52">
        <v>0</v>
      </c>
      <c r="P229" s="52">
        <v>0</v>
      </c>
      <c r="Q229" s="29">
        <v>0</v>
      </c>
      <c r="R229" s="29">
        <v>652620</v>
      </c>
      <c r="S229" s="29">
        <v>3000</v>
      </c>
      <c r="T229" s="29">
        <f t="shared" si="12"/>
        <v>655620</v>
      </c>
    </row>
    <row r="230" spans="1:20" ht="21" customHeight="1" x14ac:dyDescent="0.25">
      <c r="A230" s="21">
        <v>192</v>
      </c>
      <c r="B230" s="61" t="s">
        <v>730</v>
      </c>
      <c r="C230" s="62" t="s">
        <v>731</v>
      </c>
      <c r="D230" s="24" t="s">
        <v>23</v>
      </c>
      <c r="E230" s="62" t="s">
        <v>732</v>
      </c>
      <c r="F230" s="62" t="s">
        <v>25</v>
      </c>
      <c r="G230" s="143">
        <v>3500</v>
      </c>
      <c r="H230" s="63" t="s">
        <v>26</v>
      </c>
      <c r="I230" s="63" t="s">
        <v>733</v>
      </c>
      <c r="J230" s="62"/>
      <c r="K230" s="62"/>
      <c r="L230" s="51">
        <v>868</v>
      </c>
      <c r="M230" s="54">
        <v>1475192</v>
      </c>
      <c r="N230" s="30">
        <v>0</v>
      </c>
      <c r="O230" s="52">
        <v>0</v>
      </c>
      <c r="P230" s="52">
        <v>0</v>
      </c>
      <c r="Q230" s="29">
        <v>0</v>
      </c>
      <c r="R230" s="29">
        <v>1475192</v>
      </c>
      <c r="S230" s="29">
        <v>3000</v>
      </c>
      <c r="T230" s="29">
        <f t="shared" si="12"/>
        <v>1478192</v>
      </c>
    </row>
    <row r="231" spans="1:20" ht="21" customHeight="1" x14ac:dyDescent="0.25">
      <c r="A231" s="21">
        <v>193</v>
      </c>
      <c r="B231" s="61" t="s">
        <v>734</v>
      </c>
      <c r="C231" s="62" t="s">
        <v>735</v>
      </c>
      <c r="D231" s="24" t="s">
        <v>23</v>
      </c>
      <c r="E231" s="62" t="s">
        <v>736</v>
      </c>
      <c r="F231" s="62" t="s">
        <v>25</v>
      </c>
      <c r="G231" s="143">
        <v>2200</v>
      </c>
      <c r="H231" s="63" t="s">
        <v>26</v>
      </c>
      <c r="I231" s="63" t="s">
        <v>737</v>
      </c>
      <c r="J231" s="62"/>
      <c r="K231" s="62"/>
      <c r="L231" s="51">
        <v>937</v>
      </c>
      <c r="M231" s="54">
        <v>1592460</v>
      </c>
      <c r="N231" s="30">
        <v>0</v>
      </c>
      <c r="O231" s="52">
        <v>0</v>
      </c>
      <c r="P231" s="52">
        <v>0</v>
      </c>
      <c r="Q231" s="29">
        <v>0</v>
      </c>
      <c r="R231" s="29">
        <v>1592460</v>
      </c>
      <c r="S231" s="29">
        <v>3000</v>
      </c>
      <c r="T231" s="29">
        <f t="shared" si="12"/>
        <v>1595460</v>
      </c>
    </row>
    <row r="232" spans="1:20" ht="21" customHeight="1" x14ac:dyDescent="0.25">
      <c r="A232" s="21">
        <v>194</v>
      </c>
      <c r="B232" s="61" t="s">
        <v>738</v>
      </c>
      <c r="C232" s="62" t="s">
        <v>739</v>
      </c>
      <c r="D232" s="24" t="s">
        <v>23</v>
      </c>
      <c r="E232" s="62" t="s">
        <v>54</v>
      </c>
      <c r="F232" s="62" t="s">
        <v>25</v>
      </c>
      <c r="G232" s="143">
        <v>3500</v>
      </c>
      <c r="H232" s="63" t="s">
        <v>26</v>
      </c>
      <c r="I232" s="63" t="s">
        <v>740</v>
      </c>
      <c r="J232" s="62"/>
      <c r="K232" s="62"/>
      <c r="L232" s="51">
        <v>647</v>
      </c>
      <c r="M232" s="54">
        <v>1099596</v>
      </c>
      <c r="N232" s="30">
        <v>0</v>
      </c>
      <c r="O232" s="52">
        <v>0</v>
      </c>
      <c r="P232" s="52">
        <v>0</v>
      </c>
      <c r="Q232" s="29">
        <v>0</v>
      </c>
      <c r="R232" s="29">
        <v>1099596</v>
      </c>
      <c r="S232" s="29">
        <v>3000</v>
      </c>
      <c r="T232" s="29">
        <f t="shared" si="12"/>
        <v>1102596</v>
      </c>
    </row>
    <row r="233" spans="1:20" ht="21" customHeight="1" x14ac:dyDescent="0.25">
      <c r="A233" s="21">
        <v>195</v>
      </c>
      <c r="B233" s="61" t="s">
        <v>741</v>
      </c>
      <c r="C233" s="62" t="s">
        <v>742</v>
      </c>
      <c r="D233" s="24" t="s">
        <v>23</v>
      </c>
      <c r="E233" s="62" t="s">
        <v>631</v>
      </c>
      <c r="F233" s="62" t="s">
        <v>25</v>
      </c>
      <c r="G233" s="143">
        <v>3500</v>
      </c>
      <c r="H233" s="63" t="s">
        <v>26</v>
      </c>
      <c r="I233" s="63" t="s">
        <v>743</v>
      </c>
      <c r="J233" s="62"/>
      <c r="K233" s="62"/>
      <c r="L233" s="51">
        <v>981</v>
      </c>
      <c r="M233" s="54">
        <v>1667239</v>
      </c>
      <c r="N233" s="30">
        <v>0</v>
      </c>
      <c r="O233" s="52">
        <v>0</v>
      </c>
      <c r="P233" s="52">
        <v>0</v>
      </c>
      <c r="Q233" s="29">
        <v>0</v>
      </c>
      <c r="R233" s="29">
        <v>1667239</v>
      </c>
      <c r="S233" s="29">
        <v>3000</v>
      </c>
      <c r="T233" s="29">
        <f t="shared" si="12"/>
        <v>1670239</v>
      </c>
    </row>
    <row r="234" spans="1:20" ht="21" customHeight="1" x14ac:dyDescent="0.25">
      <c r="A234" s="21">
        <v>196</v>
      </c>
      <c r="B234" s="61" t="s">
        <v>744</v>
      </c>
      <c r="C234" s="62" t="s">
        <v>745</v>
      </c>
      <c r="D234" s="24" t="s">
        <v>23</v>
      </c>
      <c r="E234" s="62" t="s">
        <v>46</v>
      </c>
      <c r="F234" s="62" t="s">
        <v>25</v>
      </c>
      <c r="G234" s="143">
        <v>2200</v>
      </c>
      <c r="H234" s="63" t="s">
        <v>26</v>
      </c>
      <c r="I234" s="63" t="s">
        <v>746</v>
      </c>
      <c r="J234" s="62"/>
      <c r="K234" s="62"/>
      <c r="L234" s="51">
        <v>604</v>
      </c>
      <c r="M234" s="54">
        <v>1026516</v>
      </c>
      <c r="N234" s="30">
        <v>0</v>
      </c>
      <c r="O234" s="52">
        <v>0</v>
      </c>
      <c r="P234" s="52">
        <v>0</v>
      </c>
      <c r="Q234" s="29">
        <v>0</v>
      </c>
      <c r="R234" s="29">
        <v>1026516</v>
      </c>
      <c r="S234" s="29">
        <v>3000</v>
      </c>
      <c r="T234" s="29">
        <f t="shared" si="12"/>
        <v>1029516</v>
      </c>
    </row>
    <row r="235" spans="1:20" ht="21" customHeight="1" x14ac:dyDescent="0.25">
      <c r="A235" s="21">
        <v>197</v>
      </c>
      <c r="B235" s="61" t="s">
        <v>747</v>
      </c>
      <c r="C235" s="62" t="s">
        <v>748</v>
      </c>
      <c r="D235" s="24" t="s">
        <v>23</v>
      </c>
      <c r="E235" s="62" t="s">
        <v>544</v>
      </c>
      <c r="F235" s="62" t="s">
        <v>25</v>
      </c>
      <c r="G235" s="143">
        <v>3500</v>
      </c>
      <c r="H235" s="63" t="s">
        <v>26</v>
      </c>
      <c r="I235" s="63" t="s">
        <v>749</v>
      </c>
      <c r="J235" s="62"/>
      <c r="K235" s="62"/>
      <c r="L235" s="51">
        <v>962</v>
      </c>
      <c r="M235" s="54">
        <v>1634948</v>
      </c>
      <c r="N235" s="30">
        <v>0</v>
      </c>
      <c r="O235" s="52">
        <v>0</v>
      </c>
      <c r="P235" s="52">
        <v>0</v>
      </c>
      <c r="Q235" s="29">
        <v>0</v>
      </c>
      <c r="R235" s="29">
        <v>1634948</v>
      </c>
      <c r="S235" s="29">
        <v>3000</v>
      </c>
      <c r="T235" s="29">
        <f t="shared" si="12"/>
        <v>1637948</v>
      </c>
    </row>
    <row r="236" spans="1:20" ht="21" customHeight="1" x14ac:dyDescent="0.25">
      <c r="A236" s="21">
        <v>198</v>
      </c>
      <c r="B236" s="61" t="s">
        <v>750</v>
      </c>
      <c r="C236" s="62" t="s">
        <v>751</v>
      </c>
      <c r="D236" s="24" t="s">
        <v>23</v>
      </c>
      <c r="E236" s="62" t="s">
        <v>111</v>
      </c>
      <c r="F236" s="62" t="s">
        <v>25</v>
      </c>
      <c r="G236" s="143">
        <v>3500</v>
      </c>
      <c r="H236" s="63" t="s">
        <v>26</v>
      </c>
      <c r="I236" s="63" t="s">
        <v>752</v>
      </c>
      <c r="J236" s="62"/>
      <c r="K236" s="62"/>
      <c r="L236" s="51">
        <v>1639</v>
      </c>
      <c r="M236" s="54">
        <v>2785530</v>
      </c>
      <c r="N236" s="30">
        <v>0</v>
      </c>
      <c r="O236" s="52">
        <v>0</v>
      </c>
      <c r="P236" s="52">
        <v>0</v>
      </c>
      <c r="Q236" s="29">
        <v>0</v>
      </c>
      <c r="R236" s="29">
        <v>2785530</v>
      </c>
      <c r="S236" s="29">
        <v>3000</v>
      </c>
      <c r="T236" s="29">
        <f t="shared" si="12"/>
        <v>2788530</v>
      </c>
    </row>
    <row r="237" spans="1:20" ht="21" customHeight="1" x14ac:dyDescent="0.25">
      <c r="A237" s="21">
        <v>199</v>
      </c>
      <c r="B237" s="61" t="s">
        <v>753</v>
      </c>
      <c r="C237" s="62" t="s">
        <v>754</v>
      </c>
      <c r="D237" s="24" t="s">
        <v>23</v>
      </c>
      <c r="E237" s="62" t="s">
        <v>709</v>
      </c>
      <c r="F237" s="62" t="s">
        <v>25</v>
      </c>
      <c r="G237" s="143">
        <v>3500</v>
      </c>
      <c r="H237" s="63" t="s">
        <v>26</v>
      </c>
      <c r="I237" s="63" t="s">
        <v>755</v>
      </c>
      <c r="J237" s="62"/>
      <c r="K237" s="62"/>
      <c r="L237" s="51">
        <v>663</v>
      </c>
      <c r="M237" s="54">
        <v>1126788</v>
      </c>
      <c r="N237" s="30">
        <v>0</v>
      </c>
      <c r="O237" s="52">
        <v>0</v>
      </c>
      <c r="P237" s="52">
        <v>0</v>
      </c>
      <c r="Q237" s="29">
        <v>0</v>
      </c>
      <c r="R237" s="29">
        <v>1126788</v>
      </c>
      <c r="S237" s="29">
        <v>3000</v>
      </c>
      <c r="T237" s="29">
        <f t="shared" si="12"/>
        <v>1129788</v>
      </c>
    </row>
    <row r="238" spans="1:20" ht="21" customHeight="1" x14ac:dyDescent="0.25">
      <c r="A238" s="21">
        <v>200</v>
      </c>
      <c r="B238" s="61" t="s">
        <v>756</v>
      </c>
      <c r="C238" s="62" t="s">
        <v>757</v>
      </c>
      <c r="D238" s="24" t="s">
        <v>30</v>
      </c>
      <c r="E238" s="62" t="s">
        <v>111</v>
      </c>
      <c r="F238" s="62" t="s">
        <v>25</v>
      </c>
      <c r="G238" s="143">
        <v>3500</v>
      </c>
      <c r="H238" s="63" t="s">
        <v>26</v>
      </c>
      <c r="I238" s="63" t="s">
        <v>758</v>
      </c>
      <c r="J238" s="62"/>
      <c r="K238" s="62"/>
      <c r="L238" s="51">
        <v>1340</v>
      </c>
      <c r="M238" s="54">
        <v>2277370</v>
      </c>
      <c r="N238" s="30">
        <v>0</v>
      </c>
      <c r="O238" s="52">
        <v>0</v>
      </c>
      <c r="P238" s="52">
        <v>0</v>
      </c>
      <c r="Q238" s="29">
        <v>0</v>
      </c>
      <c r="R238" s="29">
        <v>2277370</v>
      </c>
      <c r="S238" s="29">
        <v>3000</v>
      </c>
      <c r="T238" s="29">
        <f t="shared" si="12"/>
        <v>2280370</v>
      </c>
    </row>
    <row r="239" spans="1:20" ht="21" customHeight="1" x14ac:dyDescent="0.25">
      <c r="A239" s="21"/>
      <c r="B239" s="25"/>
      <c r="C239" s="24"/>
      <c r="D239" s="24"/>
      <c r="E239" s="24"/>
      <c r="F239" s="25"/>
      <c r="G239" s="26"/>
      <c r="H239" s="28"/>
      <c r="I239" s="25"/>
      <c r="J239" s="25"/>
      <c r="K239" s="25"/>
      <c r="L239" s="28"/>
      <c r="M239" s="29"/>
      <c r="N239" s="30"/>
      <c r="O239" s="30"/>
      <c r="P239" s="30"/>
      <c r="Q239" s="29"/>
      <c r="R239" s="29"/>
      <c r="S239" s="29"/>
      <c r="T239" s="29"/>
    </row>
    <row r="240" spans="1:20" s="35" customFormat="1" ht="36.75" customHeight="1" x14ac:dyDescent="0.25">
      <c r="A240" s="164" t="s">
        <v>179</v>
      </c>
      <c r="B240" s="164"/>
      <c r="C240" s="164"/>
      <c r="D240" s="164"/>
      <c r="E240" s="164"/>
      <c r="F240" s="164"/>
      <c r="G240" s="46">
        <v>980780</v>
      </c>
      <c r="H240" s="46">
        <v>0</v>
      </c>
      <c r="I240" s="46">
        <v>0</v>
      </c>
      <c r="J240" s="46"/>
      <c r="K240" s="46"/>
      <c r="L240" s="46">
        <v>263266</v>
      </c>
      <c r="M240" s="47">
        <v>447428467</v>
      </c>
      <c r="N240" s="48">
        <v>0</v>
      </c>
      <c r="O240" s="48">
        <v>0</v>
      </c>
      <c r="P240" s="48">
        <v>0</v>
      </c>
      <c r="Q240" s="47">
        <f>SUM(Q197:Q239)</f>
        <v>40000</v>
      </c>
      <c r="R240" s="47">
        <f t="shared" ref="R240:T240" si="13">SUM(R197:R239)</f>
        <v>447468467</v>
      </c>
      <c r="S240" s="47">
        <f t="shared" si="13"/>
        <v>600000</v>
      </c>
      <c r="T240" s="47">
        <f t="shared" si="13"/>
        <v>448068467</v>
      </c>
    </row>
    <row r="241" spans="1:20" ht="21" customHeight="1" x14ac:dyDescent="0.25">
      <c r="L241" s="41"/>
    </row>
    <row r="242" spans="1:20" ht="21" customHeight="1" x14ac:dyDescent="0.25">
      <c r="L242" s="41"/>
    </row>
    <row r="243" spans="1:20" s="93" customFormat="1" ht="42" customHeight="1" x14ac:dyDescent="0.25">
      <c r="A243" s="31" t="s">
        <v>4</v>
      </c>
      <c r="B243" s="31" t="s">
        <v>5</v>
      </c>
      <c r="C243" s="31" t="s">
        <v>6</v>
      </c>
      <c r="D243" s="22"/>
      <c r="E243" s="31" t="s">
        <v>7</v>
      </c>
      <c r="F243" s="31" t="s">
        <v>8</v>
      </c>
      <c r="G243" s="31" t="s">
        <v>9</v>
      </c>
      <c r="H243" s="31" t="s">
        <v>10</v>
      </c>
      <c r="I243" s="31" t="s">
        <v>11</v>
      </c>
      <c r="J243" s="31" t="s">
        <v>12</v>
      </c>
      <c r="K243" s="31" t="s">
        <v>13</v>
      </c>
      <c r="L243" s="31" t="s">
        <v>14</v>
      </c>
      <c r="M243" s="141" t="s">
        <v>15</v>
      </c>
      <c r="N243" s="142" t="s">
        <v>16</v>
      </c>
      <c r="O243" s="142" t="s">
        <v>17</v>
      </c>
      <c r="P243" s="142" t="s">
        <v>18</v>
      </c>
      <c r="Q243" s="141" t="s">
        <v>19</v>
      </c>
      <c r="R243" s="141" t="s">
        <v>20</v>
      </c>
      <c r="S243" s="141" t="s">
        <v>3655</v>
      </c>
      <c r="T243" s="141" t="s">
        <v>3656</v>
      </c>
    </row>
    <row r="244" spans="1:20" ht="21" customHeight="1" x14ac:dyDescent="0.25">
      <c r="A244" s="24"/>
      <c r="B244" s="25"/>
      <c r="C244" s="25"/>
      <c r="D244" s="25"/>
      <c r="E244" s="25"/>
      <c r="F244" s="25"/>
      <c r="G244" s="55"/>
      <c r="H244" s="25"/>
      <c r="I244" s="25"/>
      <c r="J244" s="25"/>
      <c r="K244" s="25"/>
      <c r="L244" s="28"/>
      <c r="M244" s="29"/>
      <c r="N244" s="30"/>
      <c r="O244" s="30"/>
      <c r="P244" s="30"/>
      <c r="Q244" s="29"/>
      <c r="R244" s="29"/>
      <c r="S244" s="29"/>
      <c r="T244" s="29"/>
    </row>
    <row r="245" spans="1:20" ht="21" customHeight="1" x14ac:dyDescent="0.25">
      <c r="A245" s="24"/>
      <c r="B245" s="25"/>
      <c r="C245" s="25"/>
      <c r="D245" s="25"/>
      <c r="E245" s="45" t="s">
        <v>181</v>
      </c>
      <c r="F245" s="25"/>
      <c r="G245" s="46">
        <v>980780</v>
      </c>
      <c r="H245" s="46">
        <v>0</v>
      </c>
      <c r="I245" s="46">
        <v>0</v>
      </c>
      <c r="J245" s="46"/>
      <c r="K245" s="46"/>
      <c r="L245" s="46">
        <v>263266</v>
      </c>
      <c r="M245" s="42">
        <v>447428467</v>
      </c>
      <c r="N245" s="43">
        <v>0</v>
      </c>
      <c r="O245" s="43">
        <v>0</v>
      </c>
      <c r="P245" s="43">
        <v>0</v>
      </c>
      <c r="Q245" s="42">
        <f>Q240</f>
        <v>40000</v>
      </c>
      <c r="R245" s="42">
        <f t="shared" ref="R245:T245" si="14">R240</f>
        <v>447468467</v>
      </c>
      <c r="S245" s="42">
        <f t="shared" si="14"/>
        <v>600000</v>
      </c>
      <c r="T245" s="42">
        <f t="shared" si="14"/>
        <v>448068467</v>
      </c>
    </row>
    <row r="246" spans="1:20" ht="21" customHeight="1" x14ac:dyDescent="0.25">
      <c r="A246" s="21">
        <v>201</v>
      </c>
      <c r="B246" s="63" t="s">
        <v>759</v>
      </c>
      <c r="C246" s="62" t="s">
        <v>760</v>
      </c>
      <c r="D246" s="24" t="s">
        <v>30</v>
      </c>
      <c r="E246" s="62" t="s">
        <v>255</v>
      </c>
      <c r="F246" s="62" t="s">
        <v>25</v>
      </c>
      <c r="G246" s="143">
        <v>3500</v>
      </c>
      <c r="H246" s="62" t="s">
        <v>26</v>
      </c>
      <c r="I246" s="62" t="s">
        <v>761</v>
      </c>
      <c r="J246" s="62"/>
      <c r="K246" s="62"/>
      <c r="L246" s="51">
        <v>819</v>
      </c>
      <c r="M246" s="51">
        <v>1391915</v>
      </c>
      <c r="N246" s="30">
        <v>0</v>
      </c>
      <c r="O246" s="52">
        <v>0</v>
      </c>
      <c r="P246" s="52">
        <v>0</v>
      </c>
      <c r="Q246" s="29">
        <v>0</v>
      </c>
      <c r="R246" s="29">
        <v>1391915</v>
      </c>
      <c r="S246" s="29">
        <v>3000</v>
      </c>
      <c r="T246" s="29">
        <f t="shared" ref="T246:T277" si="15">R246+S246</f>
        <v>1394915</v>
      </c>
    </row>
    <row r="247" spans="1:20" ht="21" customHeight="1" x14ac:dyDescent="0.25">
      <c r="A247" s="21">
        <v>202</v>
      </c>
      <c r="B247" s="63" t="s">
        <v>762</v>
      </c>
      <c r="C247" s="62" t="s">
        <v>763</v>
      </c>
      <c r="D247" s="24" t="s">
        <v>23</v>
      </c>
      <c r="E247" s="62" t="s">
        <v>548</v>
      </c>
      <c r="F247" s="62" t="s">
        <v>25</v>
      </c>
      <c r="G247" s="143">
        <v>5500</v>
      </c>
      <c r="H247" s="62" t="s">
        <v>26</v>
      </c>
      <c r="I247" s="62" t="s">
        <v>764</v>
      </c>
      <c r="J247" s="62"/>
      <c r="K247" s="62"/>
      <c r="L247" s="51">
        <v>2042</v>
      </c>
      <c r="M247" s="51">
        <v>3470440</v>
      </c>
      <c r="N247" s="30">
        <v>0</v>
      </c>
      <c r="O247" s="52">
        <v>0</v>
      </c>
      <c r="P247" s="52">
        <v>0</v>
      </c>
      <c r="Q247" s="29">
        <v>0</v>
      </c>
      <c r="R247" s="29">
        <v>3470440</v>
      </c>
      <c r="S247" s="29">
        <v>3000</v>
      </c>
      <c r="T247" s="29">
        <f t="shared" si="15"/>
        <v>3473440</v>
      </c>
    </row>
    <row r="248" spans="1:20" ht="21" customHeight="1" x14ac:dyDescent="0.25">
      <c r="A248" s="21">
        <v>203</v>
      </c>
      <c r="B248" s="63" t="s">
        <v>765</v>
      </c>
      <c r="C248" s="62" t="s">
        <v>766</v>
      </c>
      <c r="D248" s="24" t="s">
        <v>30</v>
      </c>
      <c r="E248" s="62" t="s">
        <v>235</v>
      </c>
      <c r="F248" s="62" t="s">
        <v>25</v>
      </c>
      <c r="G248" s="143">
        <v>4400</v>
      </c>
      <c r="H248" s="62" t="s">
        <v>26</v>
      </c>
      <c r="I248" s="62" t="s">
        <v>767</v>
      </c>
      <c r="J248" s="62"/>
      <c r="K248" s="62"/>
      <c r="L248" s="51">
        <v>1353</v>
      </c>
      <c r="M248" s="51">
        <v>2299464</v>
      </c>
      <c r="N248" s="30">
        <v>0</v>
      </c>
      <c r="O248" s="52">
        <v>0</v>
      </c>
      <c r="P248" s="52">
        <v>0</v>
      </c>
      <c r="Q248" s="29">
        <v>0</v>
      </c>
      <c r="R248" s="29">
        <v>2299464</v>
      </c>
      <c r="S248" s="29">
        <v>3000</v>
      </c>
      <c r="T248" s="29">
        <f t="shared" si="15"/>
        <v>2302464</v>
      </c>
    </row>
    <row r="249" spans="1:20" ht="21" customHeight="1" x14ac:dyDescent="0.25">
      <c r="A249" s="21">
        <v>204</v>
      </c>
      <c r="B249" s="63" t="s">
        <v>768</v>
      </c>
      <c r="C249" s="62" t="s">
        <v>769</v>
      </c>
      <c r="D249" s="24" t="s">
        <v>23</v>
      </c>
      <c r="E249" s="62" t="s">
        <v>770</v>
      </c>
      <c r="F249" s="62" t="s">
        <v>25</v>
      </c>
      <c r="G249" s="143">
        <v>3500</v>
      </c>
      <c r="H249" s="62" t="s">
        <v>26</v>
      </c>
      <c r="I249" s="62" t="s">
        <v>771</v>
      </c>
      <c r="J249" s="62"/>
      <c r="K249" s="62"/>
      <c r="L249" s="51">
        <v>888</v>
      </c>
      <c r="M249" s="51">
        <v>1509183</v>
      </c>
      <c r="N249" s="30">
        <v>0</v>
      </c>
      <c r="O249" s="52">
        <v>0</v>
      </c>
      <c r="P249" s="52">
        <v>0</v>
      </c>
      <c r="Q249" s="29">
        <v>0</v>
      </c>
      <c r="R249" s="29">
        <v>1509183</v>
      </c>
      <c r="S249" s="29">
        <v>3000</v>
      </c>
      <c r="T249" s="29">
        <f t="shared" si="15"/>
        <v>1512183</v>
      </c>
    </row>
    <row r="250" spans="1:20" ht="21" customHeight="1" x14ac:dyDescent="0.25">
      <c r="A250" s="21">
        <v>205</v>
      </c>
      <c r="B250" s="63" t="s">
        <v>772</v>
      </c>
      <c r="C250" s="62" t="s">
        <v>773</v>
      </c>
      <c r="D250" s="24" t="s">
        <v>23</v>
      </c>
      <c r="E250" s="62" t="s">
        <v>774</v>
      </c>
      <c r="F250" s="62" t="s">
        <v>25</v>
      </c>
      <c r="G250" s="143">
        <v>5500</v>
      </c>
      <c r="H250" s="62" t="s">
        <v>26</v>
      </c>
      <c r="I250" s="62" t="s">
        <v>775</v>
      </c>
      <c r="J250" s="62"/>
      <c r="K250" s="62"/>
      <c r="L250" s="51">
        <v>1966</v>
      </c>
      <c r="M250" s="51">
        <v>3341276</v>
      </c>
      <c r="N250" s="30">
        <v>0</v>
      </c>
      <c r="O250" s="52">
        <v>0</v>
      </c>
      <c r="P250" s="52">
        <v>0</v>
      </c>
      <c r="Q250" s="29">
        <v>0</v>
      </c>
      <c r="R250" s="29">
        <v>3341276</v>
      </c>
      <c r="S250" s="29">
        <v>3000</v>
      </c>
      <c r="T250" s="29">
        <f t="shared" si="15"/>
        <v>3344276</v>
      </c>
    </row>
    <row r="251" spans="1:20" ht="21" customHeight="1" x14ac:dyDescent="0.25">
      <c r="A251" s="21">
        <v>206</v>
      </c>
      <c r="B251" s="63" t="s">
        <v>776</v>
      </c>
      <c r="C251" s="62" t="s">
        <v>777</v>
      </c>
      <c r="D251" s="24" t="s">
        <v>23</v>
      </c>
      <c r="E251" s="62" t="s">
        <v>274</v>
      </c>
      <c r="F251" s="62" t="s">
        <v>25</v>
      </c>
      <c r="G251" s="143">
        <v>4400</v>
      </c>
      <c r="H251" s="62" t="s">
        <v>26</v>
      </c>
      <c r="I251" s="62" t="s">
        <v>778</v>
      </c>
      <c r="J251" s="62"/>
      <c r="K251" s="62"/>
      <c r="L251" s="51">
        <v>2345</v>
      </c>
      <c r="M251" s="51">
        <v>3985398</v>
      </c>
      <c r="N251" s="30">
        <v>0</v>
      </c>
      <c r="O251" s="52">
        <v>0</v>
      </c>
      <c r="P251" s="52">
        <v>0</v>
      </c>
      <c r="Q251" s="29">
        <v>0</v>
      </c>
      <c r="R251" s="29">
        <v>3985398</v>
      </c>
      <c r="S251" s="29">
        <v>3000</v>
      </c>
      <c r="T251" s="29">
        <f t="shared" si="15"/>
        <v>3988398</v>
      </c>
    </row>
    <row r="252" spans="1:20" ht="21" customHeight="1" x14ac:dyDescent="0.25">
      <c r="A252" s="21">
        <v>207</v>
      </c>
      <c r="B252" s="63" t="s">
        <v>779</v>
      </c>
      <c r="C252" s="62" t="s">
        <v>777</v>
      </c>
      <c r="D252" s="24" t="s">
        <v>23</v>
      </c>
      <c r="E252" s="62" t="s">
        <v>274</v>
      </c>
      <c r="F252" s="62" t="s">
        <v>25</v>
      </c>
      <c r="G252" s="143">
        <v>3500</v>
      </c>
      <c r="H252" s="62" t="s">
        <v>26</v>
      </c>
      <c r="I252" s="62" t="s">
        <v>780</v>
      </c>
      <c r="J252" s="62"/>
      <c r="K252" s="62"/>
      <c r="L252" s="51">
        <v>1341</v>
      </c>
      <c r="M252" s="51">
        <v>2279070</v>
      </c>
      <c r="N252" s="30">
        <v>0</v>
      </c>
      <c r="O252" s="52">
        <v>0</v>
      </c>
      <c r="P252" s="52">
        <v>0</v>
      </c>
      <c r="Q252" s="29">
        <v>0</v>
      </c>
      <c r="R252" s="29">
        <v>2279070</v>
      </c>
      <c r="S252" s="29">
        <v>3000</v>
      </c>
      <c r="T252" s="29">
        <f t="shared" si="15"/>
        <v>2282070</v>
      </c>
    </row>
    <row r="253" spans="1:20" ht="21" customHeight="1" x14ac:dyDescent="0.25">
      <c r="A253" s="21">
        <v>208</v>
      </c>
      <c r="B253" s="63" t="s">
        <v>781</v>
      </c>
      <c r="C253" s="62" t="s">
        <v>782</v>
      </c>
      <c r="D253" s="24" t="s">
        <v>23</v>
      </c>
      <c r="E253" s="62" t="s">
        <v>783</v>
      </c>
      <c r="F253" s="62" t="s">
        <v>25</v>
      </c>
      <c r="G253" s="143">
        <v>4400</v>
      </c>
      <c r="H253" s="62" t="s">
        <v>26</v>
      </c>
      <c r="I253" s="62" t="s">
        <v>784</v>
      </c>
      <c r="J253" s="62"/>
      <c r="K253" s="62"/>
      <c r="L253" s="51">
        <v>959</v>
      </c>
      <c r="M253" s="51">
        <v>1629849</v>
      </c>
      <c r="N253" s="30">
        <v>0</v>
      </c>
      <c r="O253" s="52">
        <v>0</v>
      </c>
      <c r="P253" s="52">
        <v>0</v>
      </c>
      <c r="Q253" s="29">
        <v>0</v>
      </c>
      <c r="R253" s="29">
        <v>1629849</v>
      </c>
      <c r="S253" s="29">
        <v>3000</v>
      </c>
      <c r="T253" s="29">
        <f t="shared" si="15"/>
        <v>1632849</v>
      </c>
    </row>
    <row r="254" spans="1:20" ht="21" customHeight="1" x14ac:dyDescent="0.25">
      <c r="A254" s="21">
        <v>209</v>
      </c>
      <c r="B254" s="63" t="s">
        <v>785</v>
      </c>
      <c r="C254" s="62" t="s">
        <v>782</v>
      </c>
      <c r="D254" s="24" t="s">
        <v>23</v>
      </c>
      <c r="E254" s="62" t="s">
        <v>783</v>
      </c>
      <c r="F254" s="62" t="s">
        <v>25</v>
      </c>
      <c r="G254" s="143">
        <v>3500</v>
      </c>
      <c r="H254" s="62" t="s">
        <v>26</v>
      </c>
      <c r="I254" s="62" t="s">
        <v>786</v>
      </c>
      <c r="J254" s="62"/>
      <c r="K254" s="62"/>
      <c r="L254" s="51">
        <v>471</v>
      </c>
      <c r="M254" s="51">
        <v>800479</v>
      </c>
      <c r="N254" s="30">
        <v>0</v>
      </c>
      <c r="O254" s="52">
        <v>0</v>
      </c>
      <c r="P254" s="52">
        <v>0</v>
      </c>
      <c r="Q254" s="29">
        <v>0</v>
      </c>
      <c r="R254" s="29">
        <v>800479</v>
      </c>
      <c r="S254" s="29">
        <v>3000</v>
      </c>
      <c r="T254" s="29">
        <f t="shared" si="15"/>
        <v>803479</v>
      </c>
    </row>
    <row r="255" spans="1:20" ht="21" customHeight="1" x14ac:dyDescent="0.25">
      <c r="A255" s="21">
        <v>210</v>
      </c>
      <c r="B255" s="63" t="s">
        <v>787</v>
      </c>
      <c r="C255" s="62" t="s">
        <v>788</v>
      </c>
      <c r="D255" s="24" t="s">
        <v>23</v>
      </c>
      <c r="E255" s="62" t="s">
        <v>789</v>
      </c>
      <c r="F255" s="62" t="s">
        <v>25</v>
      </c>
      <c r="G255" s="143">
        <v>5500</v>
      </c>
      <c r="H255" s="62" t="s">
        <v>26</v>
      </c>
      <c r="I255" s="62" t="s">
        <v>790</v>
      </c>
      <c r="J255" s="62"/>
      <c r="K255" s="62"/>
      <c r="L255" s="51">
        <v>1490</v>
      </c>
      <c r="M255" s="51">
        <v>2532300</v>
      </c>
      <c r="N255" s="30">
        <v>0</v>
      </c>
      <c r="O255" s="52">
        <v>0</v>
      </c>
      <c r="P255" s="52">
        <v>0</v>
      </c>
      <c r="Q255" s="29">
        <v>0</v>
      </c>
      <c r="R255" s="29">
        <v>2532300</v>
      </c>
      <c r="S255" s="29">
        <v>3000</v>
      </c>
      <c r="T255" s="29">
        <f t="shared" si="15"/>
        <v>2535300</v>
      </c>
    </row>
    <row r="256" spans="1:20" ht="21" customHeight="1" x14ac:dyDescent="0.25">
      <c r="A256" s="21">
        <v>211</v>
      </c>
      <c r="B256" s="63" t="s">
        <v>791</v>
      </c>
      <c r="C256" s="62" t="s">
        <v>792</v>
      </c>
      <c r="D256" s="24" t="s">
        <v>23</v>
      </c>
      <c r="E256" s="62" t="s">
        <v>299</v>
      </c>
      <c r="F256" s="62" t="s">
        <v>25</v>
      </c>
      <c r="G256" s="143">
        <v>5500</v>
      </c>
      <c r="H256" s="62" t="s">
        <v>26</v>
      </c>
      <c r="I256" s="62" t="s">
        <v>793</v>
      </c>
      <c r="J256" s="62"/>
      <c r="K256" s="62"/>
      <c r="L256" s="51">
        <v>1154</v>
      </c>
      <c r="M256" s="51">
        <v>1961258</v>
      </c>
      <c r="N256" s="30">
        <v>0</v>
      </c>
      <c r="O256" s="52">
        <v>0</v>
      </c>
      <c r="P256" s="52">
        <v>0</v>
      </c>
      <c r="Q256" s="29">
        <v>0</v>
      </c>
      <c r="R256" s="29">
        <v>1961258</v>
      </c>
      <c r="S256" s="29">
        <v>3000</v>
      </c>
      <c r="T256" s="29">
        <f t="shared" si="15"/>
        <v>1964258</v>
      </c>
    </row>
    <row r="257" spans="1:20" ht="21" customHeight="1" x14ac:dyDescent="0.25">
      <c r="A257" s="21">
        <v>212</v>
      </c>
      <c r="B257" s="63" t="s">
        <v>794</v>
      </c>
      <c r="C257" s="62" t="s">
        <v>623</v>
      </c>
      <c r="D257" s="24" t="s">
        <v>23</v>
      </c>
      <c r="E257" s="62" t="s">
        <v>795</v>
      </c>
      <c r="F257" s="62" t="s">
        <v>25</v>
      </c>
      <c r="G257" s="143">
        <v>4400</v>
      </c>
      <c r="H257" s="62" t="s">
        <v>26</v>
      </c>
      <c r="I257" s="62" t="s">
        <v>796</v>
      </c>
      <c r="J257" s="62"/>
      <c r="K257" s="62"/>
      <c r="L257" s="51">
        <v>2188</v>
      </c>
      <c r="M257" s="51">
        <v>3718572</v>
      </c>
      <c r="N257" s="30">
        <v>0</v>
      </c>
      <c r="O257" s="52">
        <v>0</v>
      </c>
      <c r="P257" s="52">
        <v>0</v>
      </c>
      <c r="Q257" s="29">
        <v>0</v>
      </c>
      <c r="R257" s="29">
        <v>3718572</v>
      </c>
      <c r="S257" s="29">
        <v>3000</v>
      </c>
      <c r="T257" s="29">
        <f t="shared" si="15"/>
        <v>3721572</v>
      </c>
    </row>
    <row r="258" spans="1:20" ht="21" customHeight="1" x14ac:dyDescent="0.25">
      <c r="A258" s="21">
        <v>213</v>
      </c>
      <c r="B258" s="63" t="s">
        <v>797</v>
      </c>
      <c r="C258" s="62" t="s">
        <v>798</v>
      </c>
      <c r="D258" s="24" t="s">
        <v>23</v>
      </c>
      <c r="E258" s="62" t="s">
        <v>799</v>
      </c>
      <c r="F258" s="62" t="s">
        <v>25</v>
      </c>
      <c r="G258" s="143">
        <v>900</v>
      </c>
      <c r="H258" s="62" t="s">
        <v>26</v>
      </c>
      <c r="I258" s="62" t="s">
        <v>800</v>
      </c>
      <c r="J258" s="62"/>
      <c r="K258" s="62"/>
      <c r="L258" s="51">
        <v>95</v>
      </c>
      <c r="M258" s="51">
        <v>161455</v>
      </c>
      <c r="N258" s="30">
        <v>0</v>
      </c>
      <c r="O258" s="52">
        <v>0</v>
      </c>
      <c r="P258" s="52">
        <v>0</v>
      </c>
      <c r="Q258" s="29">
        <v>0</v>
      </c>
      <c r="R258" s="29">
        <v>161455</v>
      </c>
      <c r="S258" s="29">
        <v>3000</v>
      </c>
      <c r="T258" s="29">
        <f t="shared" si="15"/>
        <v>164455</v>
      </c>
    </row>
    <row r="259" spans="1:20" ht="21" customHeight="1" x14ac:dyDescent="0.25">
      <c r="A259" s="21">
        <v>214</v>
      </c>
      <c r="B259" s="63" t="s">
        <v>801</v>
      </c>
      <c r="C259" s="62" t="s">
        <v>802</v>
      </c>
      <c r="D259" s="24" t="s">
        <v>23</v>
      </c>
      <c r="E259" s="62" t="s">
        <v>803</v>
      </c>
      <c r="F259" s="62" t="s">
        <v>25</v>
      </c>
      <c r="G259" s="143">
        <v>2200</v>
      </c>
      <c r="H259" s="62" t="s">
        <v>26</v>
      </c>
      <c r="I259" s="62" t="s">
        <v>804</v>
      </c>
      <c r="J259" s="62"/>
      <c r="K259" s="62"/>
      <c r="L259" s="51">
        <v>422</v>
      </c>
      <c r="M259" s="51">
        <v>717202</v>
      </c>
      <c r="N259" s="30">
        <v>0</v>
      </c>
      <c r="O259" s="52">
        <v>0</v>
      </c>
      <c r="P259" s="52">
        <v>0</v>
      </c>
      <c r="Q259" s="29">
        <v>0</v>
      </c>
      <c r="R259" s="29">
        <v>717202</v>
      </c>
      <c r="S259" s="29">
        <v>3000</v>
      </c>
      <c r="T259" s="29">
        <f t="shared" si="15"/>
        <v>720202</v>
      </c>
    </row>
    <row r="260" spans="1:20" ht="21" customHeight="1" x14ac:dyDescent="0.25">
      <c r="A260" s="21">
        <v>215</v>
      </c>
      <c r="B260" s="63" t="s">
        <v>805</v>
      </c>
      <c r="C260" s="62" t="s">
        <v>806</v>
      </c>
      <c r="D260" s="24" t="s">
        <v>30</v>
      </c>
      <c r="E260" s="62" t="s">
        <v>807</v>
      </c>
      <c r="F260" s="62" t="s">
        <v>25</v>
      </c>
      <c r="G260" s="143">
        <v>1300</v>
      </c>
      <c r="H260" s="62" t="s">
        <v>26</v>
      </c>
      <c r="I260" s="62" t="s">
        <v>808</v>
      </c>
      <c r="J260" s="62"/>
      <c r="K260" s="62"/>
      <c r="L260" s="51">
        <v>52</v>
      </c>
      <c r="M260" s="51">
        <v>88376</v>
      </c>
      <c r="N260" s="30">
        <v>0</v>
      </c>
      <c r="O260" s="52">
        <v>0</v>
      </c>
      <c r="P260" s="52">
        <v>0</v>
      </c>
      <c r="Q260" s="29">
        <v>0</v>
      </c>
      <c r="R260" s="29">
        <v>88376</v>
      </c>
      <c r="S260" s="29">
        <v>3000</v>
      </c>
      <c r="T260" s="29">
        <f t="shared" si="15"/>
        <v>91376</v>
      </c>
    </row>
    <row r="261" spans="1:20" ht="21" customHeight="1" x14ac:dyDescent="0.25">
      <c r="A261" s="21">
        <v>216</v>
      </c>
      <c r="B261" s="63" t="s">
        <v>809</v>
      </c>
      <c r="C261" s="62" t="s">
        <v>810</v>
      </c>
      <c r="D261" s="24" t="s">
        <v>23</v>
      </c>
      <c r="E261" s="62" t="s">
        <v>811</v>
      </c>
      <c r="F261" s="62" t="s">
        <v>25</v>
      </c>
      <c r="G261" s="143">
        <v>1300</v>
      </c>
      <c r="H261" s="62" t="s">
        <v>26</v>
      </c>
      <c r="I261" s="62" t="s">
        <v>812</v>
      </c>
      <c r="J261" s="62"/>
      <c r="K261" s="62"/>
      <c r="L261" s="51">
        <v>277</v>
      </c>
      <c r="M261" s="51">
        <v>470770</v>
      </c>
      <c r="N261" s="30">
        <v>0</v>
      </c>
      <c r="O261" s="52">
        <v>0</v>
      </c>
      <c r="P261" s="52">
        <v>0</v>
      </c>
      <c r="Q261" s="29">
        <v>0</v>
      </c>
      <c r="R261" s="29">
        <v>470770</v>
      </c>
      <c r="S261" s="29">
        <v>3000</v>
      </c>
      <c r="T261" s="29">
        <f t="shared" si="15"/>
        <v>473770</v>
      </c>
    </row>
    <row r="262" spans="1:20" ht="21" customHeight="1" x14ac:dyDescent="0.25">
      <c r="A262" s="21">
        <v>217</v>
      </c>
      <c r="B262" s="63" t="s">
        <v>813</v>
      </c>
      <c r="C262" s="62" t="s">
        <v>814</v>
      </c>
      <c r="D262" s="24" t="s">
        <v>30</v>
      </c>
      <c r="E262" s="62" t="s">
        <v>815</v>
      </c>
      <c r="F262" s="62" t="s">
        <v>25</v>
      </c>
      <c r="G262" s="143">
        <v>1300</v>
      </c>
      <c r="H262" s="62" t="s">
        <v>26</v>
      </c>
      <c r="I262" s="62" t="s">
        <v>816</v>
      </c>
      <c r="J262" s="62"/>
      <c r="K262" s="62"/>
      <c r="L262" s="51">
        <v>52</v>
      </c>
      <c r="M262" s="51">
        <v>88376</v>
      </c>
      <c r="N262" s="30">
        <v>0</v>
      </c>
      <c r="O262" s="52">
        <v>0</v>
      </c>
      <c r="P262" s="52">
        <v>0</v>
      </c>
      <c r="Q262" s="29">
        <v>0</v>
      </c>
      <c r="R262" s="29">
        <v>88376</v>
      </c>
      <c r="S262" s="29">
        <v>3000</v>
      </c>
      <c r="T262" s="29">
        <f t="shared" si="15"/>
        <v>91376</v>
      </c>
    </row>
    <row r="263" spans="1:20" ht="21" customHeight="1" x14ac:dyDescent="0.25">
      <c r="A263" s="21">
        <v>218</v>
      </c>
      <c r="B263" s="63" t="s">
        <v>817</v>
      </c>
      <c r="C263" s="62" t="s">
        <v>818</v>
      </c>
      <c r="D263" s="24" t="s">
        <v>23</v>
      </c>
      <c r="E263" s="62" t="s">
        <v>819</v>
      </c>
      <c r="F263" s="62" t="s">
        <v>25</v>
      </c>
      <c r="G263" s="143">
        <v>1300</v>
      </c>
      <c r="H263" s="62" t="s">
        <v>26</v>
      </c>
      <c r="I263" s="62" t="s">
        <v>820</v>
      </c>
      <c r="J263" s="62"/>
      <c r="K263" s="62"/>
      <c r="L263" s="51">
        <v>98</v>
      </c>
      <c r="M263" s="51">
        <v>166554</v>
      </c>
      <c r="N263" s="30">
        <v>0</v>
      </c>
      <c r="O263" s="52">
        <v>0</v>
      </c>
      <c r="P263" s="52">
        <v>0</v>
      </c>
      <c r="Q263" s="29">
        <v>0</v>
      </c>
      <c r="R263" s="29">
        <v>166554</v>
      </c>
      <c r="S263" s="29">
        <v>3000</v>
      </c>
      <c r="T263" s="29">
        <f t="shared" si="15"/>
        <v>169554</v>
      </c>
    </row>
    <row r="264" spans="1:20" ht="21" customHeight="1" x14ac:dyDescent="0.25">
      <c r="A264" s="21">
        <v>219</v>
      </c>
      <c r="B264" s="63" t="s">
        <v>821</v>
      </c>
      <c r="C264" s="62" t="s">
        <v>822</v>
      </c>
      <c r="D264" s="24" t="s">
        <v>23</v>
      </c>
      <c r="E264" s="62" t="s">
        <v>115</v>
      </c>
      <c r="F264" s="62" t="s">
        <v>25</v>
      </c>
      <c r="G264" s="143">
        <v>900</v>
      </c>
      <c r="H264" s="62" t="s">
        <v>26</v>
      </c>
      <c r="I264" s="62" t="s">
        <v>823</v>
      </c>
      <c r="J264" s="62"/>
      <c r="K264" s="62"/>
      <c r="L264" s="51">
        <v>144</v>
      </c>
      <c r="M264" s="51">
        <v>244732</v>
      </c>
      <c r="N264" s="30">
        <v>0</v>
      </c>
      <c r="O264" s="52">
        <v>0</v>
      </c>
      <c r="P264" s="52">
        <v>0</v>
      </c>
      <c r="Q264" s="29">
        <v>0</v>
      </c>
      <c r="R264" s="29">
        <v>244732</v>
      </c>
      <c r="S264" s="29">
        <v>3000</v>
      </c>
      <c r="T264" s="29">
        <f t="shared" si="15"/>
        <v>247732</v>
      </c>
    </row>
    <row r="265" spans="1:20" ht="21" customHeight="1" x14ac:dyDescent="0.25">
      <c r="A265" s="21">
        <v>220</v>
      </c>
      <c r="B265" s="63" t="s">
        <v>824</v>
      </c>
      <c r="C265" s="62" t="s">
        <v>825</v>
      </c>
      <c r="D265" s="24" t="s">
        <v>30</v>
      </c>
      <c r="E265" s="62" t="s">
        <v>492</v>
      </c>
      <c r="F265" s="62" t="s">
        <v>25</v>
      </c>
      <c r="G265" s="143">
        <v>2200</v>
      </c>
      <c r="H265" s="62" t="s">
        <v>26</v>
      </c>
      <c r="I265" s="62" t="s">
        <v>826</v>
      </c>
      <c r="J265" s="62"/>
      <c r="K265" s="62"/>
      <c r="L265" s="51">
        <v>852</v>
      </c>
      <c r="M265" s="51">
        <v>1448000</v>
      </c>
      <c r="N265" s="30">
        <v>0</v>
      </c>
      <c r="O265" s="52">
        <v>0</v>
      </c>
      <c r="P265" s="52">
        <v>0</v>
      </c>
      <c r="Q265" s="29">
        <v>0</v>
      </c>
      <c r="R265" s="29">
        <v>1448000</v>
      </c>
      <c r="S265" s="29">
        <v>3000</v>
      </c>
      <c r="T265" s="29">
        <f t="shared" si="15"/>
        <v>1451000</v>
      </c>
    </row>
    <row r="266" spans="1:20" ht="21" customHeight="1" x14ac:dyDescent="0.25">
      <c r="A266" s="21">
        <v>221</v>
      </c>
      <c r="B266" s="63" t="s">
        <v>827</v>
      </c>
      <c r="C266" s="62" t="s">
        <v>828</v>
      </c>
      <c r="D266" s="24" t="s">
        <v>30</v>
      </c>
      <c r="E266" s="62" t="s">
        <v>274</v>
      </c>
      <c r="F266" s="62" t="s">
        <v>25</v>
      </c>
      <c r="G266" s="143">
        <v>2200</v>
      </c>
      <c r="H266" s="62" t="s">
        <v>26</v>
      </c>
      <c r="I266" s="62" t="s">
        <v>829</v>
      </c>
      <c r="J266" s="62"/>
      <c r="K266" s="62"/>
      <c r="L266" s="51">
        <v>369</v>
      </c>
      <c r="M266" s="51">
        <v>627127</v>
      </c>
      <c r="N266" s="30">
        <v>0</v>
      </c>
      <c r="O266" s="52">
        <v>0</v>
      </c>
      <c r="P266" s="52">
        <v>0</v>
      </c>
      <c r="Q266" s="29">
        <v>0</v>
      </c>
      <c r="R266" s="29">
        <v>627127</v>
      </c>
      <c r="S266" s="29">
        <v>3000</v>
      </c>
      <c r="T266" s="29">
        <f t="shared" si="15"/>
        <v>630127</v>
      </c>
    </row>
    <row r="267" spans="1:20" ht="21" customHeight="1" x14ac:dyDescent="0.25">
      <c r="A267" s="21">
        <v>222</v>
      </c>
      <c r="B267" s="63" t="s">
        <v>830</v>
      </c>
      <c r="C267" s="62" t="s">
        <v>831</v>
      </c>
      <c r="D267" s="24" t="s">
        <v>30</v>
      </c>
      <c r="E267" s="62" t="s">
        <v>832</v>
      </c>
      <c r="F267" s="62" t="s">
        <v>25</v>
      </c>
      <c r="G267" s="143">
        <v>1300</v>
      </c>
      <c r="H267" s="62" t="s">
        <v>26</v>
      </c>
      <c r="I267" s="62" t="s">
        <v>833</v>
      </c>
      <c r="J267" s="62"/>
      <c r="K267" s="62"/>
      <c r="L267" s="51">
        <v>279</v>
      </c>
      <c r="M267" s="51">
        <v>474169</v>
      </c>
      <c r="N267" s="30">
        <v>0</v>
      </c>
      <c r="O267" s="52">
        <v>0</v>
      </c>
      <c r="P267" s="52">
        <v>0</v>
      </c>
      <c r="Q267" s="29">
        <v>0</v>
      </c>
      <c r="R267" s="29">
        <v>474169</v>
      </c>
      <c r="S267" s="29">
        <v>3000</v>
      </c>
      <c r="T267" s="29">
        <f t="shared" si="15"/>
        <v>477169</v>
      </c>
    </row>
    <row r="268" spans="1:20" ht="21" customHeight="1" x14ac:dyDescent="0.25">
      <c r="A268" s="21">
        <v>223</v>
      </c>
      <c r="B268" s="63" t="s">
        <v>834</v>
      </c>
      <c r="C268" s="62" t="s">
        <v>835</v>
      </c>
      <c r="D268" s="24" t="s">
        <v>23</v>
      </c>
      <c r="E268" s="62" t="s">
        <v>836</v>
      </c>
      <c r="F268" s="62" t="s">
        <v>25</v>
      </c>
      <c r="G268" s="143">
        <v>1300</v>
      </c>
      <c r="H268" s="62" t="s">
        <v>26</v>
      </c>
      <c r="I268" s="62" t="s">
        <v>837</v>
      </c>
      <c r="J268" s="62"/>
      <c r="K268" s="62"/>
      <c r="L268" s="51">
        <v>181</v>
      </c>
      <c r="M268" s="51">
        <v>307615</v>
      </c>
      <c r="N268" s="30">
        <v>0</v>
      </c>
      <c r="O268" s="52">
        <v>0</v>
      </c>
      <c r="P268" s="52">
        <v>0</v>
      </c>
      <c r="Q268" s="29">
        <v>0</v>
      </c>
      <c r="R268" s="29">
        <v>307615</v>
      </c>
      <c r="S268" s="29">
        <v>3000</v>
      </c>
      <c r="T268" s="29">
        <f t="shared" si="15"/>
        <v>310615</v>
      </c>
    </row>
    <row r="269" spans="1:20" ht="21" customHeight="1" x14ac:dyDescent="0.25">
      <c r="A269" s="21">
        <v>224</v>
      </c>
      <c r="B269" s="63" t="s">
        <v>838</v>
      </c>
      <c r="C269" s="62" t="s">
        <v>839</v>
      </c>
      <c r="D269" s="24" t="s">
        <v>23</v>
      </c>
      <c r="E269" s="62" t="s">
        <v>840</v>
      </c>
      <c r="F269" s="62" t="s">
        <v>25</v>
      </c>
      <c r="G269" s="143">
        <v>2200</v>
      </c>
      <c r="H269" s="62" t="s">
        <v>26</v>
      </c>
      <c r="I269" s="62" t="s">
        <v>841</v>
      </c>
      <c r="J269" s="62"/>
      <c r="K269" s="62"/>
      <c r="L269" s="51">
        <v>440</v>
      </c>
      <c r="M269" s="51">
        <v>747793</v>
      </c>
      <c r="N269" s="30">
        <v>0</v>
      </c>
      <c r="O269" s="52">
        <v>0</v>
      </c>
      <c r="P269" s="52">
        <v>0</v>
      </c>
      <c r="Q269" s="29">
        <v>0</v>
      </c>
      <c r="R269" s="29">
        <v>747793</v>
      </c>
      <c r="S269" s="29">
        <v>3000</v>
      </c>
      <c r="T269" s="29">
        <f t="shared" si="15"/>
        <v>750793</v>
      </c>
    </row>
    <row r="270" spans="1:20" ht="21" customHeight="1" x14ac:dyDescent="0.25">
      <c r="A270" s="21">
        <v>225</v>
      </c>
      <c r="B270" s="63" t="s">
        <v>842</v>
      </c>
      <c r="C270" s="62" t="s">
        <v>843</v>
      </c>
      <c r="D270" s="24" t="s">
        <v>23</v>
      </c>
      <c r="E270" s="62" t="s">
        <v>844</v>
      </c>
      <c r="F270" s="62" t="s">
        <v>25</v>
      </c>
      <c r="G270" s="143">
        <v>2200</v>
      </c>
      <c r="H270" s="62" t="s">
        <v>26</v>
      </c>
      <c r="I270" s="62" t="s">
        <v>845</v>
      </c>
      <c r="J270" s="62"/>
      <c r="K270" s="62"/>
      <c r="L270" s="51">
        <v>270</v>
      </c>
      <c r="M270" s="51">
        <v>458873</v>
      </c>
      <c r="N270" s="30">
        <v>0</v>
      </c>
      <c r="O270" s="52">
        <v>0</v>
      </c>
      <c r="P270" s="52">
        <v>0</v>
      </c>
      <c r="Q270" s="29">
        <v>0</v>
      </c>
      <c r="R270" s="29">
        <v>458873</v>
      </c>
      <c r="S270" s="29">
        <v>3000</v>
      </c>
      <c r="T270" s="29">
        <f t="shared" si="15"/>
        <v>461873</v>
      </c>
    </row>
    <row r="271" spans="1:20" ht="21" customHeight="1" x14ac:dyDescent="0.25">
      <c r="A271" s="21">
        <v>226</v>
      </c>
      <c r="B271" s="63" t="s">
        <v>846</v>
      </c>
      <c r="C271" s="62" t="s">
        <v>847</v>
      </c>
      <c r="D271" s="24" t="s">
        <v>30</v>
      </c>
      <c r="E271" s="62" t="s">
        <v>848</v>
      </c>
      <c r="F271" s="62" t="s">
        <v>25</v>
      </c>
      <c r="G271" s="143">
        <v>900</v>
      </c>
      <c r="H271" s="62" t="s">
        <v>26</v>
      </c>
      <c r="I271" s="62" t="s">
        <v>849</v>
      </c>
      <c r="J271" s="62"/>
      <c r="K271" s="62"/>
      <c r="L271" s="51">
        <v>56</v>
      </c>
      <c r="M271" s="51">
        <v>95174</v>
      </c>
      <c r="N271" s="30">
        <v>0</v>
      </c>
      <c r="O271" s="52">
        <v>0</v>
      </c>
      <c r="P271" s="52">
        <v>0</v>
      </c>
      <c r="Q271" s="29">
        <v>0</v>
      </c>
      <c r="R271" s="29">
        <v>95174</v>
      </c>
      <c r="S271" s="29">
        <v>3000</v>
      </c>
      <c r="T271" s="29">
        <f t="shared" si="15"/>
        <v>98174</v>
      </c>
    </row>
    <row r="272" spans="1:20" ht="21" customHeight="1" x14ac:dyDescent="0.25">
      <c r="A272" s="21">
        <v>227</v>
      </c>
      <c r="B272" s="63" t="s">
        <v>850</v>
      </c>
      <c r="C272" s="62" t="s">
        <v>851</v>
      </c>
      <c r="D272" s="24" t="s">
        <v>30</v>
      </c>
      <c r="E272" s="62" t="s">
        <v>852</v>
      </c>
      <c r="F272" s="62" t="s">
        <v>25</v>
      </c>
      <c r="G272" s="143">
        <v>1300</v>
      </c>
      <c r="H272" s="62" t="s">
        <v>26</v>
      </c>
      <c r="I272" s="62" t="s">
        <v>853</v>
      </c>
      <c r="J272" s="62"/>
      <c r="K272" s="62"/>
      <c r="L272" s="51">
        <v>215</v>
      </c>
      <c r="M272" s="51">
        <v>365399</v>
      </c>
      <c r="N272" s="30">
        <v>0</v>
      </c>
      <c r="O272" s="52">
        <v>0</v>
      </c>
      <c r="P272" s="52">
        <v>0</v>
      </c>
      <c r="Q272" s="29">
        <v>0</v>
      </c>
      <c r="R272" s="29">
        <v>365399</v>
      </c>
      <c r="S272" s="29">
        <v>3000</v>
      </c>
      <c r="T272" s="29">
        <f t="shared" si="15"/>
        <v>368399</v>
      </c>
    </row>
    <row r="273" spans="1:20" ht="21" customHeight="1" x14ac:dyDescent="0.25">
      <c r="A273" s="21">
        <v>228</v>
      </c>
      <c r="B273" s="63" t="s">
        <v>854</v>
      </c>
      <c r="C273" s="62" t="s">
        <v>855</v>
      </c>
      <c r="D273" s="24" t="s">
        <v>30</v>
      </c>
      <c r="E273" s="62" t="s">
        <v>292</v>
      </c>
      <c r="F273" s="62" t="s">
        <v>25</v>
      </c>
      <c r="G273" s="143">
        <v>3500</v>
      </c>
      <c r="H273" s="62" t="s">
        <v>26</v>
      </c>
      <c r="I273" s="62" t="s">
        <v>856</v>
      </c>
      <c r="J273" s="62"/>
      <c r="K273" s="62"/>
      <c r="L273" s="51">
        <v>445</v>
      </c>
      <c r="M273" s="51">
        <v>756291</v>
      </c>
      <c r="N273" s="30">
        <v>0</v>
      </c>
      <c r="O273" s="52">
        <v>0</v>
      </c>
      <c r="P273" s="52">
        <v>0</v>
      </c>
      <c r="Q273" s="29">
        <v>0</v>
      </c>
      <c r="R273" s="29">
        <v>756291</v>
      </c>
      <c r="S273" s="29">
        <v>3000</v>
      </c>
      <c r="T273" s="29">
        <f t="shared" si="15"/>
        <v>759291</v>
      </c>
    </row>
    <row r="274" spans="1:20" ht="21" customHeight="1" x14ac:dyDescent="0.25">
      <c r="A274" s="21">
        <v>229</v>
      </c>
      <c r="B274" s="63" t="s">
        <v>857</v>
      </c>
      <c r="C274" s="62" t="s">
        <v>858</v>
      </c>
      <c r="D274" s="24" t="s">
        <v>23</v>
      </c>
      <c r="E274" s="62" t="s">
        <v>859</v>
      </c>
      <c r="F274" s="62" t="s">
        <v>25</v>
      </c>
      <c r="G274" s="143">
        <v>1300</v>
      </c>
      <c r="H274" s="62" t="s">
        <v>26</v>
      </c>
      <c r="I274" s="62" t="s">
        <v>860</v>
      </c>
      <c r="J274" s="62"/>
      <c r="K274" s="62"/>
      <c r="L274" s="51">
        <v>180</v>
      </c>
      <c r="M274" s="51">
        <v>305915</v>
      </c>
      <c r="N274" s="30">
        <v>0</v>
      </c>
      <c r="O274" s="52">
        <v>0</v>
      </c>
      <c r="P274" s="52">
        <v>0</v>
      </c>
      <c r="Q274" s="29">
        <v>0</v>
      </c>
      <c r="R274" s="29">
        <v>305915</v>
      </c>
      <c r="S274" s="29">
        <v>3000</v>
      </c>
      <c r="T274" s="29">
        <f t="shared" si="15"/>
        <v>308915</v>
      </c>
    </row>
    <row r="275" spans="1:20" ht="21" customHeight="1" x14ac:dyDescent="0.25">
      <c r="A275" s="21">
        <v>230</v>
      </c>
      <c r="B275" s="63" t="s">
        <v>861</v>
      </c>
      <c r="C275" s="62" t="s">
        <v>862</v>
      </c>
      <c r="D275" s="24" t="s">
        <v>30</v>
      </c>
      <c r="E275" s="62" t="s">
        <v>863</v>
      </c>
      <c r="F275" s="62" t="s">
        <v>25</v>
      </c>
      <c r="G275" s="143">
        <v>3500</v>
      </c>
      <c r="H275" s="62" t="s">
        <v>26</v>
      </c>
      <c r="I275" s="62" t="s">
        <v>864</v>
      </c>
      <c r="J275" s="62"/>
      <c r="K275" s="62"/>
      <c r="L275" s="51">
        <v>717</v>
      </c>
      <c r="M275" s="51">
        <v>1218563</v>
      </c>
      <c r="N275" s="30">
        <v>0</v>
      </c>
      <c r="O275" s="52">
        <v>0</v>
      </c>
      <c r="P275" s="52">
        <v>0</v>
      </c>
      <c r="Q275" s="29">
        <v>0</v>
      </c>
      <c r="R275" s="29">
        <v>1218563</v>
      </c>
      <c r="S275" s="29">
        <v>3000</v>
      </c>
      <c r="T275" s="29">
        <f t="shared" si="15"/>
        <v>1221563</v>
      </c>
    </row>
    <row r="276" spans="1:20" ht="21" customHeight="1" x14ac:dyDescent="0.25">
      <c r="A276" s="21">
        <v>231</v>
      </c>
      <c r="B276" s="63" t="s">
        <v>865</v>
      </c>
      <c r="C276" s="62" t="s">
        <v>866</v>
      </c>
      <c r="D276" s="24" t="s">
        <v>23</v>
      </c>
      <c r="E276" s="62" t="s">
        <v>867</v>
      </c>
      <c r="F276" s="62" t="s">
        <v>25</v>
      </c>
      <c r="G276" s="143">
        <v>3500</v>
      </c>
      <c r="H276" s="62" t="s">
        <v>26</v>
      </c>
      <c r="I276" s="62" t="s">
        <v>868</v>
      </c>
      <c r="J276" s="62"/>
      <c r="K276" s="62"/>
      <c r="L276" s="51">
        <v>413</v>
      </c>
      <c r="M276" s="51">
        <v>701906</v>
      </c>
      <c r="N276" s="30">
        <v>0</v>
      </c>
      <c r="O276" s="52">
        <v>0</v>
      </c>
      <c r="P276" s="52">
        <v>0</v>
      </c>
      <c r="Q276" s="29">
        <v>0</v>
      </c>
      <c r="R276" s="29">
        <v>701906</v>
      </c>
      <c r="S276" s="29">
        <v>3000</v>
      </c>
      <c r="T276" s="29">
        <f t="shared" si="15"/>
        <v>704906</v>
      </c>
    </row>
    <row r="277" spans="1:20" ht="21" customHeight="1" x14ac:dyDescent="0.25">
      <c r="A277" s="21">
        <v>232</v>
      </c>
      <c r="B277" s="63" t="s">
        <v>869</v>
      </c>
      <c r="C277" s="62" t="s">
        <v>870</v>
      </c>
      <c r="D277" s="24" t="s">
        <v>23</v>
      </c>
      <c r="E277" s="62" t="s">
        <v>871</v>
      </c>
      <c r="F277" s="62" t="s">
        <v>25</v>
      </c>
      <c r="G277" s="143">
        <v>33000</v>
      </c>
      <c r="H277" s="62" t="s">
        <v>26</v>
      </c>
      <c r="I277" s="62" t="s">
        <v>872</v>
      </c>
      <c r="J277" s="62"/>
      <c r="K277" s="62"/>
      <c r="L277" s="51">
        <v>2219</v>
      </c>
      <c r="M277" s="51">
        <v>3771257</v>
      </c>
      <c r="N277" s="30">
        <v>0</v>
      </c>
      <c r="O277" s="52">
        <v>0</v>
      </c>
      <c r="P277" s="52">
        <v>0</v>
      </c>
      <c r="Q277" s="29">
        <v>0</v>
      </c>
      <c r="R277" s="29">
        <v>3771257</v>
      </c>
      <c r="S277" s="29">
        <v>3000</v>
      </c>
      <c r="T277" s="29">
        <f t="shared" si="15"/>
        <v>3774257</v>
      </c>
    </row>
    <row r="278" spans="1:20" ht="21" customHeight="1" x14ac:dyDescent="0.25">
      <c r="A278" s="24"/>
      <c r="B278" s="25"/>
      <c r="C278" s="24"/>
      <c r="D278" s="24"/>
      <c r="E278" s="24"/>
      <c r="F278" s="25"/>
      <c r="G278" s="56"/>
      <c r="H278" s="57"/>
      <c r="I278" s="25"/>
      <c r="J278" s="25"/>
      <c r="K278" s="25"/>
      <c r="L278" s="28"/>
      <c r="M278" s="29"/>
      <c r="N278" s="30"/>
      <c r="O278" s="30"/>
      <c r="P278" s="30"/>
      <c r="Q278" s="29"/>
      <c r="R278" s="29"/>
      <c r="S278" s="29"/>
      <c r="T278" s="29"/>
    </row>
    <row r="279" spans="1:20" s="35" customFormat="1" ht="36" customHeight="1" x14ac:dyDescent="0.25">
      <c r="A279" s="44" t="s">
        <v>873</v>
      </c>
      <c r="B279" s="50"/>
      <c r="C279" s="50"/>
      <c r="D279" s="50"/>
      <c r="E279" s="50"/>
      <c r="F279" s="50"/>
      <c r="G279" s="46">
        <v>1101980</v>
      </c>
      <c r="H279" s="46">
        <v>0</v>
      </c>
      <c r="I279" s="46">
        <v>0</v>
      </c>
      <c r="J279" s="46"/>
      <c r="K279" s="46"/>
      <c r="L279" s="46">
        <v>288058</v>
      </c>
      <c r="M279" s="46">
        <v>489563218</v>
      </c>
      <c r="N279" s="46">
        <v>0</v>
      </c>
      <c r="O279" s="46">
        <v>0</v>
      </c>
      <c r="P279" s="46">
        <v>0</v>
      </c>
      <c r="Q279" s="152">
        <f>SUM(Q244:Q278)</f>
        <v>40000</v>
      </c>
      <c r="R279" s="152">
        <f t="shared" ref="R279:T279" si="16">SUM(R244:R278)</f>
        <v>489603218</v>
      </c>
      <c r="S279" s="152">
        <f t="shared" si="16"/>
        <v>696000</v>
      </c>
      <c r="T279" s="152">
        <f t="shared" si="16"/>
        <v>490299218</v>
      </c>
    </row>
    <row r="280" spans="1:20" s="35" customFormat="1" ht="21" customHeight="1" x14ac:dyDescent="0.25">
      <c r="A280" s="58"/>
      <c r="B280" s="59"/>
      <c r="C280" s="59"/>
      <c r="D280" s="59"/>
      <c r="E280" s="59"/>
      <c r="F280" s="59"/>
      <c r="G280" s="49"/>
      <c r="H280" s="49"/>
      <c r="I280" s="14"/>
      <c r="J280" s="14"/>
      <c r="K280" s="14"/>
      <c r="L280" s="38"/>
      <c r="M280" s="16"/>
      <c r="N280" s="39"/>
      <c r="O280" s="39"/>
      <c r="P280" s="39"/>
      <c r="Q280" s="40"/>
      <c r="R280" s="40"/>
      <c r="S280" s="40"/>
      <c r="T280" s="40"/>
    </row>
    <row r="281" spans="1:20" ht="21" customHeight="1" x14ac:dyDescent="0.25">
      <c r="A281" s="58"/>
      <c r="B281" s="59"/>
      <c r="C281" s="59"/>
      <c r="D281" s="59"/>
      <c r="E281" s="59"/>
      <c r="F281" s="59"/>
      <c r="G281" s="49"/>
      <c r="H281" s="49"/>
      <c r="L281" s="38"/>
    </row>
    <row r="282" spans="1:20" ht="21" customHeight="1" x14ac:dyDescent="0.25">
      <c r="A282" s="60" t="s">
        <v>874</v>
      </c>
      <c r="B282" s="25"/>
      <c r="C282" s="24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</row>
    <row r="283" spans="1:20" s="93" customFormat="1" ht="42" customHeight="1" x14ac:dyDescent="0.25">
      <c r="A283" s="31" t="s">
        <v>4</v>
      </c>
      <c r="B283" s="31" t="s">
        <v>5</v>
      </c>
      <c r="C283" s="31" t="s">
        <v>6</v>
      </c>
      <c r="D283" s="22"/>
      <c r="E283" s="31" t="s">
        <v>7</v>
      </c>
      <c r="F283" s="31" t="s">
        <v>8</v>
      </c>
      <c r="G283" s="31" t="s">
        <v>9</v>
      </c>
      <c r="H283" s="31" t="s">
        <v>10</v>
      </c>
      <c r="I283" s="31" t="s">
        <v>11</v>
      </c>
      <c r="J283" s="31" t="s">
        <v>12</v>
      </c>
      <c r="K283" s="31" t="s">
        <v>13</v>
      </c>
      <c r="L283" s="31" t="s">
        <v>14</v>
      </c>
      <c r="M283" s="141" t="s">
        <v>15</v>
      </c>
      <c r="N283" s="142" t="s">
        <v>16</v>
      </c>
      <c r="O283" s="142" t="s">
        <v>17</v>
      </c>
      <c r="P283" s="142" t="s">
        <v>18</v>
      </c>
      <c r="Q283" s="141" t="s">
        <v>19</v>
      </c>
      <c r="R283" s="141" t="s">
        <v>20</v>
      </c>
      <c r="S283" s="141" t="s">
        <v>3655</v>
      </c>
      <c r="T283" s="141" t="s">
        <v>3656</v>
      </c>
    </row>
    <row r="284" spans="1:20" ht="21" customHeight="1" x14ac:dyDescent="0.25">
      <c r="A284" s="24">
        <v>1</v>
      </c>
      <c r="B284" s="61">
        <v>514030346105</v>
      </c>
      <c r="C284" s="62" t="s">
        <v>53</v>
      </c>
      <c r="D284" s="45" t="s">
        <v>30</v>
      </c>
      <c r="E284" s="62" t="s">
        <v>875</v>
      </c>
      <c r="F284" s="63" t="s">
        <v>25</v>
      </c>
      <c r="G284" s="64">
        <v>7700</v>
      </c>
      <c r="H284" s="63">
        <v>202506</v>
      </c>
      <c r="I284" s="63" t="s">
        <v>876</v>
      </c>
      <c r="J284" s="65">
        <v>33149</v>
      </c>
      <c r="K284" s="65">
        <v>34190</v>
      </c>
      <c r="L284" s="66">
        <v>1041</v>
      </c>
      <c r="M284" s="51">
        <v>1769211</v>
      </c>
      <c r="N284" s="67">
        <v>0</v>
      </c>
      <c r="O284" s="68">
        <v>0</v>
      </c>
      <c r="P284" s="68">
        <v>0</v>
      </c>
      <c r="Q284" s="153">
        <v>0</v>
      </c>
      <c r="R284" s="29">
        <v>1769211</v>
      </c>
      <c r="S284" s="29">
        <v>3000</v>
      </c>
      <c r="T284" s="29">
        <f t="shared" ref="T284:T323" si="17">R284+S284</f>
        <v>1772211</v>
      </c>
    </row>
    <row r="285" spans="1:20" ht="21" customHeight="1" x14ac:dyDescent="0.25">
      <c r="A285" s="24">
        <v>2</v>
      </c>
      <c r="B285" s="61">
        <v>514030997798</v>
      </c>
      <c r="C285" s="62" t="s">
        <v>53</v>
      </c>
      <c r="D285" s="45" t="s">
        <v>30</v>
      </c>
      <c r="E285" s="62" t="s">
        <v>877</v>
      </c>
      <c r="F285" s="63" t="s">
        <v>25</v>
      </c>
      <c r="G285" s="64">
        <v>5500</v>
      </c>
      <c r="H285" s="63">
        <v>202506</v>
      </c>
      <c r="I285" s="63" t="s">
        <v>878</v>
      </c>
      <c r="J285" s="65">
        <v>62965</v>
      </c>
      <c r="K285" s="65">
        <v>64406</v>
      </c>
      <c r="L285" s="66">
        <v>1441</v>
      </c>
      <c r="M285" s="51">
        <v>2449023</v>
      </c>
      <c r="N285" s="68">
        <v>0</v>
      </c>
      <c r="O285" s="68">
        <v>0</v>
      </c>
      <c r="P285" s="68">
        <v>0</v>
      </c>
      <c r="Q285" s="153">
        <v>0</v>
      </c>
      <c r="R285" s="29">
        <v>2449023</v>
      </c>
      <c r="S285" s="29">
        <v>3000</v>
      </c>
      <c r="T285" s="29">
        <f t="shared" si="17"/>
        <v>2452023</v>
      </c>
    </row>
    <row r="286" spans="1:20" ht="21" customHeight="1" x14ac:dyDescent="0.25">
      <c r="A286" s="24">
        <v>3</v>
      </c>
      <c r="B286" s="61">
        <v>514031004076</v>
      </c>
      <c r="C286" s="62" t="s">
        <v>53</v>
      </c>
      <c r="D286" s="45" t="s">
        <v>30</v>
      </c>
      <c r="E286" s="62" t="s">
        <v>877</v>
      </c>
      <c r="F286" s="63" t="s">
        <v>25</v>
      </c>
      <c r="G286" s="64">
        <v>4400</v>
      </c>
      <c r="H286" s="63">
        <v>202506</v>
      </c>
      <c r="I286" s="63" t="s">
        <v>879</v>
      </c>
      <c r="J286" s="65">
        <v>92904</v>
      </c>
      <c r="K286" s="65">
        <v>94104</v>
      </c>
      <c r="L286" s="66">
        <v>1200</v>
      </c>
      <c r="M286" s="51">
        <v>2039436</v>
      </c>
      <c r="N286" s="68">
        <v>0</v>
      </c>
      <c r="O286" s="68">
        <v>0</v>
      </c>
      <c r="P286" s="68">
        <v>0</v>
      </c>
      <c r="Q286" s="153">
        <v>0</v>
      </c>
      <c r="R286" s="29">
        <v>2039436</v>
      </c>
      <c r="S286" s="29">
        <v>3000</v>
      </c>
      <c r="T286" s="29">
        <f t="shared" si="17"/>
        <v>2042436</v>
      </c>
    </row>
    <row r="287" spans="1:20" ht="21" customHeight="1" x14ac:dyDescent="0.25">
      <c r="A287" s="24">
        <v>4</v>
      </c>
      <c r="B287" s="61">
        <v>514031018551</v>
      </c>
      <c r="C287" s="62" t="s">
        <v>53</v>
      </c>
      <c r="D287" s="45" t="s">
        <v>30</v>
      </c>
      <c r="E287" s="62" t="s">
        <v>880</v>
      </c>
      <c r="F287" s="63" t="s">
        <v>25</v>
      </c>
      <c r="G287" s="64">
        <v>7700</v>
      </c>
      <c r="H287" s="63">
        <v>202506</v>
      </c>
      <c r="I287" s="63" t="s">
        <v>881</v>
      </c>
      <c r="J287" s="65">
        <v>35237</v>
      </c>
      <c r="K287" s="65">
        <v>37393</v>
      </c>
      <c r="L287" s="66">
        <v>2156</v>
      </c>
      <c r="M287" s="51">
        <v>3664187</v>
      </c>
      <c r="N287" s="68">
        <v>0</v>
      </c>
      <c r="O287" s="68">
        <v>0</v>
      </c>
      <c r="P287" s="68">
        <v>0</v>
      </c>
      <c r="Q287" s="153">
        <v>0</v>
      </c>
      <c r="R287" s="29">
        <v>3664187</v>
      </c>
      <c r="S287" s="29">
        <v>3000</v>
      </c>
      <c r="T287" s="29">
        <f t="shared" si="17"/>
        <v>3667187</v>
      </c>
    </row>
    <row r="288" spans="1:20" ht="21" customHeight="1" x14ac:dyDescent="0.25">
      <c r="A288" s="24">
        <v>5</v>
      </c>
      <c r="B288" s="61">
        <v>514031018569</v>
      </c>
      <c r="C288" s="62" t="s">
        <v>53</v>
      </c>
      <c r="D288" s="45" t="s">
        <v>30</v>
      </c>
      <c r="E288" s="62" t="s">
        <v>882</v>
      </c>
      <c r="F288" s="63" t="s">
        <v>25</v>
      </c>
      <c r="G288" s="64">
        <v>5500</v>
      </c>
      <c r="H288" s="63">
        <v>202506</v>
      </c>
      <c r="I288" s="63" t="s">
        <v>883</v>
      </c>
      <c r="J288" s="65">
        <v>35464</v>
      </c>
      <c r="K288" s="65">
        <v>37685</v>
      </c>
      <c r="L288" s="66">
        <v>2221</v>
      </c>
      <c r="M288" s="51">
        <v>3774656</v>
      </c>
      <c r="N288" s="68">
        <v>0</v>
      </c>
      <c r="O288" s="68">
        <v>0</v>
      </c>
      <c r="P288" s="68">
        <v>0</v>
      </c>
      <c r="Q288" s="153">
        <v>0</v>
      </c>
      <c r="R288" s="29">
        <v>3774656</v>
      </c>
      <c r="S288" s="29">
        <v>3000</v>
      </c>
      <c r="T288" s="29">
        <f t="shared" si="17"/>
        <v>3777656</v>
      </c>
    </row>
    <row r="289" spans="1:20" ht="21" customHeight="1" x14ac:dyDescent="0.25">
      <c r="A289" s="24">
        <v>6</v>
      </c>
      <c r="B289" s="61">
        <v>514031018577</v>
      </c>
      <c r="C289" s="62" t="s">
        <v>53</v>
      </c>
      <c r="D289" s="45" t="s">
        <v>30</v>
      </c>
      <c r="E289" s="62" t="s">
        <v>884</v>
      </c>
      <c r="F289" s="63" t="s">
        <v>25</v>
      </c>
      <c r="G289" s="64">
        <v>5500</v>
      </c>
      <c r="H289" s="63">
        <v>202506</v>
      </c>
      <c r="I289" s="63" t="s">
        <v>885</v>
      </c>
      <c r="J289" s="65">
        <v>90458</v>
      </c>
      <c r="K289" s="65">
        <v>92797</v>
      </c>
      <c r="L289" s="66">
        <v>2339</v>
      </c>
      <c r="M289" s="51">
        <v>3975201</v>
      </c>
      <c r="N289" s="68">
        <v>0</v>
      </c>
      <c r="O289" s="68">
        <v>0</v>
      </c>
      <c r="P289" s="68">
        <v>0</v>
      </c>
      <c r="Q289" s="153">
        <v>0</v>
      </c>
      <c r="R289" s="29">
        <v>3975201</v>
      </c>
      <c r="S289" s="29">
        <v>3000</v>
      </c>
      <c r="T289" s="29">
        <f t="shared" si="17"/>
        <v>3978201</v>
      </c>
    </row>
    <row r="290" spans="1:20" ht="21" customHeight="1" x14ac:dyDescent="0.25">
      <c r="A290" s="24">
        <v>7</v>
      </c>
      <c r="B290" s="61">
        <v>514031022714</v>
      </c>
      <c r="C290" s="62" t="s">
        <v>53</v>
      </c>
      <c r="D290" s="45" t="s">
        <v>30</v>
      </c>
      <c r="E290" s="62" t="s">
        <v>886</v>
      </c>
      <c r="F290" s="63" t="s">
        <v>25</v>
      </c>
      <c r="G290" s="64">
        <v>5500</v>
      </c>
      <c r="H290" s="63">
        <v>202506</v>
      </c>
      <c r="I290" s="63" t="s">
        <v>887</v>
      </c>
      <c r="J290" s="65">
        <v>27095</v>
      </c>
      <c r="K290" s="65">
        <v>28074</v>
      </c>
      <c r="L290" s="66">
        <v>979</v>
      </c>
      <c r="M290" s="51">
        <v>1663840</v>
      </c>
      <c r="N290" s="68">
        <v>0</v>
      </c>
      <c r="O290" s="68">
        <v>0</v>
      </c>
      <c r="P290" s="68">
        <v>0</v>
      </c>
      <c r="Q290" s="153">
        <v>0</v>
      </c>
      <c r="R290" s="29">
        <v>1663840</v>
      </c>
      <c r="S290" s="29">
        <v>3000</v>
      </c>
      <c r="T290" s="29">
        <f t="shared" si="17"/>
        <v>1666840</v>
      </c>
    </row>
    <row r="291" spans="1:20" ht="21" customHeight="1" x14ac:dyDescent="0.25">
      <c r="A291" s="24">
        <v>8</v>
      </c>
      <c r="B291" s="61">
        <v>514031031936</v>
      </c>
      <c r="C291" s="62" t="s">
        <v>53</v>
      </c>
      <c r="D291" s="45" t="s">
        <v>30</v>
      </c>
      <c r="E291" s="62" t="s">
        <v>888</v>
      </c>
      <c r="F291" s="63" t="s">
        <v>25</v>
      </c>
      <c r="G291" s="64">
        <v>4400</v>
      </c>
      <c r="H291" s="63">
        <v>202506</v>
      </c>
      <c r="I291" s="63" t="s">
        <v>889</v>
      </c>
      <c r="J291" s="65">
        <v>57475</v>
      </c>
      <c r="K291" s="65">
        <v>58812</v>
      </c>
      <c r="L291" s="66">
        <v>1337</v>
      </c>
      <c r="M291" s="51">
        <v>2272272</v>
      </c>
      <c r="N291" s="68">
        <v>0</v>
      </c>
      <c r="O291" s="68">
        <v>0</v>
      </c>
      <c r="P291" s="68">
        <v>0</v>
      </c>
      <c r="Q291" s="153">
        <v>0</v>
      </c>
      <c r="R291" s="29">
        <v>2272272</v>
      </c>
      <c r="S291" s="29">
        <v>3000</v>
      </c>
      <c r="T291" s="29">
        <f t="shared" si="17"/>
        <v>2275272</v>
      </c>
    </row>
    <row r="292" spans="1:20" ht="21" customHeight="1" x14ac:dyDescent="0.25">
      <c r="A292" s="24">
        <v>9</v>
      </c>
      <c r="B292" s="61">
        <v>514031031944</v>
      </c>
      <c r="C292" s="62" t="s">
        <v>53</v>
      </c>
      <c r="D292" s="45" t="s">
        <v>30</v>
      </c>
      <c r="E292" s="62" t="s">
        <v>888</v>
      </c>
      <c r="F292" s="63" t="s">
        <v>25</v>
      </c>
      <c r="G292" s="64">
        <v>5500</v>
      </c>
      <c r="H292" s="63">
        <v>202506</v>
      </c>
      <c r="I292" s="63" t="s">
        <v>890</v>
      </c>
      <c r="J292" s="65">
        <v>92194</v>
      </c>
      <c r="K292" s="65">
        <v>92801</v>
      </c>
      <c r="L292" s="66">
        <v>607</v>
      </c>
      <c r="M292" s="51">
        <v>1031615</v>
      </c>
      <c r="N292" s="68">
        <v>0</v>
      </c>
      <c r="O292" s="68">
        <v>0</v>
      </c>
      <c r="P292" s="68">
        <v>0</v>
      </c>
      <c r="Q292" s="153">
        <v>0</v>
      </c>
      <c r="R292" s="29">
        <v>1031615</v>
      </c>
      <c r="S292" s="29">
        <v>3000</v>
      </c>
      <c r="T292" s="29">
        <f t="shared" si="17"/>
        <v>1034615</v>
      </c>
    </row>
    <row r="293" spans="1:20" ht="21" customHeight="1" x14ac:dyDescent="0.25">
      <c r="A293" s="24">
        <v>10</v>
      </c>
      <c r="B293" s="61">
        <v>514031052275</v>
      </c>
      <c r="C293" s="62" t="s">
        <v>53</v>
      </c>
      <c r="D293" s="45" t="s">
        <v>30</v>
      </c>
      <c r="E293" s="62" t="s">
        <v>886</v>
      </c>
      <c r="F293" s="63" t="s">
        <v>25</v>
      </c>
      <c r="G293" s="64">
        <v>7700</v>
      </c>
      <c r="H293" s="63">
        <v>202506</v>
      </c>
      <c r="I293" s="63" t="s">
        <v>891</v>
      </c>
      <c r="J293" s="65">
        <v>29612</v>
      </c>
      <c r="K293" s="65">
        <v>30678</v>
      </c>
      <c r="L293" s="66">
        <v>1066</v>
      </c>
      <c r="M293" s="51">
        <v>1811699</v>
      </c>
      <c r="N293" s="68">
        <v>0</v>
      </c>
      <c r="O293" s="68">
        <v>0</v>
      </c>
      <c r="P293" s="68">
        <v>0</v>
      </c>
      <c r="Q293" s="153">
        <v>0</v>
      </c>
      <c r="R293" s="29">
        <v>1811699</v>
      </c>
      <c r="S293" s="29">
        <v>3000</v>
      </c>
      <c r="T293" s="29">
        <f t="shared" si="17"/>
        <v>1814699</v>
      </c>
    </row>
    <row r="294" spans="1:20" ht="21" customHeight="1" x14ac:dyDescent="0.25">
      <c r="A294" s="24">
        <v>11</v>
      </c>
      <c r="B294" s="61">
        <v>514031052283</v>
      </c>
      <c r="C294" s="62" t="s">
        <v>53</v>
      </c>
      <c r="D294" s="45" t="s">
        <v>30</v>
      </c>
      <c r="E294" s="62" t="s">
        <v>880</v>
      </c>
      <c r="F294" s="63" t="s">
        <v>25</v>
      </c>
      <c r="G294" s="64">
        <v>4400</v>
      </c>
      <c r="H294" s="63">
        <v>202506</v>
      </c>
      <c r="I294" s="63" t="s">
        <v>892</v>
      </c>
      <c r="J294" s="65">
        <v>83247</v>
      </c>
      <c r="K294" s="65">
        <v>83931</v>
      </c>
      <c r="L294" s="66">
        <v>684</v>
      </c>
      <c r="M294" s="51">
        <v>1162479</v>
      </c>
      <c r="N294" s="68">
        <v>0</v>
      </c>
      <c r="O294" s="68">
        <v>0</v>
      </c>
      <c r="P294" s="68">
        <v>0</v>
      </c>
      <c r="Q294" s="153">
        <v>0</v>
      </c>
      <c r="R294" s="29">
        <v>1162479</v>
      </c>
      <c r="S294" s="29">
        <v>3000</v>
      </c>
      <c r="T294" s="29">
        <f t="shared" si="17"/>
        <v>1165479</v>
      </c>
    </row>
    <row r="295" spans="1:20" ht="21" customHeight="1" x14ac:dyDescent="0.25">
      <c r="A295" s="24">
        <v>12</v>
      </c>
      <c r="B295" s="61">
        <v>514031052291</v>
      </c>
      <c r="C295" s="62" t="s">
        <v>53</v>
      </c>
      <c r="D295" s="45" t="s">
        <v>30</v>
      </c>
      <c r="E295" s="62" t="s">
        <v>893</v>
      </c>
      <c r="F295" s="63" t="s">
        <v>25</v>
      </c>
      <c r="G295" s="64">
        <v>4400</v>
      </c>
      <c r="H295" s="63">
        <v>202506</v>
      </c>
      <c r="I295" s="63" t="s">
        <v>894</v>
      </c>
      <c r="J295" s="65">
        <v>89393</v>
      </c>
      <c r="K295" s="65">
        <v>90078</v>
      </c>
      <c r="L295" s="66">
        <v>685</v>
      </c>
      <c r="M295" s="51">
        <v>1164178</v>
      </c>
      <c r="N295" s="68">
        <v>0</v>
      </c>
      <c r="O295" s="68">
        <v>0</v>
      </c>
      <c r="P295" s="68">
        <v>0</v>
      </c>
      <c r="Q295" s="153">
        <v>0</v>
      </c>
      <c r="R295" s="29">
        <v>1164178</v>
      </c>
      <c r="S295" s="29">
        <v>3000</v>
      </c>
      <c r="T295" s="29">
        <f t="shared" si="17"/>
        <v>1167178</v>
      </c>
    </row>
    <row r="296" spans="1:20" ht="21" customHeight="1" x14ac:dyDescent="0.25">
      <c r="A296" s="24">
        <v>13</v>
      </c>
      <c r="B296" s="61">
        <v>514031052928</v>
      </c>
      <c r="C296" s="62" t="s">
        <v>53</v>
      </c>
      <c r="D296" s="45" t="s">
        <v>30</v>
      </c>
      <c r="E296" s="62" t="s">
        <v>510</v>
      </c>
      <c r="F296" s="63" t="s">
        <v>25</v>
      </c>
      <c r="G296" s="64">
        <v>5500</v>
      </c>
      <c r="H296" s="63">
        <v>202506</v>
      </c>
      <c r="I296" s="63" t="s">
        <v>895</v>
      </c>
      <c r="J296" s="65">
        <v>67710</v>
      </c>
      <c r="K296" s="65">
        <v>70295</v>
      </c>
      <c r="L296" s="66">
        <v>2585</v>
      </c>
      <c r="M296" s="51">
        <v>4393285</v>
      </c>
      <c r="N296" s="68">
        <v>0</v>
      </c>
      <c r="O296" s="68">
        <v>0</v>
      </c>
      <c r="P296" s="68">
        <v>0</v>
      </c>
      <c r="Q296" s="153">
        <v>0</v>
      </c>
      <c r="R296" s="29">
        <v>4393285</v>
      </c>
      <c r="S296" s="29">
        <v>3000</v>
      </c>
      <c r="T296" s="29">
        <f t="shared" si="17"/>
        <v>4396285</v>
      </c>
    </row>
    <row r="297" spans="1:20" ht="21" customHeight="1" x14ac:dyDescent="0.25">
      <c r="A297" s="24">
        <v>14</v>
      </c>
      <c r="B297" s="61">
        <v>514031345108</v>
      </c>
      <c r="C297" s="62" t="s">
        <v>53</v>
      </c>
      <c r="D297" s="45" t="s">
        <v>30</v>
      </c>
      <c r="E297" s="62" t="s">
        <v>884</v>
      </c>
      <c r="F297" s="63" t="s">
        <v>25</v>
      </c>
      <c r="G297" s="64">
        <v>5500</v>
      </c>
      <c r="H297" s="63">
        <v>202506</v>
      </c>
      <c r="I297" s="63" t="s">
        <v>896</v>
      </c>
      <c r="J297" s="65">
        <v>39310</v>
      </c>
      <c r="K297" s="65">
        <v>41362</v>
      </c>
      <c r="L297" s="66">
        <v>2052</v>
      </c>
      <c r="M297" s="51">
        <v>3487436</v>
      </c>
      <c r="N297" s="68">
        <v>0</v>
      </c>
      <c r="O297" s="68">
        <v>0</v>
      </c>
      <c r="P297" s="68">
        <v>0</v>
      </c>
      <c r="Q297" s="153">
        <v>0</v>
      </c>
      <c r="R297" s="29">
        <v>3487436</v>
      </c>
      <c r="S297" s="29">
        <v>3000</v>
      </c>
      <c r="T297" s="29">
        <f t="shared" si="17"/>
        <v>3490436</v>
      </c>
    </row>
    <row r="298" spans="1:20" ht="21" customHeight="1" x14ac:dyDescent="0.25">
      <c r="A298" s="24">
        <v>15</v>
      </c>
      <c r="B298" s="61">
        <v>514031345116</v>
      </c>
      <c r="C298" s="62" t="s">
        <v>53</v>
      </c>
      <c r="D298" s="45" t="s">
        <v>30</v>
      </c>
      <c r="E298" s="62" t="s">
        <v>897</v>
      </c>
      <c r="F298" s="63" t="s">
        <v>25</v>
      </c>
      <c r="G298" s="64">
        <v>5500</v>
      </c>
      <c r="H298" s="63">
        <v>202506</v>
      </c>
      <c r="I298" s="63" t="s">
        <v>898</v>
      </c>
      <c r="J298" s="65">
        <v>65986</v>
      </c>
      <c r="K298" s="65">
        <v>67442</v>
      </c>
      <c r="L298" s="66">
        <v>1456</v>
      </c>
      <c r="M298" s="51">
        <v>2474516</v>
      </c>
      <c r="N298" s="68">
        <v>0</v>
      </c>
      <c r="O298" s="68">
        <v>0</v>
      </c>
      <c r="P298" s="68">
        <v>0</v>
      </c>
      <c r="Q298" s="153">
        <v>0</v>
      </c>
      <c r="R298" s="29">
        <v>2474516</v>
      </c>
      <c r="S298" s="29">
        <v>3000</v>
      </c>
      <c r="T298" s="29">
        <f t="shared" si="17"/>
        <v>2477516</v>
      </c>
    </row>
    <row r="299" spans="1:20" ht="21" customHeight="1" x14ac:dyDescent="0.25">
      <c r="A299" s="24">
        <v>16</v>
      </c>
      <c r="B299" s="61">
        <v>514031345124</v>
      </c>
      <c r="C299" s="62" t="s">
        <v>53</v>
      </c>
      <c r="D299" s="45" t="s">
        <v>30</v>
      </c>
      <c r="E299" s="62" t="s">
        <v>899</v>
      </c>
      <c r="F299" s="63" t="s">
        <v>25</v>
      </c>
      <c r="G299" s="64">
        <v>7700</v>
      </c>
      <c r="H299" s="63">
        <v>202506</v>
      </c>
      <c r="I299" s="63" t="s">
        <v>900</v>
      </c>
      <c r="J299" s="65">
        <v>14568</v>
      </c>
      <c r="K299" s="65">
        <v>15812</v>
      </c>
      <c r="L299" s="66">
        <v>1244</v>
      </c>
      <c r="M299" s="51">
        <v>2114215</v>
      </c>
      <c r="N299" s="68">
        <v>0</v>
      </c>
      <c r="O299" s="68">
        <v>0</v>
      </c>
      <c r="P299" s="68">
        <v>0</v>
      </c>
      <c r="Q299" s="153">
        <v>0</v>
      </c>
      <c r="R299" s="29">
        <v>2114215</v>
      </c>
      <c r="S299" s="29">
        <v>3000</v>
      </c>
      <c r="T299" s="29">
        <f t="shared" si="17"/>
        <v>2117215</v>
      </c>
    </row>
    <row r="300" spans="1:20" ht="21" customHeight="1" x14ac:dyDescent="0.25">
      <c r="A300" s="24">
        <v>17</v>
      </c>
      <c r="B300" s="61">
        <v>514031345132</v>
      </c>
      <c r="C300" s="62" t="s">
        <v>53</v>
      </c>
      <c r="D300" s="45" t="s">
        <v>30</v>
      </c>
      <c r="E300" s="62" t="s">
        <v>901</v>
      </c>
      <c r="F300" s="63" t="s">
        <v>25</v>
      </c>
      <c r="G300" s="64">
        <v>7700</v>
      </c>
      <c r="H300" s="63">
        <v>202506</v>
      </c>
      <c r="I300" s="63" t="s">
        <v>902</v>
      </c>
      <c r="J300" s="65">
        <v>12527</v>
      </c>
      <c r="K300" s="65">
        <v>13339</v>
      </c>
      <c r="L300" s="66">
        <v>812</v>
      </c>
      <c r="M300" s="51">
        <v>1380018</v>
      </c>
      <c r="N300" s="68">
        <v>0</v>
      </c>
      <c r="O300" s="68">
        <v>0</v>
      </c>
      <c r="P300" s="68">
        <v>0</v>
      </c>
      <c r="Q300" s="153">
        <v>0</v>
      </c>
      <c r="R300" s="29">
        <v>1380018</v>
      </c>
      <c r="S300" s="29">
        <v>3000</v>
      </c>
      <c r="T300" s="29">
        <f t="shared" si="17"/>
        <v>1383018</v>
      </c>
    </row>
    <row r="301" spans="1:20" ht="21" customHeight="1" x14ac:dyDescent="0.25">
      <c r="A301" s="24">
        <v>18</v>
      </c>
      <c r="B301" s="61">
        <v>514031421211</v>
      </c>
      <c r="C301" s="62" t="s">
        <v>53</v>
      </c>
      <c r="D301" s="45" t="s">
        <v>30</v>
      </c>
      <c r="E301" s="62" t="s">
        <v>893</v>
      </c>
      <c r="F301" s="63" t="s">
        <v>25</v>
      </c>
      <c r="G301" s="64">
        <v>5500</v>
      </c>
      <c r="H301" s="63">
        <v>202506</v>
      </c>
      <c r="I301" s="63" t="s">
        <v>903</v>
      </c>
      <c r="J301" s="65">
        <v>73244</v>
      </c>
      <c r="K301" s="65">
        <v>74673</v>
      </c>
      <c r="L301" s="66">
        <v>1429</v>
      </c>
      <c r="M301" s="51">
        <v>2428628</v>
      </c>
      <c r="N301" s="68">
        <v>0</v>
      </c>
      <c r="O301" s="68">
        <v>0</v>
      </c>
      <c r="P301" s="68">
        <v>0</v>
      </c>
      <c r="Q301" s="153">
        <v>0</v>
      </c>
      <c r="R301" s="29">
        <v>2428628</v>
      </c>
      <c r="S301" s="29">
        <v>3000</v>
      </c>
      <c r="T301" s="29">
        <f t="shared" si="17"/>
        <v>2431628</v>
      </c>
    </row>
    <row r="302" spans="1:20" ht="21" customHeight="1" x14ac:dyDescent="0.25">
      <c r="A302" s="24">
        <v>19</v>
      </c>
      <c r="B302" s="61">
        <v>514031421229</v>
      </c>
      <c r="C302" s="62" t="s">
        <v>53</v>
      </c>
      <c r="D302" s="45" t="s">
        <v>30</v>
      </c>
      <c r="E302" s="62" t="s">
        <v>880</v>
      </c>
      <c r="F302" s="63" t="s">
        <v>25</v>
      </c>
      <c r="G302" s="64">
        <v>4400</v>
      </c>
      <c r="H302" s="63">
        <v>202506</v>
      </c>
      <c r="I302" s="63" t="s">
        <v>904</v>
      </c>
      <c r="J302" s="65">
        <v>78310</v>
      </c>
      <c r="K302" s="65">
        <v>78909</v>
      </c>
      <c r="L302" s="66">
        <v>599</v>
      </c>
      <c r="M302" s="51">
        <v>1018018</v>
      </c>
      <c r="N302" s="68">
        <v>0</v>
      </c>
      <c r="O302" s="68">
        <v>0</v>
      </c>
      <c r="P302" s="68">
        <v>0</v>
      </c>
      <c r="Q302" s="153">
        <v>0</v>
      </c>
      <c r="R302" s="29">
        <v>1018018</v>
      </c>
      <c r="S302" s="29">
        <v>3000</v>
      </c>
      <c r="T302" s="29">
        <f t="shared" si="17"/>
        <v>1021018</v>
      </c>
    </row>
    <row r="303" spans="1:20" ht="21" customHeight="1" x14ac:dyDescent="0.25">
      <c r="A303" s="24">
        <v>20</v>
      </c>
      <c r="B303" s="61">
        <v>514031421237</v>
      </c>
      <c r="C303" s="62" t="s">
        <v>53</v>
      </c>
      <c r="D303" s="45" t="s">
        <v>30</v>
      </c>
      <c r="E303" s="62" t="s">
        <v>893</v>
      </c>
      <c r="F303" s="63" t="s">
        <v>25</v>
      </c>
      <c r="G303" s="64">
        <v>5500</v>
      </c>
      <c r="H303" s="63">
        <v>202506</v>
      </c>
      <c r="I303" s="63" t="s">
        <v>905</v>
      </c>
      <c r="J303" s="65">
        <v>7581</v>
      </c>
      <c r="K303" s="65">
        <v>8660</v>
      </c>
      <c r="L303" s="66">
        <v>1079</v>
      </c>
      <c r="M303" s="51">
        <v>1833793</v>
      </c>
      <c r="N303" s="68">
        <v>0</v>
      </c>
      <c r="O303" s="68">
        <v>0</v>
      </c>
      <c r="P303" s="68">
        <v>0</v>
      </c>
      <c r="Q303" s="153">
        <v>0</v>
      </c>
      <c r="R303" s="29">
        <v>1833793</v>
      </c>
      <c r="S303" s="29">
        <v>3000</v>
      </c>
      <c r="T303" s="29">
        <f t="shared" si="17"/>
        <v>1836793</v>
      </c>
    </row>
    <row r="304" spans="1:20" ht="21" customHeight="1" x14ac:dyDescent="0.25">
      <c r="A304" s="24">
        <v>21</v>
      </c>
      <c r="B304" s="61">
        <v>514031421245</v>
      </c>
      <c r="C304" s="62" t="s">
        <v>53</v>
      </c>
      <c r="D304" s="45" t="s">
        <v>30</v>
      </c>
      <c r="E304" s="62" t="s">
        <v>899</v>
      </c>
      <c r="F304" s="63" t="s">
        <v>25</v>
      </c>
      <c r="G304" s="64">
        <v>5500</v>
      </c>
      <c r="H304" s="63">
        <v>202506</v>
      </c>
      <c r="I304" s="63" t="s">
        <v>906</v>
      </c>
      <c r="J304" s="65">
        <v>5084</v>
      </c>
      <c r="K304" s="65">
        <v>7035</v>
      </c>
      <c r="L304" s="66">
        <v>1951</v>
      </c>
      <c r="M304" s="51">
        <v>3315783</v>
      </c>
      <c r="N304" s="68">
        <v>0</v>
      </c>
      <c r="O304" s="68">
        <v>0</v>
      </c>
      <c r="P304" s="68">
        <v>0</v>
      </c>
      <c r="Q304" s="153">
        <v>0</v>
      </c>
      <c r="R304" s="29">
        <v>3315783</v>
      </c>
      <c r="S304" s="29">
        <v>3000</v>
      </c>
      <c r="T304" s="29">
        <f t="shared" si="17"/>
        <v>3318783</v>
      </c>
    </row>
    <row r="305" spans="1:20" ht="21" customHeight="1" x14ac:dyDescent="0.25">
      <c r="A305" s="24">
        <v>22</v>
      </c>
      <c r="B305" s="61">
        <v>514031421252</v>
      </c>
      <c r="C305" s="62" t="s">
        <v>53</v>
      </c>
      <c r="D305" s="45" t="s">
        <v>30</v>
      </c>
      <c r="E305" s="62" t="s">
        <v>886</v>
      </c>
      <c r="F305" s="63" t="s">
        <v>25</v>
      </c>
      <c r="G305" s="64">
        <v>5500</v>
      </c>
      <c r="H305" s="63">
        <v>202506</v>
      </c>
      <c r="I305" s="63" t="s">
        <v>907</v>
      </c>
      <c r="J305" s="65">
        <v>55993</v>
      </c>
      <c r="K305" s="65">
        <v>57028</v>
      </c>
      <c r="L305" s="66">
        <v>1035</v>
      </c>
      <c r="M305" s="51">
        <v>1759014</v>
      </c>
      <c r="N305" s="68">
        <v>0</v>
      </c>
      <c r="O305" s="68">
        <v>0</v>
      </c>
      <c r="P305" s="68">
        <v>0</v>
      </c>
      <c r="Q305" s="153">
        <v>0</v>
      </c>
      <c r="R305" s="29">
        <v>1759014</v>
      </c>
      <c r="S305" s="29">
        <v>3000</v>
      </c>
      <c r="T305" s="29">
        <f t="shared" si="17"/>
        <v>1762014</v>
      </c>
    </row>
    <row r="306" spans="1:20" ht="21" customHeight="1" x14ac:dyDescent="0.25">
      <c r="A306" s="24">
        <v>23</v>
      </c>
      <c r="B306" s="61">
        <v>514031421260</v>
      </c>
      <c r="C306" s="62" t="s">
        <v>53</v>
      </c>
      <c r="D306" s="45" t="s">
        <v>30</v>
      </c>
      <c r="E306" s="62" t="s">
        <v>908</v>
      </c>
      <c r="F306" s="63" t="s">
        <v>25</v>
      </c>
      <c r="G306" s="64">
        <v>7700</v>
      </c>
      <c r="H306" s="63">
        <v>202506</v>
      </c>
      <c r="I306" s="63" t="s">
        <v>909</v>
      </c>
      <c r="J306" s="65">
        <v>6091</v>
      </c>
      <c r="K306" s="65">
        <v>7295</v>
      </c>
      <c r="L306" s="66">
        <v>1204</v>
      </c>
      <c r="M306" s="51">
        <v>2046234</v>
      </c>
      <c r="N306" s="68">
        <v>0</v>
      </c>
      <c r="O306" s="68">
        <v>0</v>
      </c>
      <c r="P306" s="68">
        <v>0</v>
      </c>
      <c r="Q306" s="153">
        <v>0</v>
      </c>
      <c r="R306" s="29">
        <v>2046234</v>
      </c>
      <c r="S306" s="29">
        <v>3000</v>
      </c>
      <c r="T306" s="29">
        <f t="shared" si="17"/>
        <v>2049234</v>
      </c>
    </row>
    <row r="307" spans="1:20" ht="21" customHeight="1" x14ac:dyDescent="0.25">
      <c r="A307" s="24">
        <v>24</v>
      </c>
      <c r="B307" s="61">
        <v>514031421278</v>
      </c>
      <c r="C307" s="62" t="s">
        <v>53</v>
      </c>
      <c r="D307" s="45" t="s">
        <v>30</v>
      </c>
      <c r="E307" s="62" t="s">
        <v>908</v>
      </c>
      <c r="F307" s="63" t="s">
        <v>25</v>
      </c>
      <c r="G307" s="64">
        <v>4400</v>
      </c>
      <c r="H307" s="63">
        <v>202506</v>
      </c>
      <c r="I307" s="63" t="s">
        <v>910</v>
      </c>
      <c r="J307" s="65">
        <v>44819</v>
      </c>
      <c r="K307" s="65">
        <v>45228</v>
      </c>
      <c r="L307" s="66">
        <v>409</v>
      </c>
      <c r="M307" s="51">
        <v>695108</v>
      </c>
      <c r="N307" s="68">
        <v>0</v>
      </c>
      <c r="O307" s="68">
        <v>0</v>
      </c>
      <c r="P307" s="68">
        <v>0</v>
      </c>
      <c r="Q307" s="153">
        <v>0</v>
      </c>
      <c r="R307" s="29">
        <v>695108</v>
      </c>
      <c r="S307" s="29">
        <v>3000</v>
      </c>
      <c r="T307" s="29">
        <f t="shared" si="17"/>
        <v>698108</v>
      </c>
    </row>
    <row r="308" spans="1:20" ht="21" customHeight="1" x14ac:dyDescent="0.25">
      <c r="A308" s="24">
        <v>25</v>
      </c>
      <c r="B308" s="61">
        <v>514031421286</v>
      </c>
      <c r="C308" s="62" t="s">
        <v>53</v>
      </c>
      <c r="D308" s="45" t="s">
        <v>30</v>
      </c>
      <c r="E308" s="62" t="s">
        <v>908</v>
      </c>
      <c r="F308" s="63" t="s">
        <v>25</v>
      </c>
      <c r="G308" s="64">
        <v>4400</v>
      </c>
      <c r="H308" s="63">
        <v>202506</v>
      </c>
      <c r="I308" s="63" t="s">
        <v>911</v>
      </c>
      <c r="J308" s="65">
        <v>10595</v>
      </c>
      <c r="K308" s="65">
        <v>11996</v>
      </c>
      <c r="L308" s="66">
        <v>1401</v>
      </c>
      <c r="M308" s="51">
        <v>2381042</v>
      </c>
      <c r="N308" s="68">
        <v>0</v>
      </c>
      <c r="O308" s="68">
        <v>0</v>
      </c>
      <c r="P308" s="68">
        <v>0</v>
      </c>
      <c r="Q308" s="153">
        <v>0</v>
      </c>
      <c r="R308" s="29">
        <v>2381042</v>
      </c>
      <c r="S308" s="29">
        <v>3000</v>
      </c>
      <c r="T308" s="29">
        <f t="shared" si="17"/>
        <v>2384042</v>
      </c>
    </row>
    <row r="309" spans="1:20" ht="21" customHeight="1" x14ac:dyDescent="0.25">
      <c r="A309" s="24">
        <v>26</v>
      </c>
      <c r="B309" s="61">
        <v>514031421294</v>
      </c>
      <c r="C309" s="62" t="s">
        <v>53</v>
      </c>
      <c r="D309" s="45" t="s">
        <v>30</v>
      </c>
      <c r="E309" s="62" t="s">
        <v>897</v>
      </c>
      <c r="F309" s="63" t="s">
        <v>25</v>
      </c>
      <c r="G309" s="64">
        <v>4400</v>
      </c>
      <c r="H309" s="63">
        <v>202506</v>
      </c>
      <c r="I309" s="63" t="s">
        <v>912</v>
      </c>
      <c r="J309" s="65">
        <v>80031</v>
      </c>
      <c r="K309" s="65">
        <v>80537</v>
      </c>
      <c r="L309" s="66">
        <v>506</v>
      </c>
      <c r="M309" s="51">
        <v>859962</v>
      </c>
      <c r="N309" s="68">
        <v>0</v>
      </c>
      <c r="O309" s="68">
        <v>0</v>
      </c>
      <c r="P309" s="68">
        <v>0</v>
      </c>
      <c r="Q309" s="153">
        <v>0</v>
      </c>
      <c r="R309" s="29">
        <v>859962</v>
      </c>
      <c r="S309" s="29">
        <v>3000</v>
      </c>
      <c r="T309" s="29">
        <f t="shared" si="17"/>
        <v>862962</v>
      </c>
    </row>
    <row r="310" spans="1:20" ht="21" customHeight="1" x14ac:dyDescent="0.25">
      <c r="A310" s="24">
        <v>27</v>
      </c>
      <c r="B310" s="61">
        <v>514031421308</v>
      </c>
      <c r="C310" s="62" t="s">
        <v>53</v>
      </c>
      <c r="D310" s="45" t="s">
        <v>30</v>
      </c>
      <c r="E310" s="62" t="s">
        <v>913</v>
      </c>
      <c r="F310" s="63" t="s">
        <v>25</v>
      </c>
      <c r="G310" s="64">
        <v>4400</v>
      </c>
      <c r="H310" s="63">
        <v>202506</v>
      </c>
      <c r="I310" s="63" t="s">
        <v>914</v>
      </c>
      <c r="J310" s="65">
        <v>82903</v>
      </c>
      <c r="K310" s="65">
        <v>84129</v>
      </c>
      <c r="L310" s="66">
        <v>1226</v>
      </c>
      <c r="M310" s="51">
        <v>2083624</v>
      </c>
      <c r="N310" s="68">
        <v>0</v>
      </c>
      <c r="O310" s="68">
        <v>0</v>
      </c>
      <c r="P310" s="68">
        <v>0</v>
      </c>
      <c r="Q310" s="153">
        <v>0</v>
      </c>
      <c r="R310" s="29">
        <v>2083624</v>
      </c>
      <c r="S310" s="29">
        <v>3000</v>
      </c>
      <c r="T310" s="29">
        <f t="shared" si="17"/>
        <v>2086624</v>
      </c>
    </row>
    <row r="311" spans="1:20" ht="21" customHeight="1" x14ac:dyDescent="0.25">
      <c r="A311" s="24">
        <v>28</v>
      </c>
      <c r="B311" s="61">
        <v>514031421316</v>
      </c>
      <c r="C311" s="62" t="s">
        <v>53</v>
      </c>
      <c r="D311" s="45" t="s">
        <v>30</v>
      </c>
      <c r="E311" s="62" t="s">
        <v>897</v>
      </c>
      <c r="F311" s="63" t="s">
        <v>25</v>
      </c>
      <c r="G311" s="64">
        <v>5500</v>
      </c>
      <c r="H311" s="63">
        <v>202506</v>
      </c>
      <c r="I311" s="63" t="s">
        <v>915</v>
      </c>
      <c r="J311" s="65">
        <v>23677</v>
      </c>
      <c r="K311" s="65">
        <v>24777</v>
      </c>
      <c r="L311" s="66">
        <v>1100</v>
      </c>
      <c r="M311" s="51">
        <v>1869483</v>
      </c>
      <c r="N311" s="68">
        <v>0</v>
      </c>
      <c r="O311" s="68">
        <v>0</v>
      </c>
      <c r="P311" s="68">
        <v>0</v>
      </c>
      <c r="Q311" s="153">
        <v>0</v>
      </c>
      <c r="R311" s="29">
        <v>1869483</v>
      </c>
      <c r="S311" s="29">
        <v>3000</v>
      </c>
      <c r="T311" s="29">
        <f t="shared" si="17"/>
        <v>1872483</v>
      </c>
    </row>
    <row r="312" spans="1:20" ht="21" customHeight="1" x14ac:dyDescent="0.25">
      <c r="A312" s="24">
        <v>29</v>
      </c>
      <c r="B312" s="61">
        <v>514031421332</v>
      </c>
      <c r="C312" s="62" t="s">
        <v>53</v>
      </c>
      <c r="D312" s="45" t="s">
        <v>30</v>
      </c>
      <c r="E312" s="62" t="s">
        <v>220</v>
      </c>
      <c r="F312" s="63" t="s">
        <v>25</v>
      </c>
      <c r="G312" s="64">
        <v>4400</v>
      </c>
      <c r="H312" s="63">
        <v>202506</v>
      </c>
      <c r="I312" s="63" t="s">
        <v>916</v>
      </c>
      <c r="J312" s="65">
        <v>31087</v>
      </c>
      <c r="K312" s="65">
        <v>32307</v>
      </c>
      <c r="L312" s="66">
        <v>1220</v>
      </c>
      <c r="M312" s="51">
        <v>2073427</v>
      </c>
      <c r="N312" s="68">
        <v>0</v>
      </c>
      <c r="O312" s="68">
        <v>0</v>
      </c>
      <c r="P312" s="68">
        <v>0</v>
      </c>
      <c r="Q312" s="153">
        <v>0</v>
      </c>
      <c r="R312" s="29">
        <v>2073427</v>
      </c>
      <c r="S312" s="29">
        <v>3000</v>
      </c>
      <c r="T312" s="29">
        <f t="shared" si="17"/>
        <v>2076427</v>
      </c>
    </row>
    <row r="313" spans="1:20" ht="21" customHeight="1" x14ac:dyDescent="0.25">
      <c r="A313" s="24">
        <v>30</v>
      </c>
      <c r="B313" s="61">
        <v>514031421340</v>
      </c>
      <c r="C313" s="62" t="s">
        <v>53</v>
      </c>
      <c r="D313" s="45" t="s">
        <v>23</v>
      </c>
      <c r="E313" s="62" t="s">
        <v>901</v>
      </c>
      <c r="F313" s="63" t="s">
        <v>25</v>
      </c>
      <c r="G313" s="64">
        <v>4400</v>
      </c>
      <c r="H313" s="63">
        <v>202506</v>
      </c>
      <c r="I313" s="63" t="s">
        <v>917</v>
      </c>
      <c r="J313" s="65">
        <v>4693</v>
      </c>
      <c r="K313" s="65">
        <v>5921</v>
      </c>
      <c r="L313" s="66">
        <v>1228</v>
      </c>
      <c r="M313" s="51">
        <v>2087023</v>
      </c>
      <c r="N313" s="68">
        <v>0</v>
      </c>
      <c r="O313" s="68">
        <v>0</v>
      </c>
      <c r="P313" s="68">
        <v>0</v>
      </c>
      <c r="Q313" s="153">
        <v>0</v>
      </c>
      <c r="R313" s="29">
        <v>2087023</v>
      </c>
      <c r="S313" s="29">
        <v>3000</v>
      </c>
      <c r="T313" s="29">
        <f t="shared" si="17"/>
        <v>2090023</v>
      </c>
    </row>
    <row r="314" spans="1:20" ht="21" customHeight="1" x14ac:dyDescent="0.25">
      <c r="A314" s="24">
        <v>31</v>
      </c>
      <c r="B314" s="61">
        <v>514031421357</v>
      </c>
      <c r="C314" s="62" t="s">
        <v>53</v>
      </c>
      <c r="D314" s="45" t="s">
        <v>30</v>
      </c>
      <c r="E314" s="62" t="s">
        <v>918</v>
      </c>
      <c r="F314" s="63" t="s">
        <v>25</v>
      </c>
      <c r="G314" s="64">
        <v>4400</v>
      </c>
      <c r="H314" s="63">
        <v>202506</v>
      </c>
      <c r="I314" s="63" t="s">
        <v>919</v>
      </c>
      <c r="J314" s="65">
        <v>77221</v>
      </c>
      <c r="K314" s="65">
        <v>78868</v>
      </c>
      <c r="L314" s="66">
        <v>1647</v>
      </c>
      <c r="M314" s="51">
        <v>2799126</v>
      </c>
      <c r="N314" s="68">
        <v>0</v>
      </c>
      <c r="O314" s="68">
        <v>0</v>
      </c>
      <c r="P314" s="68">
        <v>0</v>
      </c>
      <c r="Q314" s="153">
        <v>0</v>
      </c>
      <c r="R314" s="29">
        <v>2799126</v>
      </c>
      <c r="S314" s="29">
        <v>3000</v>
      </c>
      <c r="T314" s="29">
        <f t="shared" si="17"/>
        <v>2802126</v>
      </c>
    </row>
    <row r="315" spans="1:20" ht="21" customHeight="1" x14ac:dyDescent="0.25">
      <c r="A315" s="24">
        <v>32</v>
      </c>
      <c r="B315" s="61">
        <v>514031421365</v>
      </c>
      <c r="C315" s="62" t="s">
        <v>53</v>
      </c>
      <c r="D315" s="45" t="s">
        <v>23</v>
      </c>
      <c r="E315" s="62" t="s">
        <v>920</v>
      </c>
      <c r="F315" s="63" t="s">
        <v>25</v>
      </c>
      <c r="G315" s="64">
        <v>7700</v>
      </c>
      <c r="H315" s="63">
        <v>202506</v>
      </c>
      <c r="I315" s="63" t="s">
        <v>921</v>
      </c>
      <c r="J315" s="65">
        <v>92426</v>
      </c>
      <c r="K315" s="65">
        <v>93537</v>
      </c>
      <c r="L315" s="66">
        <v>1111</v>
      </c>
      <c r="M315" s="51">
        <v>1888178</v>
      </c>
      <c r="N315" s="68">
        <v>0</v>
      </c>
      <c r="O315" s="68">
        <v>0</v>
      </c>
      <c r="P315" s="68">
        <v>0</v>
      </c>
      <c r="Q315" s="153">
        <v>0</v>
      </c>
      <c r="R315" s="29">
        <v>1888178</v>
      </c>
      <c r="S315" s="29">
        <v>3000</v>
      </c>
      <c r="T315" s="29">
        <f t="shared" si="17"/>
        <v>1891178</v>
      </c>
    </row>
    <row r="316" spans="1:20" ht="21" customHeight="1" x14ac:dyDescent="0.25">
      <c r="A316" s="24">
        <v>33</v>
      </c>
      <c r="B316" s="61">
        <v>514031421373</v>
      </c>
      <c r="C316" s="62" t="s">
        <v>53</v>
      </c>
      <c r="D316" s="45" t="s">
        <v>23</v>
      </c>
      <c r="E316" s="62" t="s">
        <v>922</v>
      </c>
      <c r="F316" s="63" t="s">
        <v>25</v>
      </c>
      <c r="G316" s="64">
        <v>5500</v>
      </c>
      <c r="H316" s="63">
        <v>202506</v>
      </c>
      <c r="I316" s="63" t="s">
        <v>923</v>
      </c>
      <c r="J316" s="65">
        <v>8642</v>
      </c>
      <c r="K316" s="65">
        <v>10400</v>
      </c>
      <c r="L316" s="66">
        <v>1758</v>
      </c>
      <c r="M316" s="51">
        <v>2987774</v>
      </c>
      <c r="N316" s="68">
        <v>0</v>
      </c>
      <c r="O316" s="68">
        <v>0</v>
      </c>
      <c r="P316" s="68">
        <v>0</v>
      </c>
      <c r="Q316" s="153">
        <v>0</v>
      </c>
      <c r="R316" s="29">
        <v>2987774</v>
      </c>
      <c r="S316" s="29">
        <v>3000</v>
      </c>
      <c r="T316" s="29">
        <f t="shared" si="17"/>
        <v>2990774</v>
      </c>
    </row>
    <row r="317" spans="1:20" ht="21" customHeight="1" x14ac:dyDescent="0.25">
      <c r="A317" s="24">
        <v>34</v>
      </c>
      <c r="B317" s="61">
        <v>514031421381</v>
      </c>
      <c r="C317" s="62" t="s">
        <v>53</v>
      </c>
      <c r="D317" s="45" t="s">
        <v>23</v>
      </c>
      <c r="E317" s="62" t="s">
        <v>901</v>
      </c>
      <c r="F317" s="63" t="s">
        <v>25</v>
      </c>
      <c r="G317" s="64">
        <v>4400</v>
      </c>
      <c r="H317" s="63">
        <v>202506</v>
      </c>
      <c r="I317" s="63" t="s">
        <v>924</v>
      </c>
      <c r="J317" s="65">
        <v>94450</v>
      </c>
      <c r="K317" s="65">
        <v>96127</v>
      </c>
      <c r="L317" s="66">
        <v>1677</v>
      </c>
      <c r="M317" s="51">
        <v>2850112</v>
      </c>
      <c r="N317" s="68">
        <v>0</v>
      </c>
      <c r="O317" s="68">
        <v>0</v>
      </c>
      <c r="P317" s="68">
        <v>0</v>
      </c>
      <c r="Q317" s="153">
        <v>0</v>
      </c>
      <c r="R317" s="29">
        <v>2850112</v>
      </c>
      <c r="S317" s="29">
        <v>3000</v>
      </c>
      <c r="T317" s="29">
        <f t="shared" si="17"/>
        <v>2853112</v>
      </c>
    </row>
    <row r="318" spans="1:20" ht="21" customHeight="1" x14ac:dyDescent="0.25">
      <c r="A318" s="24">
        <v>35</v>
      </c>
      <c r="B318" s="61">
        <v>514031421399</v>
      </c>
      <c r="C318" s="62" t="s">
        <v>53</v>
      </c>
      <c r="D318" s="45" t="s">
        <v>30</v>
      </c>
      <c r="E318" s="62" t="s">
        <v>925</v>
      </c>
      <c r="F318" s="63" t="s">
        <v>25</v>
      </c>
      <c r="G318" s="64">
        <v>4400</v>
      </c>
      <c r="H318" s="63">
        <v>202506</v>
      </c>
      <c r="I318" s="63" t="s">
        <v>926</v>
      </c>
      <c r="J318" s="65">
        <v>95752</v>
      </c>
      <c r="K318" s="65">
        <v>96690</v>
      </c>
      <c r="L318" s="66">
        <v>938</v>
      </c>
      <c r="M318" s="51">
        <v>1594159</v>
      </c>
      <c r="N318" s="68">
        <v>0</v>
      </c>
      <c r="O318" s="68">
        <v>0</v>
      </c>
      <c r="P318" s="68">
        <v>0</v>
      </c>
      <c r="Q318" s="153">
        <v>0</v>
      </c>
      <c r="R318" s="29">
        <v>1594159</v>
      </c>
      <c r="S318" s="29">
        <v>3000</v>
      </c>
      <c r="T318" s="29">
        <f t="shared" si="17"/>
        <v>1597159</v>
      </c>
    </row>
    <row r="319" spans="1:20" ht="21" customHeight="1" x14ac:dyDescent="0.25">
      <c r="A319" s="24">
        <v>36</v>
      </c>
      <c r="B319" s="61">
        <v>514031421402</v>
      </c>
      <c r="C319" s="62" t="s">
        <v>53</v>
      </c>
      <c r="D319" s="45" t="s">
        <v>30</v>
      </c>
      <c r="E319" s="62" t="s">
        <v>925</v>
      </c>
      <c r="F319" s="63" t="s">
        <v>25</v>
      </c>
      <c r="G319" s="64">
        <v>4400</v>
      </c>
      <c r="H319" s="63">
        <v>202506</v>
      </c>
      <c r="I319" s="63" t="s">
        <v>927</v>
      </c>
      <c r="J319" s="65">
        <v>90699</v>
      </c>
      <c r="K319" s="65">
        <v>91206</v>
      </c>
      <c r="L319" s="66">
        <v>507</v>
      </c>
      <c r="M319" s="51">
        <v>861662</v>
      </c>
      <c r="N319" s="68">
        <v>0</v>
      </c>
      <c r="O319" s="68">
        <v>0</v>
      </c>
      <c r="P319" s="68">
        <v>0</v>
      </c>
      <c r="Q319" s="153">
        <v>0</v>
      </c>
      <c r="R319" s="29">
        <v>861662</v>
      </c>
      <c r="S319" s="29">
        <v>3000</v>
      </c>
      <c r="T319" s="29">
        <f t="shared" si="17"/>
        <v>864662</v>
      </c>
    </row>
    <row r="320" spans="1:20" ht="21" customHeight="1" x14ac:dyDescent="0.25">
      <c r="A320" s="24">
        <v>37</v>
      </c>
      <c r="B320" s="61">
        <v>514031421410</v>
      </c>
      <c r="C320" s="62" t="s">
        <v>53</v>
      </c>
      <c r="D320" s="45" t="s">
        <v>30</v>
      </c>
      <c r="E320" s="62" t="s">
        <v>58</v>
      </c>
      <c r="F320" s="63" t="s">
        <v>25</v>
      </c>
      <c r="G320" s="64">
        <v>4400</v>
      </c>
      <c r="H320" s="63">
        <v>202506</v>
      </c>
      <c r="I320" s="63" t="s">
        <v>928</v>
      </c>
      <c r="J320" s="65">
        <v>92795</v>
      </c>
      <c r="K320" s="65">
        <v>93788</v>
      </c>
      <c r="L320" s="66">
        <v>993</v>
      </c>
      <c r="M320" s="51">
        <v>1687633</v>
      </c>
      <c r="N320" s="68">
        <v>0</v>
      </c>
      <c r="O320" s="68">
        <v>0</v>
      </c>
      <c r="P320" s="68">
        <v>0</v>
      </c>
      <c r="Q320" s="153">
        <v>0</v>
      </c>
      <c r="R320" s="29">
        <v>1687633</v>
      </c>
      <c r="S320" s="29">
        <v>3000</v>
      </c>
      <c r="T320" s="29">
        <f t="shared" si="17"/>
        <v>1690633</v>
      </c>
    </row>
    <row r="321" spans="1:20" ht="21" customHeight="1" x14ac:dyDescent="0.25">
      <c r="A321" s="24">
        <v>38</v>
      </c>
      <c r="B321" s="61">
        <v>514031421428</v>
      </c>
      <c r="C321" s="62" t="s">
        <v>53</v>
      </c>
      <c r="D321" s="45" t="s">
        <v>30</v>
      </c>
      <c r="E321" s="62" t="s">
        <v>875</v>
      </c>
      <c r="F321" s="63" t="s">
        <v>25</v>
      </c>
      <c r="G321" s="64">
        <v>4400</v>
      </c>
      <c r="H321" s="63">
        <v>202506</v>
      </c>
      <c r="I321" s="63" t="s">
        <v>929</v>
      </c>
      <c r="J321" s="65">
        <v>63758</v>
      </c>
      <c r="K321" s="65">
        <v>64815</v>
      </c>
      <c r="L321" s="66">
        <v>1057</v>
      </c>
      <c r="M321" s="51">
        <v>1796403</v>
      </c>
      <c r="N321" s="68">
        <v>0</v>
      </c>
      <c r="O321" s="68">
        <v>0</v>
      </c>
      <c r="P321" s="68">
        <v>0</v>
      </c>
      <c r="Q321" s="153">
        <v>0</v>
      </c>
      <c r="R321" s="29">
        <v>1796403</v>
      </c>
      <c r="S321" s="29">
        <v>3000</v>
      </c>
      <c r="T321" s="29">
        <f t="shared" si="17"/>
        <v>1799403</v>
      </c>
    </row>
    <row r="322" spans="1:20" ht="21" customHeight="1" x14ac:dyDescent="0.25">
      <c r="A322" s="24">
        <v>39</v>
      </c>
      <c r="B322" s="61">
        <v>514031421436</v>
      </c>
      <c r="C322" s="62" t="s">
        <v>53</v>
      </c>
      <c r="D322" s="45" t="s">
        <v>30</v>
      </c>
      <c r="E322" s="62" t="s">
        <v>930</v>
      </c>
      <c r="F322" s="63" t="s">
        <v>25</v>
      </c>
      <c r="G322" s="64">
        <v>4400</v>
      </c>
      <c r="H322" s="63">
        <v>202506</v>
      </c>
      <c r="I322" s="63" t="s">
        <v>931</v>
      </c>
      <c r="J322" s="65">
        <v>62718</v>
      </c>
      <c r="K322" s="65">
        <v>64271</v>
      </c>
      <c r="L322" s="66">
        <v>1553</v>
      </c>
      <c r="M322" s="51">
        <v>2639370</v>
      </c>
      <c r="N322" s="68">
        <v>0</v>
      </c>
      <c r="O322" s="68">
        <v>0</v>
      </c>
      <c r="P322" s="68">
        <v>0</v>
      </c>
      <c r="Q322" s="153">
        <v>0</v>
      </c>
      <c r="R322" s="29">
        <v>2639370</v>
      </c>
      <c r="S322" s="29">
        <v>3000</v>
      </c>
      <c r="T322" s="29">
        <f t="shared" si="17"/>
        <v>2642370</v>
      </c>
    </row>
    <row r="323" spans="1:20" ht="21" customHeight="1" x14ac:dyDescent="0.25">
      <c r="A323" s="24">
        <v>40</v>
      </c>
      <c r="B323" s="61">
        <v>514031421444</v>
      </c>
      <c r="C323" s="62" t="s">
        <v>53</v>
      </c>
      <c r="D323" s="45" t="s">
        <v>30</v>
      </c>
      <c r="E323" s="62" t="s">
        <v>58</v>
      </c>
      <c r="F323" s="63" t="s">
        <v>25</v>
      </c>
      <c r="G323" s="64">
        <v>4400</v>
      </c>
      <c r="H323" s="63">
        <v>202506</v>
      </c>
      <c r="I323" s="63" t="s">
        <v>932</v>
      </c>
      <c r="J323" s="65">
        <v>35487</v>
      </c>
      <c r="K323" s="65">
        <v>36840</v>
      </c>
      <c r="L323" s="66">
        <v>1353</v>
      </c>
      <c r="M323" s="51">
        <v>2299464</v>
      </c>
      <c r="N323" s="68">
        <v>0</v>
      </c>
      <c r="O323" s="68">
        <v>0</v>
      </c>
      <c r="P323" s="68">
        <v>0</v>
      </c>
      <c r="Q323" s="153">
        <v>0</v>
      </c>
      <c r="R323" s="29">
        <v>2299464</v>
      </c>
      <c r="S323" s="29">
        <v>3000</v>
      </c>
      <c r="T323" s="29">
        <f t="shared" si="17"/>
        <v>2302464</v>
      </c>
    </row>
    <row r="324" spans="1:20" s="35" customFormat="1" ht="21" customHeight="1" x14ac:dyDescent="0.25">
      <c r="A324" s="24"/>
      <c r="B324" s="25"/>
      <c r="C324" s="24"/>
      <c r="D324" s="24"/>
      <c r="E324" s="24"/>
      <c r="F324" s="25"/>
      <c r="G324" s="25"/>
      <c r="H324" s="25"/>
      <c r="I324" s="25" t="s">
        <v>0</v>
      </c>
      <c r="J324" s="25"/>
      <c r="K324" s="25"/>
      <c r="L324" s="28" t="s">
        <v>0</v>
      </c>
      <c r="M324" s="29"/>
      <c r="N324" s="48"/>
      <c r="O324" s="48"/>
      <c r="P324" s="48"/>
      <c r="Q324" s="47"/>
      <c r="R324" s="47"/>
      <c r="S324" s="47"/>
      <c r="T324" s="47"/>
    </row>
    <row r="325" spans="1:20" ht="37.5" customHeight="1" x14ac:dyDescent="0.25">
      <c r="A325" s="44" t="s">
        <v>179</v>
      </c>
      <c r="B325" s="20"/>
      <c r="C325" s="20"/>
      <c r="D325" s="20"/>
      <c r="E325" s="20"/>
      <c r="F325" s="20"/>
      <c r="G325" s="70">
        <v>214500</v>
      </c>
      <c r="H325" s="70"/>
      <c r="I325" s="70"/>
      <c r="J325" s="70"/>
      <c r="K325" s="70"/>
      <c r="L325" s="70">
        <v>50886</v>
      </c>
      <c r="M325" s="70">
        <v>86482287</v>
      </c>
      <c r="N325" s="70">
        <v>0</v>
      </c>
      <c r="O325" s="70">
        <v>0</v>
      </c>
      <c r="P325" s="70">
        <v>0</v>
      </c>
      <c r="Q325" s="152">
        <f>SUM(Q284:Q324)</f>
        <v>0</v>
      </c>
      <c r="R325" s="152">
        <f t="shared" ref="R325:T325" si="18">SUM(R284:R324)</f>
        <v>86482287</v>
      </c>
      <c r="S325" s="152">
        <f t="shared" si="18"/>
        <v>120000</v>
      </c>
      <c r="T325" s="152">
        <f t="shared" si="18"/>
        <v>86602287</v>
      </c>
    </row>
    <row r="326" spans="1:20" ht="21" customHeight="1" x14ac:dyDescent="0.25">
      <c r="A326" s="71"/>
      <c r="B326" s="71"/>
      <c r="C326" s="71" t="s">
        <v>180</v>
      </c>
      <c r="D326" s="71"/>
      <c r="E326" s="71" t="s">
        <v>180</v>
      </c>
      <c r="F326" s="71"/>
      <c r="G326" s="71"/>
      <c r="L326" s="41"/>
    </row>
    <row r="327" spans="1:20" ht="21" customHeight="1" x14ac:dyDescent="0.25">
      <c r="A327" s="71"/>
      <c r="B327" s="71"/>
      <c r="C327" s="71"/>
      <c r="D327" s="71"/>
      <c r="E327" s="71"/>
      <c r="F327" s="71"/>
      <c r="G327" s="71"/>
      <c r="L327" s="41"/>
    </row>
    <row r="328" spans="1:20" s="93" customFormat="1" ht="42" customHeight="1" x14ac:dyDescent="0.25">
      <c r="A328" s="31" t="s">
        <v>4</v>
      </c>
      <c r="B328" s="31" t="s">
        <v>5</v>
      </c>
      <c r="C328" s="31" t="s">
        <v>6</v>
      </c>
      <c r="D328" s="22"/>
      <c r="E328" s="31" t="s">
        <v>7</v>
      </c>
      <c r="F328" s="31" t="s">
        <v>8</v>
      </c>
      <c r="G328" s="31" t="s">
        <v>9</v>
      </c>
      <c r="H328" s="31" t="s">
        <v>10</v>
      </c>
      <c r="I328" s="31" t="s">
        <v>11</v>
      </c>
      <c r="J328" s="31" t="s">
        <v>12</v>
      </c>
      <c r="K328" s="31" t="s">
        <v>13</v>
      </c>
      <c r="L328" s="31" t="s">
        <v>14</v>
      </c>
      <c r="M328" s="141" t="s">
        <v>15</v>
      </c>
      <c r="N328" s="142" t="s">
        <v>16</v>
      </c>
      <c r="O328" s="142" t="s">
        <v>17</v>
      </c>
      <c r="P328" s="142" t="s">
        <v>18</v>
      </c>
      <c r="Q328" s="141" t="s">
        <v>19</v>
      </c>
      <c r="R328" s="141" t="s">
        <v>20</v>
      </c>
      <c r="S328" s="141" t="s">
        <v>3655</v>
      </c>
      <c r="T328" s="141" t="s">
        <v>3656</v>
      </c>
    </row>
    <row r="329" spans="1:20" ht="21" customHeight="1" x14ac:dyDescent="0.25">
      <c r="A329" s="44"/>
      <c r="B329" s="20"/>
      <c r="C329" s="25"/>
      <c r="D329" s="25"/>
      <c r="E329" s="25"/>
      <c r="F329" s="25"/>
      <c r="G329" s="25"/>
      <c r="H329" s="25"/>
      <c r="I329" s="25"/>
      <c r="J329" s="25"/>
      <c r="K329" s="25"/>
      <c r="L329" s="28"/>
      <c r="M329" s="29"/>
      <c r="N329" s="30"/>
      <c r="O329" s="30"/>
      <c r="P329" s="30"/>
      <c r="Q329" s="29"/>
      <c r="R329" s="29"/>
      <c r="S329" s="29"/>
      <c r="T329" s="29"/>
    </row>
    <row r="330" spans="1:20" ht="21" customHeight="1" x14ac:dyDescent="0.25">
      <c r="A330" s="44"/>
      <c r="B330" s="20"/>
      <c r="C330" s="25"/>
      <c r="D330" s="25"/>
      <c r="E330" s="45" t="s">
        <v>181</v>
      </c>
      <c r="F330" s="25"/>
      <c r="G330" s="70">
        <v>214500</v>
      </c>
      <c r="H330" s="70">
        <v>0</v>
      </c>
      <c r="I330" s="70">
        <v>0</v>
      </c>
      <c r="J330" s="70"/>
      <c r="K330" s="70"/>
      <c r="L330" s="70">
        <v>50886</v>
      </c>
      <c r="M330" s="72">
        <v>86482287</v>
      </c>
      <c r="N330" s="73">
        <v>0</v>
      </c>
      <c r="O330" s="73">
        <v>0</v>
      </c>
      <c r="P330" s="73">
        <v>0</v>
      </c>
      <c r="Q330" s="72">
        <f>Q325</f>
        <v>0</v>
      </c>
      <c r="R330" s="72">
        <f t="shared" ref="R330:T330" si="19">R325</f>
        <v>86482287</v>
      </c>
      <c r="S330" s="72">
        <f t="shared" si="19"/>
        <v>120000</v>
      </c>
      <c r="T330" s="72">
        <f t="shared" si="19"/>
        <v>86602287</v>
      </c>
    </row>
    <row r="331" spans="1:20" ht="21" customHeight="1" x14ac:dyDescent="0.25">
      <c r="A331" s="74">
        <v>41</v>
      </c>
      <c r="B331" s="75">
        <v>514031421451</v>
      </c>
      <c r="C331" s="62" t="s">
        <v>53</v>
      </c>
      <c r="D331" s="25" t="s">
        <v>30</v>
      </c>
      <c r="E331" s="45" t="s">
        <v>933</v>
      </c>
      <c r="F331" s="25" t="s">
        <v>25</v>
      </c>
      <c r="G331" s="28">
        <v>5500</v>
      </c>
      <c r="H331" s="63">
        <v>202506</v>
      </c>
      <c r="I331" s="63" t="s">
        <v>934</v>
      </c>
      <c r="J331" s="65">
        <v>69226</v>
      </c>
      <c r="K331" s="65">
        <v>70875</v>
      </c>
      <c r="L331" s="66">
        <v>1649</v>
      </c>
      <c r="M331" s="51">
        <v>2802525</v>
      </c>
      <c r="N331" s="68">
        <v>0</v>
      </c>
      <c r="O331" s="68">
        <v>0</v>
      </c>
      <c r="P331" s="68">
        <v>0</v>
      </c>
      <c r="Q331" s="154">
        <v>0</v>
      </c>
      <c r="R331" s="69">
        <v>2802525</v>
      </c>
      <c r="S331" s="29">
        <v>3000</v>
      </c>
      <c r="T331" s="29">
        <f t="shared" ref="T331:T342" si="20">R331+S331</f>
        <v>2805525</v>
      </c>
    </row>
    <row r="332" spans="1:20" ht="21" customHeight="1" x14ac:dyDescent="0.25">
      <c r="A332" s="74">
        <v>42</v>
      </c>
      <c r="B332" s="75">
        <v>514031421469</v>
      </c>
      <c r="C332" s="62" t="s">
        <v>53</v>
      </c>
      <c r="D332" s="25" t="s">
        <v>23</v>
      </c>
      <c r="E332" s="45" t="s">
        <v>107</v>
      </c>
      <c r="F332" s="25" t="s">
        <v>25</v>
      </c>
      <c r="G332" s="28">
        <v>5500</v>
      </c>
      <c r="H332" s="63">
        <v>202506</v>
      </c>
      <c r="I332" s="63" t="s">
        <v>935</v>
      </c>
      <c r="J332" s="65">
        <v>5484</v>
      </c>
      <c r="K332" s="65">
        <v>7335</v>
      </c>
      <c r="L332" s="66">
        <v>1851</v>
      </c>
      <c r="M332" s="51">
        <v>3145830</v>
      </c>
      <c r="N332" s="68">
        <v>0</v>
      </c>
      <c r="O332" s="68">
        <v>0</v>
      </c>
      <c r="P332" s="68">
        <v>0</v>
      </c>
      <c r="Q332" s="154">
        <v>0</v>
      </c>
      <c r="R332" s="69">
        <v>3145830</v>
      </c>
      <c r="S332" s="29">
        <v>3000</v>
      </c>
      <c r="T332" s="29">
        <f t="shared" si="20"/>
        <v>3148830</v>
      </c>
    </row>
    <row r="333" spans="1:20" ht="21" customHeight="1" x14ac:dyDescent="0.25">
      <c r="A333" s="74">
        <v>43</v>
      </c>
      <c r="B333" s="75">
        <v>514031421477</v>
      </c>
      <c r="C333" s="62" t="s">
        <v>53</v>
      </c>
      <c r="D333" s="25" t="s">
        <v>23</v>
      </c>
      <c r="E333" s="45" t="s">
        <v>875</v>
      </c>
      <c r="F333" s="25" t="s">
        <v>25</v>
      </c>
      <c r="G333" s="28">
        <v>4400</v>
      </c>
      <c r="H333" s="63">
        <v>202506</v>
      </c>
      <c r="I333" s="63" t="s">
        <v>936</v>
      </c>
      <c r="J333" s="65">
        <v>25096</v>
      </c>
      <c r="K333" s="65">
        <v>26382</v>
      </c>
      <c r="L333" s="66">
        <v>1286</v>
      </c>
      <c r="M333" s="51">
        <v>2185596</v>
      </c>
      <c r="N333" s="68">
        <v>0</v>
      </c>
      <c r="O333" s="68">
        <v>0</v>
      </c>
      <c r="P333" s="68">
        <v>0</v>
      </c>
      <c r="Q333" s="154">
        <v>0</v>
      </c>
      <c r="R333" s="69">
        <v>2185596</v>
      </c>
      <c r="S333" s="29">
        <v>3000</v>
      </c>
      <c r="T333" s="29">
        <f t="shared" si="20"/>
        <v>2188596</v>
      </c>
    </row>
    <row r="334" spans="1:20" ht="21" customHeight="1" x14ac:dyDescent="0.25">
      <c r="A334" s="74">
        <v>44</v>
      </c>
      <c r="B334" s="75">
        <v>514031421485</v>
      </c>
      <c r="C334" s="62" t="s">
        <v>53</v>
      </c>
      <c r="D334" s="25" t="s">
        <v>30</v>
      </c>
      <c r="E334" s="45" t="s">
        <v>875</v>
      </c>
      <c r="F334" s="25" t="s">
        <v>25</v>
      </c>
      <c r="G334" s="28">
        <v>4400</v>
      </c>
      <c r="H334" s="63">
        <v>202506</v>
      </c>
      <c r="I334" s="63" t="s">
        <v>937</v>
      </c>
      <c r="J334" s="65">
        <v>45429</v>
      </c>
      <c r="K334" s="65">
        <v>46576</v>
      </c>
      <c r="L334" s="66">
        <v>1147</v>
      </c>
      <c r="M334" s="51">
        <v>1949361</v>
      </c>
      <c r="N334" s="68">
        <v>0</v>
      </c>
      <c r="O334" s="68">
        <v>0</v>
      </c>
      <c r="P334" s="68">
        <v>0</v>
      </c>
      <c r="Q334" s="154">
        <v>0</v>
      </c>
      <c r="R334" s="69">
        <v>1949361</v>
      </c>
      <c r="S334" s="29">
        <v>3000</v>
      </c>
      <c r="T334" s="29">
        <f t="shared" si="20"/>
        <v>1952361</v>
      </c>
    </row>
    <row r="335" spans="1:20" ht="21" customHeight="1" x14ac:dyDescent="0.25">
      <c r="A335" s="74">
        <v>45</v>
      </c>
      <c r="B335" s="75">
        <v>514031421493</v>
      </c>
      <c r="C335" s="62" t="s">
        <v>53</v>
      </c>
      <c r="D335" s="25" t="s">
        <v>23</v>
      </c>
      <c r="E335" s="45" t="s">
        <v>884</v>
      </c>
      <c r="F335" s="25" t="s">
        <v>25</v>
      </c>
      <c r="G335" s="28">
        <v>5500</v>
      </c>
      <c r="H335" s="63">
        <v>202506</v>
      </c>
      <c r="I335" s="63" t="s">
        <v>938</v>
      </c>
      <c r="J335" s="65">
        <v>48406</v>
      </c>
      <c r="K335" s="65">
        <v>49813</v>
      </c>
      <c r="L335" s="66">
        <v>1407</v>
      </c>
      <c r="M335" s="51">
        <v>2391239</v>
      </c>
      <c r="N335" s="68">
        <v>0</v>
      </c>
      <c r="O335" s="68">
        <v>0</v>
      </c>
      <c r="P335" s="68">
        <v>0</v>
      </c>
      <c r="Q335" s="154">
        <v>0</v>
      </c>
      <c r="R335" s="69">
        <v>2391239</v>
      </c>
      <c r="S335" s="29">
        <v>3000</v>
      </c>
      <c r="T335" s="29">
        <f t="shared" si="20"/>
        <v>2394239</v>
      </c>
    </row>
    <row r="336" spans="1:20" ht="21" customHeight="1" x14ac:dyDescent="0.25">
      <c r="A336" s="74">
        <v>46</v>
      </c>
      <c r="B336" s="75">
        <v>514031421507</v>
      </c>
      <c r="C336" s="62" t="s">
        <v>53</v>
      </c>
      <c r="D336" s="25" t="s">
        <v>30</v>
      </c>
      <c r="E336" s="45" t="s">
        <v>884</v>
      </c>
      <c r="F336" s="25" t="s">
        <v>25</v>
      </c>
      <c r="G336" s="28">
        <v>4400</v>
      </c>
      <c r="H336" s="63">
        <v>202506</v>
      </c>
      <c r="I336" s="63" t="s">
        <v>939</v>
      </c>
      <c r="J336" s="65">
        <v>22834</v>
      </c>
      <c r="K336" s="65">
        <v>25125</v>
      </c>
      <c r="L336" s="66">
        <v>2291</v>
      </c>
      <c r="M336" s="51">
        <v>3893623</v>
      </c>
      <c r="N336" s="68">
        <v>0</v>
      </c>
      <c r="O336" s="68">
        <v>0</v>
      </c>
      <c r="P336" s="68">
        <v>0</v>
      </c>
      <c r="Q336" s="154">
        <v>0</v>
      </c>
      <c r="R336" s="69">
        <v>3893623</v>
      </c>
      <c r="S336" s="29">
        <v>3000</v>
      </c>
      <c r="T336" s="29">
        <f t="shared" si="20"/>
        <v>3896623</v>
      </c>
    </row>
    <row r="337" spans="1:20" ht="21" customHeight="1" x14ac:dyDescent="0.25">
      <c r="A337" s="74">
        <v>47</v>
      </c>
      <c r="B337" s="75">
        <v>514031421515</v>
      </c>
      <c r="C337" s="62" t="s">
        <v>53</v>
      </c>
      <c r="D337" s="25" t="s">
        <v>30</v>
      </c>
      <c r="E337" s="45" t="s">
        <v>877</v>
      </c>
      <c r="F337" s="25" t="s">
        <v>25</v>
      </c>
      <c r="G337" s="28">
        <v>5500</v>
      </c>
      <c r="H337" s="63">
        <v>202506</v>
      </c>
      <c r="I337" s="63" t="s">
        <v>940</v>
      </c>
      <c r="J337" s="65">
        <v>20243</v>
      </c>
      <c r="K337" s="65">
        <v>22214</v>
      </c>
      <c r="L337" s="66">
        <v>1971</v>
      </c>
      <c r="M337" s="51">
        <v>3349774</v>
      </c>
      <c r="N337" s="68">
        <v>0</v>
      </c>
      <c r="O337" s="68">
        <v>0</v>
      </c>
      <c r="P337" s="68">
        <v>0</v>
      </c>
      <c r="Q337" s="154">
        <v>0</v>
      </c>
      <c r="R337" s="69">
        <v>3349774</v>
      </c>
      <c r="S337" s="29">
        <v>3000</v>
      </c>
      <c r="T337" s="29">
        <f t="shared" si="20"/>
        <v>3352774</v>
      </c>
    </row>
    <row r="338" spans="1:20" ht="21" customHeight="1" x14ac:dyDescent="0.25">
      <c r="A338" s="74">
        <v>48</v>
      </c>
      <c r="B338" s="75">
        <v>514031421523</v>
      </c>
      <c r="C338" s="62" t="s">
        <v>53</v>
      </c>
      <c r="D338" s="25" t="s">
        <v>30</v>
      </c>
      <c r="E338" s="45" t="s">
        <v>908</v>
      </c>
      <c r="F338" s="25" t="s">
        <v>25</v>
      </c>
      <c r="G338" s="28">
        <v>5500</v>
      </c>
      <c r="H338" s="63">
        <v>202506</v>
      </c>
      <c r="I338" s="63" t="s">
        <v>941</v>
      </c>
      <c r="J338" s="65">
        <v>43194</v>
      </c>
      <c r="K338" s="65">
        <v>43955</v>
      </c>
      <c r="L338" s="66">
        <v>761</v>
      </c>
      <c r="M338" s="51">
        <v>1293342</v>
      </c>
      <c r="N338" s="68">
        <v>0</v>
      </c>
      <c r="O338" s="68">
        <v>0</v>
      </c>
      <c r="P338" s="68">
        <v>0</v>
      </c>
      <c r="Q338" s="154">
        <v>0</v>
      </c>
      <c r="R338" s="69">
        <v>1293342</v>
      </c>
      <c r="S338" s="29">
        <v>3000</v>
      </c>
      <c r="T338" s="29">
        <f t="shared" si="20"/>
        <v>1296342</v>
      </c>
    </row>
    <row r="339" spans="1:20" ht="21" customHeight="1" x14ac:dyDescent="0.25">
      <c r="A339" s="74">
        <v>49</v>
      </c>
      <c r="B339" s="75">
        <v>514031851937</v>
      </c>
      <c r="C339" s="62" t="s">
        <v>942</v>
      </c>
      <c r="D339" s="25" t="s">
        <v>30</v>
      </c>
      <c r="E339" s="45" t="s">
        <v>899</v>
      </c>
      <c r="F339" s="25" t="s">
        <v>25</v>
      </c>
      <c r="G339" s="28">
        <v>3500</v>
      </c>
      <c r="H339" s="63">
        <v>202506</v>
      </c>
      <c r="I339" s="63" t="s">
        <v>943</v>
      </c>
      <c r="J339" s="65">
        <v>72652</v>
      </c>
      <c r="K339" s="65">
        <v>73341</v>
      </c>
      <c r="L339" s="66">
        <v>689</v>
      </c>
      <c r="M339" s="51">
        <v>1170976</v>
      </c>
      <c r="N339" s="68">
        <v>0</v>
      </c>
      <c r="O339" s="68">
        <v>0</v>
      </c>
      <c r="P339" s="68">
        <v>0</v>
      </c>
      <c r="Q339" s="154">
        <v>0</v>
      </c>
      <c r="R339" s="69">
        <v>1170976</v>
      </c>
      <c r="S339" s="29">
        <v>3000</v>
      </c>
      <c r="T339" s="29">
        <f t="shared" si="20"/>
        <v>1173976</v>
      </c>
    </row>
    <row r="340" spans="1:20" ht="21" customHeight="1" x14ac:dyDescent="0.25">
      <c r="A340" s="74">
        <v>50</v>
      </c>
      <c r="B340" s="75">
        <v>514032196543</v>
      </c>
      <c r="C340" s="24" t="s">
        <v>944</v>
      </c>
      <c r="D340" s="25" t="s">
        <v>30</v>
      </c>
      <c r="E340" s="45" t="s">
        <v>886</v>
      </c>
      <c r="F340" s="25" t="s">
        <v>25</v>
      </c>
      <c r="G340" s="28">
        <v>3500</v>
      </c>
      <c r="H340" s="63">
        <v>202506</v>
      </c>
      <c r="I340" s="63" t="s">
        <v>945</v>
      </c>
      <c r="J340" s="65">
        <v>32177</v>
      </c>
      <c r="K340" s="65">
        <v>33002</v>
      </c>
      <c r="L340" s="76">
        <v>825</v>
      </c>
      <c r="M340" s="77">
        <v>1402112</v>
      </c>
      <c r="N340" s="68">
        <v>0</v>
      </c>
      <c r="O340" s="68">
        <v>0</v>
      </c>
      <c r="P340" s="68">
        <v>0</v>
      </c>
      <c r="Q340" s="154">
        <v>0</v>
      </c>
      <c r="R340" s="69">
        <v>1402112</v>
      </c>
      <c r="S340" s="29">
        <v>3000</v>
      </c>
      <c r="T340" s="29">
        <f t="shared" si="20"/>
        <v>1405112</v>
      </c>
    </row>
    <row r="341" spans="1:20" ht="21" customHeight="1" x14ac:dyDescent="0.25">
      <c r="A341" s="74">
        <v>51</v>
      </c>
      <c r="B341" s="75">
        <v>514032292852</v>
      </c>
      <c r="C341" s="13" t="s">
        <v>946</v>
      </c>
      <c r="D341" s="25" t="s">
        <v>30</v>
      </c>
      <c r="E341" s="45" t="s">
        <v>901</v>
      </c>
      <c r="F341" s="25" t="s">
        <v>25</v>
      </c>
      <c r="G341" s="28">
        <v>900</v>
      </c>
      <c r="H341" s="25">
        <v>202506</v>
      </c>
      <c r="I341" s="25" t="s">
        <v>947</v>
      </c>
      <c r="J341" s="65">
        <v>0</v>
      </c>
      <c r="K341" s="65">
        <v>25</v>
      </c>
      <c r="L341" s="65">
        <v>26</v>
      </c>
      <c r="M341" s="77">
        <v>44188</v>
      </c>
      <c r="N341" s="68">
        <v>0</v>
      </c>
      <c r="O341" s="68">
        <v>0</v>
      </c>
      <c r="P341" s="68">
        <v>0</v>
      </c>
      <c r="Q341" s="154">
        <v>0</v>
      </c>
      <c r="R341" s="69">
        <v>44188</v>
      </c>
      <c r="S341" s="29">
        <v>3000</v>
      </c>
      <c r="T341" s="29">
        <f t="shared" si="20"/>
        <v>47188</v>
      </c>
    </row>
    <row r="342" spans="1:20" ht="21" customHeight="1" x14ac:dyDescent="0.25">
      <c r="A342" s="74">
        <v>52</v>
      </c>
      <c r="B342" s="75">
        <v>514100615956</v>
      </c>
      <c r="C342" s="24" t="s">
        <v>948</v>
      </c>
      <c r="D342" s="25" t="s">
        <v>30</v>
      </c>
      <c r="E342" s="45" t="s">
        <v>899</v>
      </c>
      <c r="F342" s="25" t="s">
        <v>25</v>
      </c>
      <c r="G342" s="28">
        <v>5500</v>
      </c>
      <c r="H342" s="63">
        <v>202506</v>
      </c>
      <c r="I342" s="63" t="s">
        <v>949</v>
      </c>
      <c r="J342" s="65">
        <v>96034</v>
      </c>
      <c r="K342" s="65">
        <v>96786</v>
      </c>
      <c r="L342" s="76">
        <v>752</v>
      </c>
      <c r="M342" s="77">
        <v>1278047</v>
      </c>
      <c r="N342" s="68">
        <v>0</v>
      </c>
      <c r="O342" s="68">
        <v>0</v>
      </c>
      <c r="P342" s="68">
        <v>0</v>
      </c>
      <c r="Q342" s="154">
        <v>0</v>
      </c>
      <c r="R342" s="69">
        <v>1278047</v>
      </c>
      <c r="S342" s="29">
        <v>3000</v>
      </c>
      <c r="T342" s="29">
        <f t="shared" si="20"/>
        <v>1281047</v>
      </c>
    </row>
    <row r="343" spans="1:20" ht="21" customHeight="1" x14ac:dyDescent="0.25">
      <c r="A343" s="74"/>
      <c r="B343" s="20"/>
      <c r="C343" s="60"/>
      <c r="D343" s="60"/>
      <c r="E343" s="60"/>
      <c r="F343" s="20"/>
      <c r="G343" s="78"/>
      <c r="H343" s="70"/>
      <c r="I343" s="20"/>
      <c r="J343" s="79"/>
      <c r="K343" s="79"/>
      <c r="L343" s="79"/>
      <c r="M343" s="80"/>
      <c r="N343" s="81"/>
      <c r="O343" s="81"/>
      <c r="P343" s="81"/>
      <c r="Q343" s="155"/>
      <c r="R343" s="69"/>
      <c r="S343" s="69"/>
      <c r="T343" s="69"/>
    </row>
    <row r="344" spans="1:20" s="35" customFormat="1" ht="21" customHeight="1" x14ac:dyDescent="0.25">
      <c r="A344" s="82"/>
      <c r="B344" s="20"/>
      <c r="C344" s="60"/>
      <c r="D344" s="60"/>
      <c r="E344" s="60"/>
      <c r="F344" s="20"/>
      <c r="G344" s="78"/>
      <c r="H344" s="70"/>
      <c r="I344" s="20"/>
      <c r="J344" s="20"/>
      <c r="K344" s="20"/>
      <c r="L344" s="70"/>
      <c r="M344" s="47"/>
      <c r="N344" s="48"/>
      <c r="O344" s="48"/>
      <c r="P344" s="48"/>
      <c r="Q344" s="47"/>
      <c r="R344" s="47"/>
      <c r="S344" s="47"/>
      <c r="T344" s="47"/>
    </row>
    <row r="345" spans="1:20" s="35" customFormat="1" ht="37.5" customHeight="1" x14ac:dyDescent="0.25">
      <c r="A345" s="44" t="s">
        <v>950</v>
      </c>
      <c r="B345" s="50"/>
      <c r="C345" s="50"/>
      <c r="D345" s="50"/>
      <c r="E345" s="50"/>
      <c r="F345" s="50"/>
      <c r="G345" s="46">
        <v>268600</v>
      </c>
      <c r="H345" s="46"/>
      <c r="I345" s="46"/>
      <c r="J345" s="46"/>
      <c r="K345" s="46"/>
      <c r="L345" s="46">
        <v>65541</v>
      </c>
      <c r="M345" s="46">
        <v>111388900</v>
      </c>
      <c r="N345" s="46">
        <v>0</v>
      </c>
      <c r="O345" s="46">
        <v>0</v>
      </c>
      <c r="P345" s="46">
        <v>0</v>
      </c>
      <c r="Q345" s="152">
        <f>SUM(Q329:Q344)</f>
        <v>0</v>
      </c>
      <c r="R345" s="152">
        <f t="shared" ref="R345:T345" si="21">SUM(R329:R344)</f>
        <v>111388900</v>
      </c>
      <c r="S345" s="152">
        <f t="shared" si="21"/>
        <v>156000</v>
      </c>
      <c r="T345" s="152">
        <f t="shared" si="21"/>
        <v>111544900</v>
      </c>
    </row>
    <row r="346" spans="1:20" ht="21" customHeight="1" x14ac:dyDescent="0.25">
      <c r="A346" s="83"/>
      <c r="B346" s="84"/>
      <c r="C346" s="85"/>
      <c r="D346" s="85"/>
      <c r="E346" s="85"/>
      <c r="F346" s="84"/>
      <c r="G346" s="86"/>
      <c r="H346" s="86"/>
      <c r="I346" s="86"/>
      <c r="J346" s="86"/>
      <c r="K346" s="86"/>
      <c r="L346" s="86"/>
    </row>
    <row r="347" spans="1:20" ht="21" customHeight="1" x14ac:dyDescent="0.25">
      <c r="A347" s="35"/>
      <c r="B347" s="18"/>
      <c r="C347" s="19"/>
      <c r="D347" s="19"/>
      <c r="E347" s="19"/>
      <c r="F347" s="18"/>
      <c r="G347" s="49"/>
      <c r="H347" s="49"/>
      <c r="I347" s="49"/>
      <c r="J347" s="49"/>
      <c r="K347" s="49"/>
      <c r="L347" s="49"/>
    </row>
    <row r="348" spans="1:20" ht="21" customHeight="1" x14ac:dyDescent="0.25">
      <c r="A348" s="87" t="s">
        <v>951</v>
      </c>
      <c r="B348" s="71"/>
      <c r="C348" s="88"/>
      <c r="D348" s="88"/>
      <c r="E348" s="88"/>
      <c r="F348" s="71"/>
      <c r="G348" s="89"/>
      <c r="L348" s="41"/>
    </row>
    <row r="349" spans="1:20" s="93" customFormat="1" ht="42" customHeight="1" x14ac:dyDescent="0.25">
      <c r="A349" s="31" t="s">
        <v>4</v>
      </c>
      <c r="B349" s="31" t="s">
        <v>5</v>
      </c>
      <c r="C349" s="31" t="s">
        <v>6</v>
      </c>
      <c r="D349" s="22"/>
      <c r="E349" s="31" t="s">
        <v>7</v>
      </c>
      <c r="F349" s="31" t="s">
        <v>8</v>
      </c>
      <c r="G349" s="31" t="s">
        <v>9</v>
      </c>
      <c r="H349" s="31" t="s">
        <v>10</v>
      </c>
      <c r="I349" s="31" t="s">
        <v>11</v>
      </c>
      <c r="J349" s="31" t="s">
        <v>12</v>
      </c>
      <c r="K349" s="31" t="s">
        <v>13</v>
      </c>
      <c r="L349" s="31" t="s">
        <v>14</v>
      </c>
      <c r="M349" s="141" t="s">
        <v>15</v>
      </c>
      <c r="N349" s="142" t="s">
        <v>16</v>
      </c>
      <c r="O349" s="142" t="s">
        <v>17</v>
      </c>
      <c r="P349" s="142" t="s">
        <v>18</v>
      </c>
      <c r="Q349" s="141" t="s">
        <v>19</v>
      </c>
      <c r="R349" s="141" t="s">
        <v>20</v>
      </c>
      <c r="S349" s="141" t="s">
        <v>3655</v>
      </c>
      <c r="T349" s="141" t="s">
        <v>3656</v>
      </c>
    </row>
    <row r="350" spans="1:20" ht="21" customHeight="1" x14ac:dyDescent="0.25">
      <c r="A350" s="44"/>
      <c r="B350" s="20"/>
      <c r="C350" s="25"/>
      <c r="D350" s="25"/>
      <c r="E350" s="25"/>
      <c r="F350" s="25"/>
      <c r="G350" s="25"/>
      <c r="H350" s="25"/>
      <c r="I350" s="25"/>
      <c r="J350" s="25"/>
      <c r="K350" s="25"/>
      <c r="L350" s="28">
        <v>0</v>
      </c>
      <c r="M350" s="29"/>
      <c r="N350" s="30"/>
      <c r="O350" s="30"/>
      <c r="P350" s="30"/>
      <c r="Q350" s="29"/>
      <c r="R350" s="29"/>
      <c r="S350" s="29"/>
      <c r="T350" s="29"/>
    </row>
    <row r="351" spans="1:20" ht="21" customHeight="1" x14ac:dyDescent="0.25">
      <c r="A351" s="21">
        <v>1</v>
      </c>
      <c r="B351" s="1" t="s">
        <v>952</v>
      </c>
      <c r="C351" s="2" t="s">
        <v>953</v>
      </c>
      <c r="D351" s="2" t="s">
        <v>84</v>
      </c>
      <c r="E351" s="2" t="s">
        <v>954</v>
      </c>
      <c r="F351" s="1" t="s">
        <v>25</v>
      </c>
      <c r="G351" s="3">
        <v>3500</v>
      </c>
      <c r="H351" s="1" t="s">
        <v>26</v>
      </c>
      <c r="I351" s="1" t="s">
        <v>955</v>
      </c>
      <c r="J351" s="1">
        <v>15815</v>
      </c>
      <c r="K351" s="1">
        <v>16022</v>
      </c>
      <c r="L351" s="4">
        <v>207</v>
      </c>
      <c r="M351" s="4">
        <v>351803</v>
      </c>
      <c r="N351" s="5">
        <v>0</v>
      </c>
      <c r="O351" s="5">
        <v>0</v>
      </c>
      <c r="P351" s="5">
        <v>0</v>
      </c>
      <c r="Q351" s="4">
        <v>0</v>
      </c>
      <c r="R351" s="6">
        <v>351803</v>
      </c>
      <c r="S351" s="29">
        <v>3000</v>
      </c>
      <c r="T351" s="29">
        <f t="shared" ref="T351:T390" si="22">R351+S351</f>
        <v>354803</v>
      </c>
    </row>
    <row r="352" spans="1:20" ht="21" customHeight="1" x14ac:dyDescent="0.25">
      <c r="A352" s="21">
        <v>2</v>
      </c>
      <c r="B352" s="1" t="s">
        <v>956</v>
      </c>
      <c r="C352" s="2" t="s">
        <v>957</v>
      </c>
      <c r="D352" s="2" t="s">
        <v>84</v>
      </c>
      <c r="E352" s="2" t="s">
        <v>958</v>
      </c>
      <c r="F352" s="1" t="s">
        <v>25</v>
      </c>
      <c r="G352" s="3">
        <v>7700</v>
      </c>
      <c r="H352" s="1" t="s">
        <v>26</v>
      </c>
      <c r="I352" s="1" t="s">
        <v>959</v>
      </c>
      <c r="J352" s="1">
        <v>60253</v>
      </c>
      <c r="K352" s="1">
        <v>60969</v>
      </c>
      <c r="L352" s="4">
        <v>716</v>
      </c>
      <c r="M352" s="4">
        <v>1216863</v>
      </c>
      <c r="N352" s="5">
        <v>0</v>
      </c>
      <c r="O352" s="5">
        <v>0</v>
      </c>
      <c r="P352" s="5">
        <v>0</v>
      </c>
      <c r="Q352" s="4">
        <v>0</v>
      </c>
      <c r="R352" s="6">
        <v>1216863</v>
      </c>
      <c r="S352" s="29">
        <v>3000</v>
      </c>
      <c r="T352" s="29">
        <f t="shared" si="22"/>
        <v>1219863</v>
      </c>
    </row>
    <row r="353" spans="1:20" ht="21" customHeight="1" x14ac:dyDescent="0.25">
      <c r="A353" s="21">
        <v>3</v>
      </c>
      <c r="B353" s="1" t="s">
        <v>960</v>
      </c>
      <c r="C353" s="2" t="s">
        <v>53</v>
      </c>
      <c r="D353" s="2" t="s">
        <v>30</v>
      </c>
      <c r="E353" s="2" t="s">
        <v>961</v>
      </c>
      <c r="F353" s="1" t="s">
        <v>25</v>
      </c>
      <c r="G353" s="3">
        <v>2200</v>
      </c>
      <c r="H353" s="1" t="s">
        <v>26</v>
      </c>
      <c r="I353" s="1" t="s">
        <v>962</v>
      </c>
      <c r="J353" s="1">
        <v>77432</v>
      </c>
      <c r="K353" s="1">
        <v>78535</v>
      </c>
      <c r="L353" s="4">
        <v>1103</v>
      </c>
      <c r="M353" s="4">
        <v>1874582</v>
      </c>
      <c r="N353" s="5">
        <v>0</v>
      </c>
      <c r="O353" s="5">
        <v>0</v>
      </c>
      <c r="P353" s="5">
        <v>0</v>
      </c>
      <c r="Q353" s="4">
        <v>0</v>
      </c>
      <c r="R353" s="6">
        <v>1874582</v>
      </c>
      <c r="S353" s="29">
        <v>3000</v>
      </c>
      <c r="T353" s="29">
        <f t="shared" si="22"/>
        <v>1877582</v>
      </c>
    </row>
    <row r="354" spans="1:20" ht="21" customHeight="1" x14ac:dyDescent="0.25">
      <c r="A354" s="21">
        <v>4</v>
      </c>
      <c r="B354" s="1" t="s">
        <v>963</v>
      </c>
      <c r="C354" s="2" t="s">
        <v>964</v>
      </c>
      <c r="D354" s="2" t="s">
        <v>84</v>
      </c>
      <c r="E354" s="2" t="s">
        <v>965</v>
      </c>
      <c r="F354" s="1" t="s">
        <v>25</v>
      </c>
      <c r="G354" s="3">
        <v>2200</v>
      </c>
      <c r="H354" s="1" t="s">
        <v>26</v>
      </c>
      <c r="I354" s="1" t="s">
        <v>966</v>
      </c>
      <c r="J354" s="1">
        <v>14952</v>
      </c>
      <c r="K354" s="1">
        <v>15234</v>
      </c>
      <c r="L354" s="4">
        <v>282</v>
      </c>
      <c r="M354" s="4">
        <v>479267</v>
      </c>
      <c r="N354" s="5">
        <v>0</v>
      </c>
      <c r="O354" s="5">
        <v>0</v>
      </c>
      <c r="P354" s="5">
        <v>0</v>
      </c>
      <c r="Q354" s="4">
        <v>0</v>
      </c>
      <c r="R354" s="6">
        <v>479267</v>
      </c>
      <c r="S354" s="29">
        <v>3000</v>
      </c>
      <c r="T354" s="29">
        <f t="shared" si="22"/>
        <v>482267</v>
      </c>
    </row>
    <row r="355" spans="1:20" ht="21" customHeight="1" x14ac:dyDescent="0.25">
      <c r="A355" s="21">
        <v>5</v>
      </c>
      <c r="B355" s="1" t="s">
        <v>967</v>
      </c>
      <c r="C355" s="2" t="s">
        <v>968</v>
      </c>
      <c r="D355" s="2" t="s">
        <v>84</v>
      </c>
      <c r="E355" s="2" t="s">
        <v>969</v>
      </c>
      <c r="F355" s="1" t="s">
        <v>25</v>
      </c>
      <c r="G355" s="3">
        <v>7700</v>
      </c>
      <c r="H355" s="1" t="s">
        <v>26</v>
      </c>
      <c r="I355" s="1" t="s">
        <v>970</v>
      </c>
      <c r="J355" s="1">
        <v>23851</v>
      </c>
      <c r="K355" s="1">
        <v>26624</v>
      </c>
      <c r="L355" s="4">
        <v>2773</v>
      </c>
      <c r="M355" s="4">
        <v>4712797</v>
      </c>
      <c r="N355" s="5">
        <v>0</v>
      </c>
      <c r="O355" s="5">
        <v>0</v>
      </c>
      <c r="P355" s="5">
        <v>0</v>
      </c>
      <c r="Q355" s="4">
        <v>0</v>
      </c>
      <c r="R355" s="6">
        <v>4712797</v>
      </c>
      <c r="S355" s="29">
        <v>3000</v>
      </c>
      <c r="T355" s="29">
        <f t="shared" si="22"/>
        <v>4715797</v>
      </c>
    </row>
    <row r="356" spans="1:20" ht="21" customHeight="1" x14ac:dyDescent="0.25">
      <c r="A356" s="21">
        <v>6</v>
      </c>
      <c r="B356" s="1" t="s">
        <v>971</v>
      </c>
      <c r="C356" s="2" t="s">
        <v>972</v>
      </c>
      <c r="D356" s="2" t="s">
        <v>973</v>
      </c>
      <c r="E356" s="2" t="s">
        <v>974</v>
      </c>
      <c r="F356" s="1" t="s">
        <v>25</v>
      </c>
      <c r="G356" s="3">
        <v>5500</v>
      </c>
      <c r="H356" s="1" t="s">
        <v>26</v>
      </c>
      <c r="I356" s="1" t="s">
        <v>975</v>
      </c>
      <c r="J356" s="1">
        <v>24967</v>
      </c>
      <c r="K356" s="1">
        <v>25654</v>
      </c>
      <c r="L356" s="4">
        <v>687</v>
      </c>
      <c r="M356" s="4">
        <v>1167577</v>
      </c>
      <c r="N356" s="5">
        <v>0</v>
      </c>
      <c r="O356" s="5">
        <v>0</v>
      </c>
      <c r="P356" s="5">
        <v>0</v>
      </c>
      <c r="Q356" s="4">
        <v>0</v>
      </c>
      <c r="R356" s="6">
        <v>1167577</v>
      </c>
      <c r="S356" s="29">
        <v>3000</v>
      </c>
      <c r="T356" s="29">
        <f t="shared" si="22"/>
        <v>1170577</v>
      </c>
    </row>
    <row r="357" spans="1:20" ht="21" customHeight="1" x14ac:dyDescent="0.25">
      <c r="A357" s="21">
        <v>7</v>
      </c>
      <c r="B357" s="1" t="s">
        <v>976</v>
      </c>
      <c r="C357" s="2" t="s">
        <v>53</v>
      </c>
      <c r="D357" s="2" t="s">
        <v>84</v>
      </c>
      <c r="E357" s="2" t="s">
        <v>977</v>
      </c>
      <c r="F357" s="1" t="s">
        <v>25</v>
      </c>
      <c r="G357" s="3">
        <v>3500</v>
      </c>
      <c r="H357" s="1" t="s">
        <v>26</v>
      </c>
      <c r="I357" s="1" t="s">
        <v>978</v>
      </c>
      <c r="J357" s="1">
        <v>90168</v>
      </c>
      <c r="K357" s="1">
        <v>91062</v>
      </c>
      <c r="L357" s="4">
        <v>894</v>
      </c>
      <c r="M357" s="4">
        <v>1519380</v>
      </c>
      <c r="N357" s="5">
        <v>0</v>
      </c>
      <c r="O357" s="5">
        <v>0</v>
      </c>
      <c r="P357" s="5">
        <v>0</v>
      </c>
      <c r="Q357" s="4">
        <v>0</v>
      </c>
      <c r="R357" s="6">
        <v>1519380</v>
      </c>
      <c r="S357" s="29">
        <v>3000</v>
      </c>
      <c r="T357" s="29">
        <f t="shared" si="22"/>
        <v>1522380</v>
      </c>
    </row>
    <row r="358" spans="1:20" ht="21" customHeight="1" x14ac:dyDescent="0.25">
      <c r="A358" s="21">
        <v>8</v>
      </c>
      <c r="B358" s="1" t="s">
        <v>979</v>
      </c>
      <c r="C358" s="2" t="s">
        <v>53</v>
      </c>
      <c r="D358" s="2" t="s">
        <v>84</v>
      </c>
      <c r="E358" s="2" t="s">
        <v>980</v>
      </c>
      <c r="F358" s="1" t="s">
        <v>25</v>
      </c>
      <c r="G358" s="3">
        <v>7700</v>
      </c>
      <c r="H358" s="1" t="s">
        <v>26</v>
      </c>
      <c r="I358" s="1" t="s">
        <v>981</v>
      </c>
      <c r="J358" s="1">
        <v>16738</v>
      </c>
      <c r="K358" s="1">
        <v>17926</v>
      </c>
      <c r="L358" s="4">
        <v>1188</v>
      </c>
      <c r="M358" s="4">
        <v>2019042</v>
      </c>
      <c r="N358" s="5">
        <v>0</v>
      </c>
      <c r="O358" s="5">
        <v>0</v>
      </c>
      <c r="P358" s="5">
        <v>0</v>
      </c>
      <c r="Q358" s="4">
        <v>0</v>
      </c>
      <c r="R358" s="6">
        <v>2019042</v>
      </c>
      <c r="S358" s="29">
        <v>3000</v>
      </c>
      <c r="T358" s="29">
        <f t="shared" si="22"/>
        <v>2022042</v>
      </c>
    </row>
    <row r="359" spans="1:20" ht="21" customHeight="1" x14ac:dyDescent="0.25">
      <c r="A359" s="21">
        <v>9</v>
      </c>
      <c r="B359" s="1" t="s">
        <v>982</v>
      </c>
      <c r="C359" s="2" t="s">
        <v>983</v>
      </c>
      <c r="D359" s="2" t="s">
        <v>84</v>
      </c>
      <c r="E359" s="2" t="s">
        <v>984</v>
      </c>
      <c r="F359" s="1" t="s">
        <v>25</v>
      </c>
      <c r="G359" s="3">
        <v>11000</v>
      </c>
      <c r="H359" s="1" t="s">
        <v>26</v>
      </c>
      <c r="I359" s="1" t="s">
        <v>985</v>
      </c>
      <c r="J359" s="1">
        <v>835</v>
      </c>
      <c r="K359" s="1">
        <v>887</v>
      </c>
      <c r="L359" s="4">
        <v>440</v>
      </c>
      <c r="M359" s="4">
        <v>747793</v>
      </c>
      <c r="N359" s="5">
        <v>0</v>
      </c>
      <c r="O359" s="5">
        <v>0</v>
      </c>
      <c r="P359" s="5">
        <v>0</v>
      </c>
      <c r="Q359" s="4">
        <v>0</v>
      </c>
      <c r="R359" s="6">
        <v>747793</v>
      </c>
      <c r="S359" s="29">
        <v>3000</v>
      </c>
      <c r="T359" s="29">
        <f t="shared" si="22"/>
        <v>750793</v>
      </c>
    </row>
    <row r="360" spans="1:20" ht="21" customHeight="1" x14ac:dyDescent="0.25">
      <c r="A360" s="21">
        <v>10</v>
      </c>
      <c r="B360" s="1" t="s">
        <v>986</v>
      </c>
      <c r="C360" s="2" t="s">
        <v>53</v>
      </c>
      <c r="D360" s="2" t="s">
        <v>84</v>
      </c>
      <c r="E360" s="2" t="s">
        <v>987</v>
      </c>
      <c r="F360" s="1" t="s">
        <v>25</v>
      </c>
      <c r="G360" s="3">
        <v>5500</v>
      </c>
      <c r="H360" s="1" t="s">
        <v>26</v>
      </c>
      <c r="I360" s="1" t="s">
        <v>988</v>
      </c>
      <c r="J360" s="1">
        <v>35119</v>
      </c>
      <c r="K360" s="1">
        <v>37152</v>
      </c>
      <c r="L360" s="4">
        <v>2033</v>
      </c>
      <c r="M360" s="4">
        <v>3455144</v>
      </c>
      <c r="N360" s="5">
        <v>0</v>
      </c>
      <c r="O360" s="5">
        <v>0</v>
      </c>
      <c r="P360" s="5">
        <v>0</v>
      </c>
      <c r="Q360" s="4">
        <v>0</v>
      </c>
      <c r="R360" s="6">
        <v>3455144</v>
      </c>
      <c r="S360" s="29">
        <v>3000</v>
      </c>
      <c r="T360" s="29">
        <f t="shared" si="22"/>
        <v>3458144</v>
      </c>
    </row>
    <row r="361" spans="1:20" ht="21" customHeight="1" x14ac:dyDescent="0.25">
      <c r="A361" s="21">
        <v>11</v>
      </c>
      <c r="B361" s="1" t="s">
        <v>989</v>
      </c>
      <c r="C361" s="2" t="s">
        <v>990</v>
      </c>
      <c r="D361" s="2" t="s">
        <v>84</v>
      </c>
      <c r="E361" s="2" t="s">
        <v>991</v>
      </c>
      <c r="F361" s="1" t="s">
        <v>25</v>
      </c>
      <c r="G361" s="3">
        <v>7700</v>
      </c>
      <c r="H361" s="1" t="s">
        <v>26</v>
      </c>
      <c r="I361" s="1" t="s">
        <v>992</v>
      </c>
      <c r="J361" s="1">
        <v>96849</v>
      </c>
      <c r="K361" s="1">
        <v>97026</v>
      </c>
      <c r="L361" s="4">
        <v>308</v>
      </c>
      <c r="M361" s="4">
        <v>523455</v>
      </c>
      <c r="N361" s="5">
        <v>0</v>
      </c>
      <c r="O361" s="5">
        <v>0</v>
      </c>
      <c r="P361" s="5">
        <v>0</v>
      </c>
      <c r="Q361" s="4">
        <v>0</v>
      </c>
      <c r="R361" s="6">
        <v>523455</v>
      </c>
      <c r="S361" s="29">
        <v>3000</v>
      </c>
      <c r="T361" s="29">
        <f t="shared" si="22"/>
        <v>526455</v>
      </c>
    </row>
    <row r="362" spans="1:20" ht="21" customHeight="1" x14ac:dyDescent="0.25">
      <c r="A362" s="21">
        <v>12</v>
      </c>
      <c r="B362" s="1" t="s">
        <v>993</v>
      </c>
      <c r="C362" s="2" t="s">
        <v>53</v>
      </c>
      <c r="D362" s="2" t="s">
        <v>84</v>
      </c>
      <c r="E362" s="2" t="s">
        <v>994</v>
      </c>
      <c r="F362" s="1" t="s">
        <v>25</v>
      </c>
      <c r="G362" s="3">
        <v>4400</v>
      </c>
      <c r="H362" s="1" t="s">
        <v>26</v>
      </c>
      <c r="I362" s="1" t="s">
        <v>995</v>
      </c>
      <c r="J362" s="1">
        <v>94328</v>
      </c>
      <c r="K362" s="1">
        <v>94723</v>
      </c>
      <c r="L362" s="4">
        <v>395</v>
      </c>
      <c r="M362" s="4">
        <v>671314</v>
      </c>
      <c r="N362" s="5">
        <v>0</v>
      </c>
      <c r="O362" s="5">
        <v>0</v>
      </c>
      <c r="P362" s="5">
        <v>0</v>
      </c>
      <c r="Q362" s="4">
        <v>0</v>
      </c>
      <c r="R362" s="6">
        <v>671314</v>
      </c>
      <c r="S362" s="29">
        <v>3000</v>
      </c>
      <c r="T362" s="29">
        <f t="shared" si="22"/>
        <v>674314</v>
      </c>
    </row>
    <row r="363" spans="1:20" ht="21" customHeight="1" x14ac:dyDescent="0.25">
      <c r="A363" s="21">
        <v>13</v>
      </c>
      <c r="B363" s="1" t="s">
        <v>996</v>
      </c>
      <c r="C363" s="2" t="s">
        <v>53</v>
      </c>
      <c r="D363" s="2" t="s">
        <v>84</v>
      </c>
      <c r="E363" s="2" t="s">
        <v>997</v>
      </c>
      <c r="F363" s="1" t="s">
        <v>25</v>
      </c>
      <c r="G363" s="3">
        <v>5500</v>
      </c>
      <c r="H363" s="1" t="s">
        <v>26</v>
      </c>
      <c r="I363" s="1" t="s">
        <v>998</v>
      </c>
      <c r="J363" s="1">
        <v>85777</v>
      </c>
      <c r="K363" s="1">
        <v>86848</v>
      </c>
      <c r="L363" s="4">
        <v>1071</v>
      </c>
      <c r="M363" s="4">
        <v>1820197</v>
      </c>
      <c r="N363" s="5">
        <v>0</v>
      </c>
      <c r="O363" s="5">
        <v>0</v>
      </c>
      <c r="P363" s="5">
        <v>0</v>
      </c>
      <c r="Q363" s="4">
        <v>0</v>
      </c>
      <c r="R363" s="6">
        <v>1820197</v>
      </c>
      <c r="S363" s="29">
        <v>3000</v>
      </c>
      <c r="T363" s="29">
        <f t="shared" si="22"/>
        <v>1823197</v>
      </c>
    </row>
    <row r="364" spans="1:20" ht="21" customHeight="1" x14ac:dyDescent="0.25">
      <c r="A364" s="21">
        <v>14</v>
      </c>
      <c r="B364" s="1" t="s">
        <v>999</v>
      </c>
      <c r="C364" s="2" t="s">
        <v>53</v>
      </c>
      <c r="D364" s="2" t="s">
        <v>84</v>
      </c>
      <c r="E364" s="2" t="s">
        <v>997</v>
      </c>
      <c r="F364" s="1" t="s">
        <v>25</v>
      </c>
      <c r="G364" s="3">
        <v>7700</v>
      </c>
      <c r="H364" s="1" t="s">
        <v>26</v>
      </c>
      <c r="I364" s="1" t="s">
        <v>1000</v>
      </c>
      <c r="J364" s="1">
        <v>53908</v>
      </c>
      <c r="K364" s="1">
        <v>54201</v>
      </c>
      <c r="L364" s="4">
        <v>308</v>
      </c>
      <c r="M364" s="4">
        <v>523455</v>
      </c>
      <c r="N364" s="5">
        <v>0</v>
      </c>
      <c r="O364" s="5">
        <v>0</v>
      </c>
      <c r="P364" s="5">
        <v>0</v>
      </c>
      <c r="Q364" s="4">
        <v>0</v>
      </c>
      <c r="R364" s="6">
        <v>523455</v>
      </c>
      <c r="S364" s="29">
        <v>3000</v>
      </c>
      <c r="T364" s="29">
        <f t="shared" si="22"/>
        <v>526455</v>
      </c>
    </row>
    <row r="365" spans="1:20" ht="21" customHeight="1" x14ac:dyDescent="0.25">
      <c r="A365" s="21">
        <v>15</v>
      </c>
      <c r="B365" s="1" t="s">
        <v>1001</v>
      </c>
      <c r="C365" s="2" t="s">
        <v>972</v>
      </c>
      <c r="D365" s="2" t="s">
        <v>84</v>
      </c>
      <c r="E365" s="2" t="s">
        <v>1002</v>
      </c>
      <c r="F365" s="1" t="s">
        <v>25</v>
      </c>
      <c r="G365" s="3">
        <v>6000</v>
      </c>
      <c r="H365" s="1" t="s">
        <v>26</v>
      </c>
      <c r="I365" s="1" t="s">
        <v>1003</v>
      </c>
      <c r="J365" s="1">
        <v>309886</v>
      </c>
      <c r="K365" s="1">
        <v>311733</v>
      </c>
      <c r="L365" s="4">
        <v>1847</v>
      </c>
      <c r="M365" s="4">
        <v>3139032</v>
      </c>
      <c r="N365" s="5">
        <v>0</v>
      </c>
      <c r="O365" s="5">
        <v>0</v>
      </c>
      <c r="P365" s="5">
        <v>0</v>
      </c>
      <c r="Q365" s="4">
        <v>0</v>
      </c>
      <c r="R365" s="6">
        <v>3139032</v>
      </c>
      <c r="S365" s="29">
        <v>3000</v>
      </c>
      <c r="T365" s="29">
        <f t="shared" si="22"/>
        <v>3142032</v>
      </c>
    </row>
    <row r="366" spans="1:20" ht="21" customHeight="1" x14ac:dyDescent="0.25">
      <c r="A366" s="21">
        <v>16</v>
      </c>
      <c r="B366" s="1" t="s">
        <v>1004</v>
      </c>
      <c r="C366" s="2" t="s">
        <v>972</v>
      </c>
      <c r="D366" s="2" t="s">
        <v>84</v>
      </c>
      <c r="E366" s="2" t="s">
        <v>1005</v>
      </c>
      <c r="F366" s="1" t="s">
        <v>25</v>
      </c>
      <c r="G366" s="3">
        <v>11000</v>
      </c>
      <c r="H366" s="1" t="s">
        <v>26</v>
      </c>
      <c r="I366" s="1" t="s">
        <v>1006</v>
      </c>
      <c r="J366" s="1">
        <v>11277</v>
      </c>
      <c r="K366" s="1">
        <v>12196</v>
      </c>
      <c r="L366" s="4">
        <v>919</v>
      </c>
      <c r="M366" s="4">
        <v>1561868</v>
      </c>
      <c r="N366" s="5">
        <v>0</v>
      </c>
      <c r="O366" s="5">
        <v>0</v>
      </c>
      <c r="P366" s="5">
        <v>0</v>
      </c>
      <c r="Q366" s="4">
        <v>0</v>
      </c>
      <c r="R366" s="6">
        <v>1561868</v>
      </c>
      <c r="S366" s="29">
        <v>3000</v>
      </c>
      <c r="T366" s="29">
        <f t="shared" si="22"/>
        <v>1564868</v>
      </c>
    </row>
    <row r="367" spans="1:20" ht="21" customHeight="1" x14ac:dyDescent="0.25">
      <c r="A367" s="21">
        <v>17</v>
      </c>
      <c r="B367" s="1" t="s">
        <v>1007</v>
      </c>
      <c r="C367" s="2" t="s">
        <v>1008</v>
      </c>
      <c r="D367" s="2" t="s">
        <v>84</v>
      </c>
      <c r="E367" s="2" t="s">
        <v>1009</v>
      </c>
      <c r="F367" s="1" t="s">
        <v>25</v>
      </c>
      <c r="G367" s="3">
        <v>7700</v>
      </c>
      <c r="H367" s="1" t="s">
        <v>26</v>
      </c>
      <c r="I367" s="1" t="s">
        <v>1010</v>
      </c>
      <c r="J367" s="1">
        <v>20875</v>
      </c>
      <c r="K367" s="1">
        <v>21601</v>
      </c>
      <c r="L367" s="4">
        <v>726</v>
      </c>
      <c r="M367" s="4">
        <v>1233859</v>
      </c>
      <c r="N367" s="5">
        <v>0</v>
      </c>
      <c r="O367" s="5">
        <v>0</v>
      </c>
      <c r="P367" s="5">
        <v>0</v>
      </c>
      <c r="Q367" s="4">
        <v>0</v>
      </c>
      <c r="R367" s="6">
        <v>1233859</v>
      </c>
      <c r="S367" s="29">
        <v>3000</v>
      </c>
      <c r="T367" s="29">
        <f t="shared" si="22"/>
        <v>1236859</v>
      </c>
    </row>
    <row r="368" spans="1:20" ht="21" customHeight="1" x14ac:dyDescent="0.25">
      <c r="A368" s="21">
        <v>18</v>
      </c>
      <c r="B368" s="1" t="s">
        <v>1011</v>
      </c>
      <c r="C368" s="2" t="s">
        <v>1012</v>
      </c>
      <c r="D368" s="2" t="s">
        <v>84</v>
      </c>
      <c r="E368" s="2" t="s">
        <v>1013</v>
      </c>
      <c r="F368" s="1" t="s">
        <v>25</v>
      </c>
      <c r="G368" s="3">
        <v>11000</v>
      </c>
      <c r="H368" s="1" t="s">
        <v>26</v>
      </c>
      <c r="I368" s="1" t="s">
        <v>1014</v>
      </c>
      <c r="J368" s="1">
        <v>21246</v>
      </c>
      <c r="K368" s="1">
        <v>22599</v>
      </c>
      <c r="L368" s="4">
        <v>1353</v>
      </c>
      <c r="M368" s="4">
        <v>2299464</v>
      </c>
      <c r="N368" s="5">
        <v>0</v>
      </c>
      <c r="O368" s="5">
        <v>0</v>
      </c>
      <c r="P368" s="5">
        <v>0</v>
      </c>
      <c r="Q368" s="4">
        <v>0</v>
      </c>
      <c r="R368" s="6">
        <v>2299464</v>
      </c>
      <c r="S368" s="29">
        <v>3000</v>
      </c>
      <c r="T368" s="29">
        <f t="shared" si="22"/>
        <v>2302464</v>
      </c>
    </row>
    <row r="369" spans="1:20" ht="21" customHeight="1" x14ac:dyDescent="0.25">
      <c r="A369" s="21">
        <v>19</v>
      </c>
      <c r="B369" s="1" t="s">
        <v>1015</v>
      </c>
      <c r="C369" s="2" t="s">
        <v>1016</v>
      </c>
      <c r="D369" s="2" t="s">
        <v>23</v>
      </c>
      <c r="E369" s="2" t="s">
        <v>1017</v>
      </c>
      <c r="F369" s="1" t="s">
        <v>25</v>
      </c>
      <c r="G369" s="3">
        <v>3500</v>
      </c>
      <c r="H369" s="1" t="s">
        <v>26</v>
      </c>
      <c r="I369" s="1" t="s">
        <v>1018</v>
      </c>
      <c r="J369" s="1">
        <v>13384</v>
      </c>
      <c r="K369" s="1">
        <v>14978</v>
      </c>
      <c r="L369" s="4">
        <v>1594</v>
      </c>
      <c r="M369" s="4">
        <v>2709051</v>
      </c>
      <c r="N369" s="5">
        <v>0</v>
      </c>
      <c r="O369" s="5">
        <v>0</v>
      </c>
      <c r="P369" s="5">
        <v>0</v>
      </c>
      <c r="Q369" s="4">
        <v>0</v>
      </c>
      <c r="R369" s="6">
        <v>2709051</v>
      </c>
      <c r="S369" s="29">
        <v>3000</v>
      </c>
      <c r="T369" s="29">
        <f t="shared" si="22"/>
        <v>2712051</v>
      </c>
    </row>
    <row r="370" spans="1:20" ht="21" customHeight="1" x14ac:dyDescent="0.25">
      <c r="A370" s="21">
        <v>20</v>
      </c>
      <c r="B370" s="1" t="s">
        <v>1019</v>
      </c>
      <c r="C370" s="2" t="s">
        <v>1020</v>
      </c>
      <c r="D370" s="2" t="s">
        <v>23</v>
      </c>
      <c r="E370" s="2" t="s">
        <v>1021</v>
      </c>
      <c r="F370" s="1" t="s">
        <v>25</v>
      </c>
      <c r="G370" s="3">
        <v>3500</v>
      </c>
      <c r="H370" s="1" t="s">
        <v>26</v>
      </c>
      <c r="I370" s="1" t="s">
        <v>1022</v>
      </c>
      <c r="J370" s="1">
        <v>60112</v>
      </c>
      <c r="K370" s="1">
        <v>60492</v>
      </c>
      <c r="L370" s="4">
        <v>380</v>
      </c>
      <c r="M370" s="4">
        <v>645821</v>
      </c>
      <c r="N370" s="5">
        <v>0</v>
      </c>
      <c r="O370" s="5">
        <v>0</v>
      </c>
      <c r="P370" s="5">
        <v>0</v>
      </c>
      <c r="Q370" s="4">
        <v>0</v>
      </c>
      <c r="R370" s="6">
        <v>645821</v>
      </c>
      <c r="S370" s="29">
        <v>3000</v>
      </c>
      <c r="T370" s="29">
        <f t="shared" si="22"/>
        <v>648821</v>
      </c>
    </row>
    <row r="371" spans="1:20" ht="21" customHeight="1" x14ac:dyDescent="0.25">
      <c r="A371" s="21">
        <v>21</v>
      </c>
      <c r="B371" s="1" t="s">
        <v>1023</v>
      </c>
      <c r="C371" s="2" t="s">
        <v>1024</v>
      </c>
      <c r="D371" s="2" t="s">
        <v>23</v>
      </c>
      <c r="E371" s="2" t="s">
        <v>1025</v>
      </c>
      <c r="F371" s="1" t="s">
        <v>25</v>
      </c>
      <c r="G371" s="3">
        <v>2200</v>
      </c>
      <c r="H371" s="1" t="s">
        <v>26</v>
      </c>
      <c r="I371" s="1" t="s">
        <v>1026</v>
      </c>
      <c r="J371" s="1">
        <v>30572</v>
      </c>
      <c r="K371" s="1">
        <v>31723</v>
      </c>
      <c r="L371" s="4">
        <v>1151</v>
      </c>
      <c r="M371" s="4">
        <v>1956159</v>
      </c>
      <c r="N371" s="5">
        <v>0</v>
      </c>
      <c r="O371" s="5">
        <v>0</v>
      </c>
      <c r="P371" s="5">
        <v>0</v>
      </c>
      <c r="Q371" s="4">
        <v>0</v>
      </c>
      <c r="R371" s="6">
        <v>1956159</v>
      </c>
      <c r="S371" s="29">
        <v>3000</v>
      </c>
      <c r="T371" s="29">
        <f t="shared" si="22"/>
        <v>1959159</v>
      </c>
    </row>
    <row r="372" spans="1:20" ht="21" customHeight="1" x14ac:dyDescent="0.25">
      <c r="A372" s="21">
        <v>22</v>
      </c>
      <c r="B372" s="1" t="s">
        <v>1027</v>
      </c>
      <c r="C372" s="2" t="s">
        <v>1028</v>
      </c>
      <c r="D372" s="2" t="s">
        <v>23</v>
      </c>
      <c r="E372" s="2" t="s">
        <v>1029</v>
      </c>
      <c r="F372" s="1" t="s">
        <v>25</v>
      </c>
      <c r="G372" s="3">
        <v>2200</v>
      </c>
      <c r="H372" s="1" t="s">
        <v>26</v>
      </c>
      <c r="I372" s="1" t="s">
        <v>1030</v>
      </c>
      <c r="J372" s="1">
        <v>65346</v>
      </c>
      <c r="K372" s="1">
        <v>65532</v>
      </c>
      <c r="L372" s="4">
        <v>186</v>
      </c>
      <c r="M372" s="4">
        <v>316113</v>
      </c>
      <c r="N372" s="5">
        <v>0</v>
      </c>
      <c r="O372" s="5">
        <v>0</v>
      </c>
      <c r="P372" s="5">
        <v>0</v>
      </c>
      <c r="Q372" s="4">
        <v>0</v>
      </c>
      <c r="R372" s="6">
        <v>316113</v>
      </c>
      <c r="S372" s="29">
        <v>3000</v>
      </c>
      <c r="T372" s="29">
        <f t="shared" si="22"/>
        <v>319113</v>
      </c>
    </row>
    <row r="373" spans="1:20" ht="21" customHeight="1" x14ac:dyDescent="0.25">
      <c r="A373" s="21">
        <v>23</v>
      </c>
      <c r="B373" s="1" t="s">
        <v>1031</v>
      </c>
      <c r="C373" s="2" t="s">
        <v>1032</v>
      </c>
      <c r="D373" s="2" t="s">
        <v>84</v>
      </c>
      <c r="E373" s="2" t="s">
        <v>1033</v>
      </c>
      <c r="F373" s="1" t="s">
        <v>25</v>
      </c>
      <c r="G373" s="3">
        <v>3500</v>
      </c>
      <c r="H373" s="1" t="s">
        <v>26</v>
      </c>
      <c r="I373" s="1" t="s">
        <v>1034</v>
      </c>
      <c r="J373" s="1">
        <v>109975</v>
      </c>
      <c r="K373" s="1">
        <v>111051</v>
      </c>
      <c r="L373" s="4">
        <v>1076</v>
      </c>
      <c r="M373" s="4">
        <v>1828694</v>
      </c>
      <c r="N373" s="5">
        <v>0</v>
      </c>
      <c r="O373" s="5">
        <v>0</v>
      </c>
      <c r="P373" s="5">
        <v>0</v>
      </c>
      <c r="Q373" s="4">
        <v>0</v>
      </c>
      <c r="R373" s="6">
        <v>1828694</v>
      </c>
      <c r="S373" s="29">
        <v>3000</v>
      </c>
      <c r="T373" s="29">
        <f t="shared" si="22"/>
        <v>1831694</v>
      </c>
    </row>
    <row r="374" spans="1:20" ht="21" customHeight="1" x14ac:dyDescent="0.25">
      <c r="A374" s="21">
        <v>24</v>
      </c>
      <c r="B374" s="1" t="s">
        <v>1035</v>
      </c>
      <c r="C374" s="2" t="s">
        <v>1036</v>
      </c>
      <c r="D374" s="2" t="s">
        <v>84</v>
      </c>
      <c r="E374" s="2" t="s">
        <v>1037</v>
      </c>
      <c r="F374" s="1" t="s">
        <v>25</v>
      </c>
      <c r="G374" s="3">
        <v>3500</v>
      </c>
      <c r="H374" s="1" t="s">
        <v>26</v>
      </c>
      <c r="I374" s="1" t="s">
        <v>1038</v>
      </c>
      <c r="J374" s="1">
        <v>7039</v>
      </c>
      <c r="K374" s="1">
        <v>8044</v>
      </c>
      <c r="L374" s="4">
        <v>1005</v>
      </c>
      <c r="M374" s="4">
        <v>1708028</v>
      </c>
      <c r="N374" s="5">
        <v>0</v>
      </c>
      <c r="O374" s="5">
        <v>0</v>
      </c>
      <c r="P374" s="5">
        <v>0</v>
      </c>
      <c r="Q374" s="4">
        <v>0</v>
      </c>
      <c r="R374" s="6">
        <v>1708028</v>
      </c>
      <c r="S374" s="29">
        <v>3000</v>
      </c>
      <c r="T374" s="29">
        <f t="shared" si="22"/>
        <v>1711028</v>
      </c>
    </row>
    <row r="375" spans="1:20" ht="21" customHeight="1" x14ac:dyDescent="0.25">
      <c r="A375" s="21">
        <v>25</v>
      </c>
      <c r="B375" s="1" t="s">
        <v>1039</v>
      </c>
      <c r="C375" s="2" t="s">
        <v>1040</v>
      </c>
      <c r="D375" s="2" t="s">
        <v>23</v>
      </c>
      <c r="E375" s="2" t="s">
        <v>1041</v>
      </c>
      <c r="F375" s="1" t="s">
        <v>25</v>
      </c>
      <c r="G375" s="3">
        <v>5500</v>
      </c>
      <c r="H375" s="1" t="s">
        <v>26</v>
      </c>
      <c r="I375" s="1" t="s">
        <v>1042</v>
      </c>
      <c r="J375" s="1">
        <v>86623</v>
      </c>
      <c r="K375" s="1">
        <v>88793</v>
      </c>
      <c r="L375" s="4">
        <v>2170</v>
      </c>
      <c r="M375" s="4">
        <v>3687980</v>
      </c>
      <c r="N375" s="5">
        <v>0</v>
      </c>
      <c r="O375" s="5">
        <v>0</v>
      </c>
      <c r="P375" s="5">
        <v>0</v>
      </c>
      <c r="Q375" s="4">
        <v>0</v>
      </c>
      <c r="R375" s="6">
        <v>3687980</v>
      </c>
      <c r="S375" s="29">
        <v>3000</v>
      </c>
      <c r="T375" s="29">
        <f t="shared" si="22"/>
        <v>3690980</v>
      </c>
    </row>
    <row r="376" spans="1:20" ht="21" customHeight="1" x14ac:dyDescent="0.25">
      <c r="A376" s="21">
        <v>26</v>
      </c>
      <c r="B376" s="1" t="s">
        <v>1043</v>
      </c>
      <c r="C376" s="2" t="s">
        <v>1044</v>
      </c>
      <c r="D376" s="2" t="s">
        <v>84</v>
      </c>
      <c r="E376" s="2" t="s">
        <v>1045</v>
      </c>
      <c r="F376" s="1" t="s">
        <v>25</v>
      </c>
      <c r="G376" s="3">
        <v>3500</v>
      </c>
      <c r="H376" s="1" t="s">
        <v>26</v>
      </c>
      <c r="I376" s="1" t="s">
        <v>1046</v>
      </c>
      <c r="J376" s="1">
        <v>26368</v>
      </c>
      <c r="K376" s="1">
        <v>26932</v>
      </c>
      <c r="L376" s="4">
        <v>564</v>
      </c>
      <c r="M376" s="4">
        <v>958535</v>
      </c>
      <c r="N376" s="5">
        <v>0</v>
      </c>
      <c r="O376" s="5">
        <v>0</v>
      </c>
      <c r="P376" s="5">
        <v>0</v>
      </c>
      <c r="Q376" s="4">
        <v>0</v>
      </c>
      <c r="R376" s="6">
        <v>958535</v>
      </c>
      <c r="S376" s="29">
        <v>3000</v>
      </c>
      <c r="T376" s="29">
        <f t="shared" si="22"/>
        <v>961535</v>
      </c>
    </row>
    <row r="377" spans="1:20" ht="21" customHeight="1" x14ac:dyDescent="0.25">
      <c r="A377" s="21">
        <v>27</v>
      </c>
      <c r="B377" s="1" t="s">
        <v>1047</v>
      </c>
      <c r="C377" s="2" t="s">
        <v>1048</v>
      </c>
      <c r="D377" s="2" t="s">
        <v>84</v>
      </c>
      <c r="E377" s="2" t="s">
        <v>1049</v>
      </c>
      <c r="F377" s="1" t="s">
        <v>25</v>
      </c>
      <c r="G377" s="3">
        <v>11000</v>
      </c>
      <c r="H377" s="1" t="s">
        <v>26</v>
      </c>
      <c r="I377" s="1" t="s">
        <v>1050</v>
      </c>
      <c r="J377" s="1">
        <v>7439</v>
      </c>
      <c r="K377" s="1">
        <v>9097</v>
      </c>
      <c r="L377" s="4">
        <v>1658</v>
      </c>
      <c r="M377" s="4">
        <v>2817821</v>
      </c>
      <c r="N377" s="5">
        <v>0</v>
      </c>
      <c r="O377" s="5">
        <v>0</v>
      </c>
      <c r="P377" s="5">
        <v>0</v>
      </c>
      <c r="Q377" s="4">
        <v>0</v>
      </c>
      <c r="R377" s="6">
        <v>2817821</v>
      </c>
      <c r="S377" s="29">
        <v>3000</v>
      </c>
      <c r="T377" s="29">
        <f t="shared" si="22"/>
        <v>2820821</v>
      </c>
    </row>
    <row r="378" spans="1:20" ht="21" customHeight="1" x14ac:dyDescent="0.25">
      <c r="A378" s="21">
        <v>28</v>
      </c>
      <c r="B378" s="1" t="s">
        <v>1051</v>
      </c>
      <c r="C378" s="2" t="s">
        <v>1052</v>
      </c>
      <c r="D378" s="2" t="s">
        <v>23</v>
      </c>
      <c r="E378" s="2" t="s">
        <v>1053</v>
      </c>
      <c r="F378" s="1" t="s">
        <v>25</v>
      </c>
      <c r="G378" s="3">
        <v>3500</v>
      </c>
      <c r="H378" s="1" t="s">
        <v>26</v>
      </c>
      <c r="I378" s="1" t="s">
        <v>1054</v>
      </c>
      <c r="J378" s="1">
        <v>95659</v>
      </c>
      <c r="K378" s="1">
        <v>96028</v>
      </c>
      <c r="L378" s="4">
        <v>369</v>
      </c>
      <c r="M378" s="4">
        <v>627127</v>
      </c>
      <c r="N378" s="5">
        <v>0</v>
      </c>
      <c r="O378" s="5">
        <v>0</v>
      </c>
      <c r="P378" s="5">
        <v>0</v>
      </c>
      <c r="Q378" s="4">
        <v>0</v>
      </c>
      <c r="R378" s="6">
        <v>627127</v>
      </c>
      <c r="S378" s="29">
        <v>3000</v>
      </c>
      <c r="T378" s="29">
        <f t="shared" si="22"/>
        <v>630127</v>
      </c>
    </row>
    <row r="379" spans="1:20" ht="21" customHeight="1" x14ac:dyDescent="0.25">
      <c r="A379" s="21">
        <v>29</v>
      </c>
      <c r="B379" s="1" t="s">
        <v>1055</v>
      </c>
      <c r="C379" s="2" t="s">
        <v>1056</v>
      </c>
      <c r="D379" s="2" t="s">
        <v>23</v>
      </c>
      <c r="E379" s="2" t="s">
        <v>1057</v>
      </c>
      <c r="F379" s="1" t="s">
        <v>25</v>
      </c>
      <c r="G379" s="3">
        <v>4400</v>
      </c>
      <c r="H379" s="1" t="s">
        <v>26</v>
      </c>
      <c r="I379" s="1" t="s">
        <v>1058</v>
      </c>
      <c r="J379" s="1">
        <v>30753</v>
      </c>
      <c r="K379" s="1">
        <v>31428</v>
      </c>
      <c r="L379" s="4">
        <v>675</v>
      </c>
      <c r="M379" s="4">
        <v>1147183</v>
      </c>
      <c r="N379" s="5">
        <v>0</v>
      </c>
      <c r="O379" s="5">
        <v>0</v>
      </c>
      <c r="P379" s="5">
        <v>0</v>
      </c>
      <c r="Q379" s="4">
        <v>0</v>
      </c>
      <c r="R379" s="6">
        <v>1147183</v>
      </c>
      <c r="S379" s="29">
        <v>3000</v>
      </c>
      <c r="T379" s="29">
        <f t="shared" si="22"/>
        <v>1150183</v>
      </c>
    </row>
    <row r="380" spans="1:20" ht="21" customHeight="1" x14ac:dyDescent="0.25">
      <c r="A380" s="21">
        <v>30</v>
      </c>
      <c r="B380" s="1" t="s">
        <v>1059</v>
      </c>
      <c r="C380" s="2" t="s">
        <v>1060</v>
      </c>
      <c r="D380" s="2" t="s">
        <v>23</v>
      </c>
      <c r="E380" s="2" t="s">
        <v>1061</v>
      </c>
      <c r="F380" s="1" t="s">
        <v>25</v>
      </c>
      <c r="G380" s="3">
        <v>4400</v>
      </c>
      <c r="H380" s="1" t="s">
        <v>26</v>
      </c>
      <c r="I380" s="1" t="s">
        <v>1062</v>
      </c>
      <c r="J380" s="1">
        <v>49727</v>
      </c>
      <c r="K380" s="1">
        <v>51664</v>
      </c>
      <c r="L380" s="4">
        <v>1937</v>
      </c>
      <c r="M380" s="4">
        <v>3291990</v>
      </c>
      <c r="N380" s="5">
        <v>0</v>
      </c>
      <c r="O380" s="5">
        <v>0</v>
      </c>
      <c r="P380" s="5">
        <v>0</v>
      </c>
      <c r="Q380" s="4">
        <v>0</v>
      </c>
      <c r="R380" s="6">
        <v>3291990</v>
      </c>
      <c r="S380" s="29">
        <v>3000</v>
      </c>
      <c r="T380" s="29">
        <f t="shared" si="22"/>
        <v>3294990</v>
      </c>
    </row>
    <row r="381" spans="1:20" ht="21" customHeight="1" x14ac:dyDescent="0.25">
      <c r="A381" s="21">
        <v>31</v>
      </c>
      <c r="B381" s="1" t="s">
        <v>1063</v>
      </c>
      <c r="C381" s="2" t="s">
        <v>1064</v>
      </c>
      <c r="D381" s="2" t="s">
        <v>23</v>
      </c>
      <c r="E381" s="2" t="s">
        <v>1065</v>
      </c>
      <c r="F381" s="1" t="s">
        <v>25</v>
      </c>
      <c r="G381" s="3">
        <v>7700</v>
      </c>
      <c r="H381" s="1" t="s">
        <v>26</v>
      </c>
      <c r="I381" s="1" t="s">
        <v>1066</v>
      </c>
      <c r="J381" s="1">
        <v>36596</v>
      </c>
      <c r="K381" s="1">
        <v>37226</v>
      </c>
      <c r="L381" s="4">
        <v>630</v>
      </c>
      <c r="M381" s="4">
        <v>1070704</v>
      </c>
      <c r="N381" s="5">
        <v>0</v>
      </c>
      <c r="O381" s="5">
        <v>0</v>
      </c>
      <c r="P381" s="5">
        <v>0</v>
      </c>
      <c r="Q381" s="4">
        <v>0</v>
      </c>
      <c r="R381" s="6">
        <v>1070704</v>
      </c>
      <c r="S381" s="29">
        <v>3000</v>
      </c>
      <c r="T381" s="29">
        <f t="shared" si="22"/>
        <v>1073704</v>
      </c>
    </row>
    <row r="382" spans="1:20" ht="21" customHeight="1" x14ac:dyDescent="0.25">
      <c r="A382" s="21">
        <v>32</v>
      </c>
      <c r="B382" s="1" t="s">
        <v>1067</v>
      </c>
      <c r="C382" s="2" t="s">
        <v>1068</v>
      </c>
      <c r="D382" s="2" t="s">
        <v>23</v>
      </c>
      <c r="E382" s="2" t="s">
        <v>1065</v>
      </c>
      <c r="F382" s="1" t="s">
        <v>25</v>
      </c>
      <c r="G382" s="3">
        <v>4400</v>
      </c>
      <c r="H382" s="1" t="s">
        <v>26</v>
      </c>
      <c r="I382" s="1" t="s">
        <v>1069</v>
      </c>
      <c r="J382" s="1">
        <v>34785</v>
      </c>
      <c r="K382" s="1">
        <v>35719</v>
      </c>
      <c r="L382" s="4">
        <v>934</v>
      </c>
      <c r="M382" s="4">
        <v>1587361</v>
      </c>
      <c r="N382" s="5">
        <v>0</v>
      </c>
      <c r="O382" s="5">
        <v>0</v>
      </c>
      <c r="P382" s="5">
        <v>0</v>
      </c>
      <c r="Q382" s="4">
        <v>0</v>
      </c>
      <c r="R382" s="6">
        <v>1587361</v>
      </c>
      <c r="S382" s="29">
        <v>3000</v>
      </c>
      <c r="T382" s="29">
        <f t="shared" si="22"/>
        <v>1590361</v>
      </c>
    </row>
    <row r="383" spans="1:20" ht="21" customHeight="1" x14ac:dyDescent="0.25">
      <c r="A383" s="21">
        <v>33</v>
      </c>
      <c r="B383" s="1" t="s">
        <v>1070</v>
      </c>
      <c r="C383" s="2" t="s">
        <v>1071</v>
      </c>
      <c r="D383" s="2" t="s">
        <v>30</v>
      </c>
      <c r="E383" s="2" t="s">
        <v>1072</v>
      </c>
      <c r="F383" s="1" t="s">
        <v>25</v>
      </c>
      <c r="G383" s="3">
        <v>5500</v>
      </c>
      <c r="H383" s="1" t="s">
        <v>26</v>
      </c>
      <c r="I383" s="1" t="s">
        <v>1073</v>
      </c>
      <c r="J383" s="1">
        <v>75206</v>
      </c>
      <c r="K383" s="1">
        <v>76946</v>
      </c>
      <c r="L383" s="4">
        <v>1740</v>
      </c>
      <c r="M383" s="4">
        <v>2957182</v>
      </c>
      <c r="N383" s="5">
        <v>0</v>
      </c>
      <c r="O383" s="5">
        <v>0</v>
      </c>
      <c r="P383" s="5">
        <v>0</v>
      </c>
      <c r="Q383" s="4">
        <v>0</v>
      </c>
      <c r="R383" s="6">
        <v>2957182</v>
      </c>
      <c r="S383" s="29">
        <v>3000</v>
      </c>
      <c r="T383" s="29">
        <f t="shared" si="22"/>
        <v>2960182</v>
      </c>
    </row>
    <row r="384" spans="1:20" ht="21" customHeight="1" x14ac:dyDescent="0.25">
      <c r="A384" s="21">
        <v>34</v>
      </c>
      <c r="B384" s="1" t="s">
        <v>1074</v>
      </c>
      <c r="C384" s="2" t="s">
        <v>1075</v>
      </c>
      <c r="D384" s="2" t="s">
        <v>84</v>
      </c>
      <c r="E384" s="2" t="s">
        <v>1076</v>
      </c>
      <c r="F384" s="1" t="s">
        <v>25</v>
      </c>
      <c r="G384" s="3">
        <v>7700</v>
      </c>
      <c r="H384" s="1" t="s">
        <v>26</v>
      </c>
      <c r="I384" s="1" t="s">
        <v>1077</v>
      </c>
      <c r="J384" s="1">
        <v>70518</v>
      </c>
      <c r="K384" s="1">
        <v>70848</v>
      </c>
      <c r="L384" s="4">
        <v>330</v>
      </c>
      <c r="M384" s="4">
        <v>560845</v>
      </c>
      <c r="N384" s="5">
        <v>0</v>
      </c>
      <c r="O384" s="5">
        <v>0</v>
      </c>
      <c r="P384" s="5">
        <v>0</v>
      </c>
      <c r="Q384" s="4">
        <v>0</v>
      </c>
      <c r="R384" s="6">
        <v>560845</v>
      </c>
      <c r="S384" s="29">
        <v>3000</v>
      </c>
      <c r="T384" s="29">
        <f t="shared" si="22"/>
        <v>563845</v>
      </c>
    </row>
    <row r="385" spans="1:20" ht="21" customHeight="1" x14ac:dyDescent="0.25">
      <c r="A385" s="21">
        <v>35</v>
      </c>
      <c r="B385" s="1" t="s">
        <v>1078</v>
      </c>
      <c r="C385" s="2" t="s">
        <v>1079</v>
      </c>
      <c r="D385" s="2" t="s">
        <v>84</v>
      </c>
      <c r="E385" s="2" t="s">
        <v>1076</v>
      </c>
      <c r="F385" s="1" t="s">
        <v>25</v>
      </c>
      <c r="G385" s="3">
        <v>7700</v>
      </c>
      <c r="H385" s="1" t="s">
        <v>26</v>
      </c>
      <c r="I385" s="1" t="s">
        <v>1080</v>
      </c>
      <c r="J385" s="1">
        <v>99646</v>
      </c>
      <c r="K385" s="1">
        <v>860</v>
      </c>
      <c r="L385" s="4">
        <v>1214</v>
      </c>
      <c r="M385" s="4">
        <v>2063229</v>
      </c>
      <c r="N385" s="5">
        <v>0</v>
      </c>
      <c r="O385" s="5">
        <v>0</v>
      </c>
      <c r="P385" s="5">
        <v>0</v>
      </c>
      <c r="Q385" s="4">
        <v>0</v>
      </c>
      <c r="R385" s="6">
        <v>2063229</v>
      </c>
      <c r="S385" s="29">
        <v>3000</v>
      </c>
      <c r="T385" s="29">
        <f t="shared" si="22"/>
        <v>2066229</v>
      </c>
    </row>
    <row r="386" spans="1:20" ht="21" customHeight="1" x14ac:dyDescent="0.25">
      <c r="A386" s="21">
        <v>36</v>
      </c>
      <c r="B386" s="1" t="s">
        <v>1081</v>
      </c>
      <c r="C386" s="2" t="s">
        <v>1082</v>
      </c>
      <c r="D386" s="2" t="s">
        <v>84</v>
      </c>
      <c r="E386" s="2" t="s">
        <v>1083</v>
      </c>
      <c r="F386" s="1" t="s">
        <v>25</v>
      </c>
      <c r="G386" s="3">
        <v>7700</v>
      </c>
      <c r="H386" s="1" t="s">
        <v>26</v>
      </c>
      <c r="I386" s="1" t="s">
        <v>1084</v>
      </c>
      <c r="J386" s="1">
        <v>127802</v>
      </c>
      <c r="K386" s="1">
        <v>128674</v>
      </c>
      <c r="L386" s="4">
        <v>872</v>
      </c>
      <c r="M386" s="4">
        <v>1481990</v>
      </c>
      <c r="N386" s="5">
        <v>0</v>
      </c>
      <c r="O386" s="5">
        <v>0</v>
      </c>
      <c r="P386" s="5">
        <v>0</v>
      </c>
      <c r="Q386" s="4">
        <v>0</v>
      </c>
      <c r="R386" s="6">
        <v>1481990</v>
      </c>
      <c r="S386" s="29">
        <v>3000</v>
      </c>
      <c r="T386" s="29">
        <f t="shared" si="22"/>
        <v>1484990</v>
      </c>
    </row>
    <row r="387" spans="1:20" ht="21" customHeight="1" x14ac:dyDescent="0.25">
      <c r="A387" s="21">
        <v>37</v>
      </c>
      <c r="B387" s="1" t="s">
        <v>1085</v>
      </c>
      <c r="C387" s="2" t="s">
        <v>1086</v>
      </c>
      <c r="D387" s="2" t="s">
        <v>84</v>
      </c>
      <c r="E387" s="2" t="s">
        <v>1083</v>
      </c>
      <c r="F387" s="1" t="s">
        <v>25</v>
      </c>
      <c r="G387" s="3">
        <v>7700</v>
      </c>
      <c r="H387" s="1" t="s">
        <v>26</v>
      </c>
      <c r="I387" s="1" t="s">
        <v>1087</v>
      </c>
      <c r="J387" s="1">
        <v>314498</v>
      </c>
      <c r="K387" s="1">
        <v>316204</v>
      </c>
      <c r="L387" s="4">
        <v>1706</v>
      </c>
      <c r="M387" s="4">
        <v>2899398</v>
      </c>
      <c r="N387" s="5">
        <v>0</v>
      </c>
      <c r="O387" s="5">
        <v>0</v>
      </c>
      <c r="P387" s="5">
        <v>0</v>
      </c>
      <c r="Q387" s="4">
        <v>0</v>
      </c>
      <c r="R387" s="6">
        <v>2899398</v>
      </c>
      <c r="S387" s="29">
        <v>3000</v>
      </c>
      <c r="T387" s="29">
        <f t="shared" si="22"/>
        <v>2902398</v>
      </c>
    </row>
    <row r="388" spans="1:20" ht="21" customHeight="1" x14ac:dyDescent="0.25">
      <c r="A388" s="21">
        <v>38</v>
      </c>
      <c r="B388" s="1" t="s">
        <v>1088</v>
      </c>
      <c r="C388" s="2" t="s">
        <v>1089</v>
      </c>
      <c r="D388" s="2" t="s">
        <v>84</v>
      </c>
      <c r="E388" s="2" t="s">
        <v>1076</v>
      </c>
      <c r="F388" s="1" t="s">
        <v>25</v>
      </c>
      <c r="G388" s="3">
        <v>7700</v>
      </c>
      <c r="H388" s="1" t="s">
        <v>26</v>
      </c>
      <c r="I388" s="1" t="s">
        <v>1090</v>
      </c>
      <c r="J388" s="1">
        <v>5191</v>
      </c>
      <c r="K388" s="1">
        <v>6625</v>
      </c>
      <c r="L388" s="4">
        <v>1434</v>
      </c>
      <c r="M388" s="4">
        <v>2437126</v>
      </c>
      <c r="N388" s="5">
        <v>0</v>
      </c>
      <c r="O388" s="5">
        <v>0</v>
      </c>
      <c r="P388" s="5">
        <v>0</v>
      </c>
      <c r="Q388" s="4">
        <v>0</v>
      </c>
      <c r="R388" s="6">
        <v>2437126</v>
      </c>
      <c r="S388" s="29">
        <v>3000</v>
      </c>
      <c r="T388" s="29">
        <f t="shared" si="22"/>
        <v>2440126</v>
      </c>
    </row>
    <row r="389" spans="1:20" ht="21" customHeight="1" x14ac:dyDescent="0.25">
      <c r="A389" s="21">
        <v>39</v>
      </c>
      <c r="B389" s="1" t="s">
        <v>1091</v>
      </c>
      <c r="C389" s="2" t="s">
        <v>1092</v>
      </c>
      <c r="D389" s="2" t="s">
        <v>84</v>
      </c>
      <c r="E389" s="2" t="s">
        <v>1093</v>
      </c>
      <c r="F389" s="1" t="s">
        <v>25</v>
      </c>
      <c r="G389" s="3">
        <v>11000</v>
      </c>
      <c r="H389" s="1" t="s">
        <v>26</v>
      </c>
      <c r="I389" s="1" t="s">
        <v>1094</v>
      </c>
      <c r="J389" s="1">
        <v>17613</v>
      </c>
      <c r="K389" s="1">
        <v>17937</v>
      </c>
      <c r="L389" s="4">
        <v>440</v>
      </c>
      <c r="M389" s="4">
        <v>747793</v>
      </c>
      <c r="N389" s="5">
        <v>0</v>
      </c>
      <c r="O389" s="5">
        <v>0</v>
      </c>
      <c r="P389" s="5">
        <v>0</v>
      </c>
      <c r="Q389" s="4">
        <v>0</v>
      </c>
      <c r="R389" s="6">
        <v>747793</v>
      </c>
      <c r="S389" s="29">
        <v>3000</v>
      </c>
      <c r="T389" s="29">
        <f t="shared" si="22"/>
        <v>750793</v>
      </c>
    </row>
    <row r="390" spans="1:20" ht="21" customHeight="1" x14ac:dyDescent="0.25">
      <c r="A390" s="21">
        <v>40</v>
      </c>
      <c r="B390" s="1" t="s">
        <v>1095</v>
      </c>
      <c r="C390" s="2" t="s">
        <v>1096</v>
      </c>
      <c r="D390" s="2" t="s">
        <v>84</v>
      </c>
      <c r="E390" s="2" t="s">
        <v>1097</v>
      </c>
      <c r="F390" s="1" t="s">
        <v>25</v>
      </c>
      <c r="G390" s="3">
        <v>3500</v>
      </c>
      <c r="H390" s="1" t="s">
        <v>26</v>
      </c>
      <c r="I390" s="1" t="s">
        <v>1098</v>
      </c>
      <c r="J390" s="1">
        <v>45295</v>
      </c>
      <c r="K390" s="1">
        <v>45460</v>
      </c>
      <c r="L390" s="4">
        <v>165</v>
      </c>
      <c r="M390" s="4">
        <v>280422</v>
      </c>
      <c r="N390" s="5">
        <v>0</v>
      </c>
      <c r="O390" s="5">
        <v>0</v>
      </c>
      <c r="P390" s="5">
        <v>0</v>
      </c>
      <c r="Q390" s="4">
        <v>0</v>
      </c>
      <c r="R390" s="6">
        <v>280422</v>
      </c>
      <c r="S390" s="29">
        <v>3000</v>
      </c>
      <c r="T390" s="29">
        <f t="shared" si="22"/>
        <v>283422</v>
      </c>
    </row>
    <row r="391" spans="1:20" s="35" customFormat="1" ht="21" customHeight="1" x14ac:dyDescent="0.25">
      <c r="A391" s="24"/>
      <c r="B391" s="25"/>
      <c r="C391" s="24"/>
      <c r="D391" s="24"/>
      <c r="E391" s="24"/>
      <c r="F391" s="25"/>
      <c r="G391" s="25"/>
      <c r="H391" s="25"/>
      <c r="I391" s="25" t="s">
        <v>0</v>
      </c>
      <c r="J391" s="25"/>
      <c r="K391" s="25"/>
      <c r="L391" s="28" t="s">
        <v>0</v>
      </c>
      <c r="M391" s="29"/>
      <c r="N391" s="48"/>
      <c r="O391" s="48"/>
      <c r="P391" s="48"/>
      <c r="Q391" s="47"/>
      <c r="R391" s="47"/>
      <c r="S391" s="47"/>
      <c r="T391" s="47"/>
    </row>
    <row r="392" spans="1:20" ht="37.5" customHeight="1" x14ac:dyDescent="0.25">
      <c r="A392" s="44" t="s">
        <v>179</v>
      </c>
      <c r="B392" s="20"/>
      <c r="C392" s="20"/>
      <c r="D392" s="20"/>
      <c r="E392" s="20"/>
      <c r="F392" s="20"/>
      <c r="G392" s="70">
        <v>238800</v>
      </c>
      <c r="H392" s="70">
        <v>0</v>
      </c>
      <c r="I392" s="70">
        <v>0</v>
      </c>
      <c r="J392" s="70"/>
      <c r="K392" s="70"/>
      <c r="L392" s="70">
        <v>39480</v>
      </c>
      <c r="M392" s="70">
        <v>67097444</v>
      </c>
      <c r="N392" s="70">
        <v>0</v>
      </c>
      <c r="O392" s="70">
        <v>0</v>
      </c>
      <c r="P392" s="70">
        <v>0</v>
      </c>
      <c r="Q392" s="152">
        <f>SUM(Q350:Q391)</f>
        <v>0</v>
      </c>
      <c r="R392" s="152">
        <f t="shared" ref="R392:T392" si="23">SUM(R350:R391)</f>
        <v>67097444</v>
      </c>
      <c r="S392" s="152">
        <f t="shared" si="23"/>
        <v>120000</v>
      </c>
      <c r="T392" s="152">
        <f t="shared" si="23"/>
        <v>67217444</v>
      </c>
    </row>
    <row r="393" spans="1:20" ht="21" customHeight="1" x14ac:dyDescent="0.25">
      <c r="A393" s="14"/>
      <c r="C393" s="14"/>
      <c r="D393" s="14"/>
      <c r="E393" s="14"/>
      <c r="L393" s="41"/>
    </row>
    <row r="394" spans="1:20" ht="21" customHeight="1" x14ac:dyDescent="0.25">
      <c r="A394" s="14"/>
      <c r="C394" s="14"/>
      <c r="D394" s="14"/>
      <c r="E394" s="14"/>
      <c r="L394" s="41"/>
    </row>
    <row r="395" spans="1:20" s="93" customFormat="1" ht="42" customHeight="1" x14ac:dyDescent="0.25">
      <c r="A395" s="31" t="s">
        <v>4</v>
      </c>
      <c r="B395" s="31" t="s">
        <v>5</v>
      </c>
      <c r="C395" s="31" t="s">
        <v>6</v>
      </c>
      <c r="D395" s="22"/>
      <c r="E395" s="31" t="s">
        <v>7</v>
      </c>
      <c r="F395" s="31" t="s">
        <v>8</v>
      </c>
      <c r="G395" s="31" t="s">
        <v>9</v>
      </c>
      <c r="H395" s="31" t="s">
        <v>10</v>
      </c>
      <c r="I395" s="31" t="s">
        <v>11</v>
      </c>
      <c r="J395" s="31" t="s">
        <v>12</v>
      </c>
      <c r="K395" s="31" t="s">
        <v>13</v>
      </c>
      <c r="L395" s="31" t="s">
        <v>14</v>
      </c>
      <c r="M395" s="141" t="s">
        <v>15</v>
      </c>
      <c r="N395" s="142" t="s">
        <v>16</v>
      </c>
      <c r="O395" s="142" t="s">
        <v>17</v>
      </c>
      <c r="P395" s="142" t="s">
        <v>18</v>
      </c>
      <c r="Q395" s="141" t="s">
        <v>19</v>
      </c>
      <c r="R395" s="141" t="s">
        <v>20</v>
      </c>
      <c r="S395" s="141" t="s">
        <v>3655</v>
      </c>
      <c r="T395" s="141" t="s">
        <v>3656</v>
      </c>
    </row>
    <row r="396" spans="1:20" ht="21" customHeight="1" x14ac:dyDescent="0.25">
      <c r="A396" s="44"/>
      <c r="B396" s="20"/>
      <c r="C396" s="25"/>
      <c r="D396" s="25"/>
      <c r="E396" s="25"/>
      <c r="F396" s="25"/>
      <c r="G396" s="25"/>
      <c r="H396" s="25"/>
      <c r="I396" s="25"/>
      <c r="J396" s="25"/>
      <c r="K396" s="25"/>
      <c r="L396" s="28"/>
      <c r="M396" s="29"/>
      <c r="N396" s="30"/>
      <c r="O396" s="30"/>
      <c r="P396" s="30"/>
      <c r="Q396" s="29"/>
      <c r="R396" s="29"/>
      <c r="S396" s="29"/>
      <c r="T396" s="29"/>
    </row>
    <row r="397" spans="1:20" ht="21" customHeight="1" x14ac:dyDescent="0.25">
      <c r="A397" s="44"/>
      <c r="B397" s="20"/>
      <c r="C397" s="25"/>
      <c r="D397" s="25"/>
      <c r="E397" s="45" t="s">
        <v>181</v>
      </c>
      <c r="F397" s="25"/>
      <c r="G397" s="70">
        <v>238800</v>
      </c>
      <c r="H397" s="70">
        <v>0</v>
      </c>
      <c r="I397" s="70">
        <v>0</v>
      </c>
      <c r="J397" s="70"/>
      <c r="K397" s="70"/>
      <c r="L397" s="70">
        <v>39480</v>
      </c>
      <c r="M397" s="72">
        <v>67097444</v>
      </c>
      <c r="N397" s="73">
        <v>0</v>
      </c>
      <c r="O397" s="73">
        <v>0</v>
      </c>
      <c r="P397" s="73">
        <v>0</v>
      </c>
      <c r="Q397" s="72">
        <f>Q392</f>
        <v>0</v>
      </c>
      <c r="R397" s="72">
        <f t="shared" ref="R397:T397" si="24">R392</f>
        <v>67097444</v>
      </c>
      <c r="S397" s="72">
        <f t="shared" si="24"/>
        <v>120000</v>
      </c>
      <c r="T397" s="72">
        <f t="shared" si="24"/>
        <v>67217444</v>
      </c>
    </row>
    <row r="398" spans="1:20" ht="21" customHeight="1" x14ac:dyDescent="0.25">
      <c r="A398" s="21">
        <v>41</v>
      </c>
      <c r="B398" s="25" t="s">
        <v>1099</v>
      </c>
      <c r="C398" s="24" t="s">
        <v>1100</v>
      </c>
      <c r="D398" s="24" t="s">
        <v>84</v>
      </c>
      <c r="E398" s="45" t="s">
        <v>1101</v>
      </c>
      <c r="F398" s="25" t="s">
        <v>25</v>
      </c>
      <c r="G398" s="4">
        <v>3500</v>
      </c>
      <c r="H398" s="25" t="s">
        <v>26</v>
      </c>
      <c r="I398" s="25" t="s">
        <v>1102</v>
      </c>
      <c r="J398" s="25">
        <v>6723</v>
      </c>
      <c r="K398" s="25">
        <v>7622</v>
      </c>
      <c r="L398" s="4">
        <v>899</v>
      </c>
      <c r="M398" s="4">
        <v>1527877</v>
      </c>
      <c r="N398" s="4">
        <v>0</v>
      </c>
      <c r="O398" s="4">
        <v>0</v>
      </c>
      <c r="P398" s="4">
        <v>0</v>
      </c>
      <c r="Q398" s="3">
        <v>0</v>
      </c>
      <c r="R398" s="29">
        <v>1527877</v>
      </c>
      <c r="S398" s="29">
        <v>3000</v>
      </c>
      <c r="T398" s="29">
        <f t="shared" ref="T398:T437" si="25">R398+S398</f>
        <v>1530877</v>
      </c>
    </row>
    <row r="399" spans="1:20" ht="21" customHeight="1" x14ac:dyDescent="0.25">
      <c r="A399" s="21">
        <v>42</v>
      </c>
      <c r="B399" s="25" t="s">
        <v>1103</v>
      </c>
      <c r="C399" s="24" t="s">
        <v>1104</v>
      </c>
      <c r="D399" s="24" t="s">
        <v>84</v>
      </c>
      <c r="E399" s="45" t="s">
        <v>1101</v>
      </c>
      <c r="F399" s="25" t="s">
        <v>25</v>
      </c>
      <c r="G399" s="4">
        <v>5500</v>
      </c>
      <c r="H399" s="25" t="s">
        <v>26</v>
      </c>
      <c r="I399" s="25" t="s">
        <v>1105</v>
      </c>
      <c r="J399" s="25">
        <v>92603</v>
      </c>
      <c r="K399" s="25">
        <v>95006</v>
      </c>
      <c r="L399" s="4">
        <v>2403</v>
      </c>
      <c r="M399" s="4">
        <v>4083971</v>
      </c>
      <c r="N399" s="4">
        <v>0</v>
      </c>
      <c r="O399" s="4">
        <v>0</v>
      </c>
      <c r="P399" s="4">
        <v>0</v>
      </c>
      <c r="Q399" s="3">
        <v>0</v>
      </c>
      <c r="R399" s="29">
        <v>4083971</v>
      </c>
      <c r="S399" s="29">
        <v>3000</v>
      </c>
      <c r="T399" s="29">
        <f t="shared" si="25"/>
        <v>4086971</v>
      </c>
    </row>
    <row r="400" spans="1:20" ht="21" customHeight="1" x14ac:dyDescent="0.25">
      <c r="A400" s="21">
        <v>43</v>
      </c>
      <c r="B400" s="25" t="s">
        <v>1106</v>
      </c>
      <c r="C400" s="24" t="s">
        <v>1107</v>
      </c>
      <c r="D400" s="24" t="s">
        <v>84</v>
      </c>
      <c r="E400" s="45" t="s">
        <v>1108</v>
      </c>
      <c r="F400" s="25" t="s">
        <v>25</v>
      </c>
      <c r="G400" s="4">
        <v>5500</v>
      </c>
      <c r="H400" s="25" t="s">
        <v>26</v>
      </c>
      <c r="I400" s="25" t="s">
        <v>1109</v>
      </c>
      <c r="J400" s="25">
        <v>35096</v>
      </c>
      <c r="K400" s="25">
        <v>35580</v>
      </c>
      <c r="L400" s="4">
        <v>484</v>
      </c>
      <c r="M400" s="4">
        <v>822573</v>
      </c>
      <c r="N400" s="4">
        <v>0</v>
      </c>
      <c r="O400" s="4">
        <v>0</v>
      </c>
      <c r="P400" s="4">
        <v>0</v>
      </c>
      <c r="Q400" s="3">
        <v>0</v>
      </c>
      <c r="R400" s="29">
        <v>822573</v>
      </c>
      <c r="S400" s="29">
        <v>3000</v>
      </c>
      <c r="T400" s="29">
        <f t="shared" si="25"/>
        <v>825573</v>
      </c>
    </row>
    <row r="401" spans="1:20" ht="21" customHeight="1" x14ac:dyDescent="0.25">
      <c r="A401" s="21">
        <v>44</v>
      </c>
      <c r="B401" s="25" t="s">
        <v>1110</v>
      </c>
      <c r="C401" s="24" t="s">
        <v>1111</v>
      </c>
      <c r="D401" s="24" t="s">
        <v>84</v>
      </c>
      <c r="E401" s="45" t="s">
        <v>1112</v>
      </c>
      <c r="F401" s="25" t="s">
        <v>25</v>
      </c>
      <c r="G401" s="4">
        <v>2200</v>
      </c>
      <c r="H401" s="25" t="s">
        <v>26</v>
      </c>
      <c r="I401" s="25" t="s">
        <v>1113</v>
      </c>
      <c r="J401" s="25">
        <v>512</v>
      </c>
      <c r="K401" s="25">
        <v>1196</v>
      </c>
      <c r="L401" s="4">
        <v>684</v>
      </c>
      <c r="M401" s="4">
        <v>1162479</v>
      </c>
      <c r="N401" s="4">
        <v>0</v>
      </c>
      <c r="O401" s="4">
        <v>0</v>
      </c>
      <c r="P401" s="4">
        <v>0</v>
      </c>
      <c r="Q401" s="3">
        <v>0</v>
      </c>
      <c r="R401" s="29">
        <v>1162479</v>
      </c>
      <c r="S401" s="29">
        <v>3000</v>
      </c>
      <c r="T401" s="29">
        <f t="shared" si="25"/>
        <v>1165479</v>
      </c>
    </row>
    <row r="402" spans="1:20" ht="21" customHeight="1" x14ac:dyDescent="0.25">
      <c r="A402" s="21">
        <v>45</v>
      </c>
      <c r="B402" s="25" t="s">
        <v>1114</v>
      </c>
      <c r="C402" s="24" t="s">
        <v>1115</v>
      </c>
      <c r="D402" s="24" t="s">
        <v>23</v>
      </c>
      <c r="E402" s="45" t="s">
        <v>1116</v>
      </c>
      <c r="F402" s="25" t="s">
        <v>25</v>
      </c>
      <c r="G402" s="4">
        <v>4400</v>
      </c>
      <c r="H402" s="25" t="s">
        <v>26</v>
      </c>
      <c r="I402" s="25" t="s">
        <v>1117</v>
      </c>
      <c r="J402" s="25">
        <v>25489</v>
      </c>
      <c r="K402" s="25">
        <v>26216</v>
      </c>
      <c r="L402" s="4">
        <v>727</v>
      </c>
      <c r="M402" s="4">
        <v>1235558</v>
      </c>
      <c r="N402" s="4">
        <v>0</v>
      </c>
      <c r="O402" s="4">
        <v>0</v>
      </c>
      <c r="P402" s="4">
        <v>0</v>
      </c>
      <c r="Q402" s="3">
        <v>0</v>
      </c>
      <c r="R402" s="29">
        <v>1235558</v>
      </c>
      <c r="S402" s="29">
        <v>3000</v>
      </c>
      <c r="T402" s="29">
        <f t="shared" si="25"/>
        <v>1238558</v>
      </c>
    </row>
    <row r="403" spans="1:20" ht="21" customHeight="1" x14ac:dyDescent="0.25">
      <c r="A403" s="21">
        <v>46</v>
      </c>
      <c r="B403" s="25" t="s">
        <v>1118</v>
      </c>
      <c r="C403" s="24" t="s">
        <v>1119</v>
      </c>
      <c r="D403" s="24" t="s">
        <v>23</v>
      </c>
      <c r="E403" s="45" t="s">
        <v>1120</v>
      </c>
      <c r="F403" s="25" t="s">
        <v>25</v>
      </c>
      <c r="G403" s="4">
        <v>5500</v>
      </c>
      <c r="H403" s="25" t="s">
        <v>26</v>
      </c>
      <c r="I403" s="25" t="s">
        <v>1121</v>
      </c>
      <c r="J403" s="25">
        <v>17126</v>
      </c>
      <c r="K403" s="25">
        <v>18119</v>
      </c>
      <c r="L403" s="4">
        <v>993</v>
      </c>
      <c r="M403" s="4">
        <v>1687633</v>
      </c>
      <c r="N403" s="4">
        <v>0</v>
      </c>
      <c r="O403" s="4">
        <v>0</v>
      </c>
      <c r="P403" s="4">
        <v>0</v>
      </c>
      <c r="Q403" s="3">
        <v>0</v>
      </c>
      <c r="R403" s="29">
        <v>1687633</v>
      </c>
      <c r="S403" s="29">
        <v>3000</v>
      </c>
      <c r="T403" s="29">
        <f t="shared" si="25"/>
        <v>1690633</v>
      </c>
    </row>
    <row r="404" spans="1:20" ht="21" customHeight="1" x14ac:dyDescent="0.25">
      <c r="A404" s="21">
        <v>47</v>
      </c>
      <c r="B404" s="25" t="s">
        <v>1122</v>
      </c>
      <c r="C404" s="24" t="s">
        <v>1123</v>
      </c>
      <c r="D404" s="24" t="s">
        <v>23</v>
      </c>
      <c r="E404" s="45" t="s">
        <v>1124</v>
      </c>
      <c r="F404" s="25" t="s">
        <v>25</v>
      </c>
      <c r="G404" s="4">
        <v>5500</v>
      </c>
      <c r="H404" s="25" t="s">
        <v>26</v>
      </c>
      <c r="I404" s="25" t="s">
        <v>1125</v>
      </c>
      <c r="J404" s="25">
        <v>62766</v>
      </c>
      <c r="K404" s="25">
        <v>64760</v>
      </c>
      <c r="L404" s="4">
        <v>1994</v>
      </c>
      <c r="M404" s="4">
        <v>3388863</v>
      </c>
      <c r="N404" s="4">
        <v>0</v>
      </c>
      <c r="O404" s="4">
        <v>0</v>
      </c>
      <c r="P404" s="4">
        <v>0</v>
      </c>
      <c r="Q404" s="3">
        <v>0</v>
      </c>
      <c r="R404" s="29">
        <v>3388863</v>
      </c>
      <c r="S404" s="29">
        <v>3000</v>
      </c>
      <c r="T404" s="29">
        <f t="shared" si="25"/>
        <v>3391863</v>
      </c>
    </row>
    <row r="405" spans="1:20" ht="21" customHeight="1" x14ac:dyDescent="0.25">
      <c r="A405" s="21">
        <v>48</v>
      </c>
      <c r="B405" s="25" t="s">
        <v>1126</v>
      </c>
      <c r="C405" s="24" t="s">
        <v>1127</v>
      </c>
      <c r="D405" s="24" t="s">
        <v>84</v>
      </c>
      <c r="E405" s="45" t="s">
        <v>1128</v>
      </c>
      <c r="F405" s="25" t="s">
        <v>25</v>
      </c>
      <c r="G405" s="4">
        <v>2200</v>
      </c>
      <c r="H405" s="25" t="s">
        <v>26</v>
      </c>
      <c r="I405" s="25" t="s">
        <v>1129</v>
      </c>
      <c r="J405" s="25">
        <v>39417</v>
      </c>
      <c r="K405" s="25">
        <v>40979</v>
      </c>
      <c r="L405" s="4">
        <v>1562</v>
      </c>
      <c r="M405" s="4">
        <v>2654666</v>
      </c>
      <c r="N405" s="4">
        <v>0</v>
      </c>
      <c r="O405" s="4">
        <v>0</v>
      </c>
      <c r="P405" s="4">
        <v>0</v>
      </c>
      <c r="Q405" s="3">
        <v>0</v>
      </c>
      <c r="R405" s="29">
        <v>2654666</v>
      </c>
      <c r="S405" s="29">
        <v>3000</v>
      </c>
      <c r="T405" s="29">
        <f t="shared" si="25"/>
        <v>2657666</v>
      </c>
    </row>
    <row r="406" spans="1:20" ht="21" customHeight="1" x14ac:dyDescent="0.25">
      <c r="A406" s="21">
        <v>49</v>
      </c>
      <c r="B406" s="25" t="s">
        <v>1130</v>
      </c>
      <c r="C406" s="24" t="s">
        <v>1131</v>
      </c>
      <c r="D406" s="24" t="s">
        <v>84</v>
      </c>
      <c r="E406" s="45" t="s">
        <v>1132</v>
      </c>
      <c r="F406" s="25" t="s">
        <v>25</v>
      </c>
      <c r="G406" s="4">
        <v>5500</v>
      </c>
      <c r="H406" s="25" t="s">
        <v>26</v>
      </c>
      <c r="I406" s="25" t="s">
        <v>1133</v>
      </c>
      <c r="J406" s="25">
        <v>46114</v>
      </c>
      <c r="K406" s="25">
        <v>46140</v>
      </c>
      <c r="L406" s="4">
        <v>220</v>
      </c>
      <c r="M406" s="4">
        <v>373897</v>
      </c>
      <c r="N406" s="4">
        <v>0</v>
      </c>
      <c r="O406" s="4">
        <v>0</v>
      </c>
      <c r="P406" s="4">
        <v>0</v>
      </c>
      <c r="Q406" s="3">
        <v>0</v>
      </c>
      <c r="R406" s="29">
        <v>373897</v>
      </c>
      <c r="S406" s="29">
        <v>3000</v>
      </c>
      <c r="T406" s="29">
        <f t="shared" si="25"/>
        <v>376897</v>
      </c>
    </row>
    <row r="407" spans="1:20" ht="21" customHeight="1" x14ac:dyDescent="0.25">
      <c r="A407" s="21">
        <v>50</v>
      </c>
      <c r="B407" s="25" t="s">
        <v>1134</v>
      </c>
      <c r="C407" s="24" t="s">
        <v>1135</v>
      </c>
      <c r="D407" s="24" t="s">
        <v>84</v>
      </c>
      <c r="E407" s="45" t="s">
        <v>1136</v>
      </c>
      <c r="F407" s="25" t="s">
        <v>25</v>
      </c>
      <c r="G407" s="4">
        <v>3500</v>
      </c>
      <c r="H407" s="25" t="s">
        <v>26</v>
      </c>
      <c r="I407" s="25" t="s">
        <v>1137</v>
      </c>
      <c r="J407" s="25">
        <v>24005</v>
      </c>
      <c r="K407" s="25">
        <v>24326</v>
      </c>
      <c r="L407" s="4">
        <v>321</v>
      </c>
      <c r="M407" s="4">
        <v>545549</v>
      </c>
      <c r="N407" s="4">
        <v>0</v>
      </c>
      <c r="O407" s="4">
        <v>0</v>
      </c>
      <c r="P407" s="4">
        <v>0</v>
      </c>
      <c r="Q407" s="3">
        <v>0</v>
      </c>
      <c r="R407" s="29">
        <v>545549</v>
      </c>
      <c r="S407" s="29">
        <v>3000</v>
      </c>
      <c r="T407" s="29">
        <f t="shared" si="25"/>
        <v>548549</v>
      </c>
    </row>
    <row r="408" spans="1:20" ht="21" customHeight="1" x14ac:dyDescent="0.25">
      <c r="A408" s="21">
        <v>51</v>
      </c>
      <c r="B408" s="25" t="s">
        <v>1138</v>
      </c>
      <c r="C408" s="24" t="s">
        <v>1139</v>
      </c>
      <c r="D408" s="24" t="s">
        <v>84</v>
      </c>
      <c r="E408" s="45" t="s">
        <v>1093</v>
      </c>
      <c r="F408" s="25" t="s">
        <v>25</v>
      </c>
      <c r="G408" s="4">
        <v>7700</v>
      </c>
      <c r="H408" s="25" t="s">
        <v>26</v>
      </c>
      <c r="I408" s="25" t="s">
        <v>1140</v>
      </c>
      <c r="J408" s="25">
        <v>50890</v>
      </c>
      <c r="K408" s="25">
        <v>51423</v>
      </c>
      <c r="L408" s="4">
        <v>533</v>
      </c>
      <c r="M408" s="4">
        <v>905849</v>
      </c>
      <c r="N408" s="4">
        <v>0</v>
      </c>
      <c r="O408" s="4">
        <v>0</v>
      </c>
      <c r="P408" s="4">
        <v>0</v>
      </c>
      <c r="Q408" s="3">
        <v>0</v>
      </c>
      <c r="R408" s="29">
        <v>905849</v>
      </c>
      <c r="S408" s="29">
        <v>3000</v>
      </c>
      <c r="T408" s="29">
        <f t="shared" si="25"/>
        <v>908849</v>
      </c>
    </row>
    <row r="409" spans="1:20" ht="21" customHeight="1" x14ac:dyDescent="0.25">
      <c r="A409" s="21">
        <v>52</v>
      </c>
      <c r="B409" s="25" t="s">
        <v>1141</v>
      </c>
      <c r="C409" s="24" t="s">
        <v>1142</v>
      </c>
      <c r="D409" s="24" t="s">
        <v>84</v>
      </c>
      <c r="E409" s="45" t="s">
        <v>1101</v>
      </c>
      <c r="F409" s="25" t="s">
        <v>25</v>
      </c>
      <c r="G409" s="4">
        <v>7700</v>
      </c>
      <c r="H409" s="25" t="s">
        <v>26</v>
      </c>
      <c r="I409" s="25" t="s">
        <v>1143</v>
      </c>
      <c r="J409" s="25">
        <v>40752</v>
      </c>
      <c r="K409" s="25">
        <v>40752</v>
      </c>
      <c r="L409" s="4">
        <v>308</v>
      </c>
      <c r="M409" s="4">
        <v>523455</v>
      </c>
      <c r="N409" s="4">
        <v>0</v>
      </c>
      <c r="O409" s="4">
        <v>0</v>
      </c>
      <c r="P409" s="4">
        <v>0</v>
      </c>
      <c r="Q409" s="3">
        <v>0</v>
      </c>
      <c r="R409" s="29">
        <v>523455</v>
      </c>
      <c r="S409" s="29">
        <v>3000</v>
      </c>
      <c r="T409" s="29">
        <f t="shared" si="25"/>
        <v>526455</v>
      </c>
    </row>
    <row r="410" spans="1:20" ht="21" customHeight="1" x14ac:dyDescent="0.25">
      <c r="A410" s="21">
        <v>53</v>
      </c>
      <c r="B410" s="25" t="s">
        <v>1144</v>
      </c>
      <c r="C410" s="24" t="s">
        <v>1145</v>
      </c>
      <c r="D410" s="24" t="s">
        <v>84</v>
      </c>
      <c r="E410" s="45" t="s">
        <v>1146</v>
      </c>
      <c r="F410" s="25" t="s">
        <v>25</v>
      </c>
      <c r="G410" s="4">
        <v>3500</v>
      </c>
      <c r="H410" s="25" t="s">
        <v>26</v>
      </c>
      <c r="I410" s="25" t="s">
        <v>1147</v>
      </c>
      <c r="J410" s="25">
        <v>13618</v>
      </c>
      <c r="K410" s="25">
        <v>14425</v>
      </c>
      <c r="L410" s="4">
        <v>807</v>
      </c>
      <c r="M410" s="4">
        <v>1371521</v>
      </c>
      <c r="N410" s="4">
        <v>0</v>
      </c>
      <c r="O410" s="4">
        <v>0</v>
      </c>
      <c r="P410" s="4">
        <v>0</v>
      </c>
      <c r="Q410" s="3">
        <v>0</v>
      </c>
      <c r="R410" s="29">
        <v>1371521</v>
      </c>
      <c r="S410" s="29">
        <v>3000</v>
      </c>
      <c r="T410" s="29">
        <f t="shared" si="25"/>
        <v>1374521</v>
      </c>
    </row>
    <row r="411" spans="1:20" ht="21" customHeight="1" x14ac:dyDescent="0.25">
      <c r="A411" s="21">
        <v>54</v>
      </c>
      <c r="B411" s="25" t="s">
        <v>1148</v>
      </c>
      <c r="C411" s="24" t="s">
        <v>1149</v>
      </c>
      <c r="D411" s="24" t="s">
        <v>84</v>
      </c>
      <c r="E411" s="45" t="s">
        <v>1093</v>
      </c>
      <c r="F411" s="25" t="s">
        <v>25</v>
      </c>
      <c r="G411" s="4">
        <v>7700</v>
      </c>
      <c r="H411" s="25" t="s">
        <v>26</v>
      </c>
      <c r="I411" s="25" t="s">
        <v>1150</v>
      </c>
      <c r="J411" s="25">
        <v>18736</v>
      </c>
      <c r="K411" s="25">
        <v>18977</v>
      </c>
      <c r="L411" s="4">
        <v>308</v>
      </c>
      <c r="M411" s="4">
        <v>523455</v>
      </c>
      <c r="N411" s="4">
        <v>0</v>
      </c>
      <c r="O411" s="4">
        <v>0</v>
      </c>
      <c r="P411" s="4">
        <v>0</v>
      </c>
      <c r="Q411" s="3">
        <v>0</v>
      </c>
      <c r="R411" s="29">
        <v>523455</v>
      </c>
      <c r="S411" s="29">
        <v>3000</v>
      </c>
      <c r="T411" s="29">
        <f t="shared" si="25"/>
        <v>526455</v>
      </c>
    </row>
    <row r="412" spans="1:20" ht="21" customHeight="1" x14ac:dyDescent="0.25">
      <c r="A412" s="21">
        <v>55</v>
      </c>
      <c r="B412" s="25" t="s">
        <v>1151</v>
      </c>
      <c r="C412" s="24" t="s">
        <v>1152</v>
      </c>
      <c r="D412" s="24" t="s">
        <v>84</v>
      </c>
      <c r="E412" s="45" t="s">
        <v>1153</v>
      </c>
      <c r="F412" s="25" t="s">
        <v>25</v>
      </c>
      <c r="G412" s="4">
        <v>4400</v>
      </c>
      <c r="H412" s="25" t="s">
        <v>26</v>
      </c>
      <c r="I412" s="25" t="s">
        <v>1154</v>
      </c>
      <c r="J412" s="25">
        <v>76918</v>
      </c>
      <c r="K412" s="25">
        <v>77478</v>
      </c>
      <c r="L412" s="4">
        <v>560</v>
      </c>
      <c r="M412" s="4">
        <v>951737</v>
      </c>
      <c r="N412" s="4">
        <v>0</v>
      </c>
      <c r="O412" s="4">
        <v>0</v>
      </c>
      <c r="P412" s="4">
        <v>0</v>
      </c>
      <c r="Q412" s="3">
        <v>0</v>
      </c>
      <c r="R412" s="29">
        <v>951737</v>
      </c>
      <c r="S412" s="29">
        <v>3000</v>
      </c>
      <c r="T412" s="29">
        <f t="shared" si="25"/>
        <v>954737</v>
      </c>
    </row>
    <row r="413" spans="1:20" ht="21" customHeight="1" x14ac:dyDescent="0.25">
      <c r="A413" s="21">
        <v>56</v>
      </c>
      <c r="B413" s="25" t="s">
        <v>1155</v>
      </c>
      <c r="C413" s="24" t="s">
        <v>1156</v>
      </c>
      <c r="D413" s="24" t="s">
        <v>23</v>
      </c>
      <c r="E413" s="45" t="s">
        <v>1157</v>
      </c>
      <c r="F413" s="25" t="s">
        <v>25</v>
      </c>
      <c r="G413" s="4">
        <v>4400</v>
      </c>
      <c r="H413" s="25" t="s">
        <v>26</v>
      </c>
      <c r="I413" s="25" t="s">
        <v>1158</v>
      </c>
      <c r="J413" s="25">
        <v>52784</v>
      </c>
      <c r="K413" s="25">
        <v>53539</v>
      </c>
      <c r="L413" s="4">
        <v>755</v>
      </c>
      <c r="M413" s="4">
        <v>1283145</v>
      </c>
      <c r="N413" s="4">
        <v>0</v>
      </c>
      <c r="O413" s="4">
        <v>0</v>
      </c>
      <c r="P413" s="4">
        <v>0</v>
      </c>
      <c r="Q413" s="3">
        <v>0</v>
      </c>
      <c r="R413" s="29">
        <v>1283145</v>
      </c>
      <c r="S413" s="29">
        <v>3000</v>
      </c>
      <c r="T413" s="29">
        <f t="shared" si="25"/>
        <v>1286145</v>
      </c>
    </row>
    <row r="414" spans="1:20" ht="21" customHeight="1" x14ac:dyDescent="0.25">
      <c r="A414" s="21">
        <v>57</v>
      </c>
      <c r="B414" s="25" t="s">
        <v>1159</v>
      </c>
      <c r="C414" s="24" t="s">
        <v>1160</v>
      </c>
      <c r="D414" s="24" t="s">
        <v>23</v>
      </c>
      <c r="E414" s="45" t="s">
        <v>1157</v>
      </c>
      <c r="F414" s="25" t="s">
        <v>25</v>
      </c>
      <c r="G414" s="4">
        <v>7700</v>
      </c>
      <c r="H414" s="25" t="s">
        <v>26</v>
      </c>
      <c r="I414" s="25" t="s">
        <v>1161</v>
      </c>
      <c r="J414" s="25">
        <v>72883</v>
      </c>
      <c r="K414" s="25">
        <v>73442</v>
      </c>
      <c r="L414" s="4">
        <v>559</v>
      </c>
      <c r="M414" s="4">
        <v>950037</v>
      </c>
      <c r="N414" s="4">
        <v>0</v>
      </c>
      <c r="O414" s="4">
        <v>0</v>
      </c>
      <c r="P414" s="4">
        <v>0</v>
      </c>
      <c r="Q414" s="3">
        <v>0</v>
      </c>
      <c r="R414" s="29">
        <v>950037</v>
      </c>
      <c r="S414" s="29">
        <v>3000</v>
      </c>
      <c r="T414" s="29">
        <f t="shared" si="25"/>
        <v>953037</v>
      </c>
    </row>
    <row r="415" spans="1:20" ht="21" customHeight="1" x14ac:dyDescent="0.25">
      <c r="A415" s="21">
        <v>58</v>
      </c>
      <c r="B415" s="25" t="s">
        <v>1162</v>
      </c>
      <c r="C415" s="24" t="s">
        <v>1163</v>
      </c>
      <c r="D415" s="24" t="s">
        <v>84</v>
      </c>
      <c r="E415" s="45" t="s">
        <v>1164</v>
      </c>
      <c r="F415" s="25" t="s">
        <v>25</v>
      </c>
      <c r="G415" s="4">
        <v>7700</v>
      </c>
      <c r="H415" s="25" t="s">
        <v>26</v>
      </c>
      <c r="I415" s="25" t="s">
        <v>1165</v>
      </c>
      <c r="J415" s="25">
        <v>5739</v>
      </c>
      <c r="K415" s="25">
        <v>7531</v>
      </c>
      <c r="L415" s="4">
        <v>1792</v>
      </c>
      <c r="M415" s="4">
        <v>3045558</v>
      </c>
      <c r="N415" s="4">
        <v>0</v>
      </c>
      <c r="O415" s="4">
        <v>0</v>
      </c>
      <c r="P415" s="4">
        <v>0</v>
      </c>
      <c r="Q415" s="3">
        <v>0</v>
      </c>
      <c r="R415" s="29">
        <v>3045558</v>
      </c>
      <c r="S415" s="29">
        <v>3000</v>
      </c>
      <c r="T415" s="29">
        <f t="shared" si="25"/>
        <v>3048558</v>
      </c>
    </row>
    <row r="416" spans="1:20" ht="21" customHeight="1" x14ac:dyDescent="0.25">
      <c r="A416" s="21">
        <v>59</v>
      </c>
      <c r="B416" s="25" t="s">
        <v>1166</v>
      </c>
      <c r="C416" s="24" t="s">
        <v>1167</v>
      </c>
      <c r="D416" s="24" t="s">
        <v>84</v>
      </c>
      <c r="E416" s="45" t="s">
        <v>1164</v>
      </c>
      <c r="F416" s="25" t="s">
        <v>25</v>
      </c>
      <c r="G416" s="4">
        <v>7700</v>
      </c>
      <c r="H416" s="25" t="s">
        <v>26</v>
      </c>
      <c r="I416" s="25" t="s">
        <v>1168</v>
      </c>
      <c r="J416" s="25">
        <v>9012</v>
      </c>
      <c r="K416" s="25">
        <v>10616</v>
      </c>
      <c r="L416" s="4">
        <v>1604</v>
      </c>
      <c r="M416" s="4">
        <v>2726046</v>
      </c>
      <c r="N416" s="4">
        <v>0</v>
      </c>
      <c r="O416" s="4">
        <v>0</v>
      </c>
      <c r="P416" s="4">
        <v>0</v>
      </c>
      <c r="Q416" s="3">
        <v>0</v>
      </c>
      <c r="R416" s="29">
        <v>2726046</v>
      </c>
      <c r="S416" s="29">
        <v>3000</v>
      </c>
      <c r="T416" s="29">
        <f t="shared" si="25"/>
        <v>2729046</v>
      </c>
    </row>
    <row r="417" spans="1:20" ht="21" customHeight="1" x14ac:dyDescent="0.25">
      <c r="A417" s="21">
        <v>60</v>
      </c>
      <c r="B417" s="25" t="s">
        <v>1169</v>
      </c>
      <c r="C417" s="24" t="s">
        <v>1170</v>
      </c>
      <c r="D417" s="24" t="s">
        <v>84</v>
      </c>
      <c r="E417" s="45" t="s">
        <v>1171</v>
      </c>
      <c r="F417" s="25" t="s">
        <v>25</v>
      </c>
      <c r="G417" s="4">
        <v>2200</v>
      </c>
      <c r="H417" s="25" t="s">
        <v>26</v>
      </c>
      <c r="I417" s="25" t="s">
        <v>1172</v>
      </c>
      <c r="J417" s="25">
        <v>40128</v>
      </c>
      <c r="K417" s="25">
        <v>40921</v>
      </c>
      <c r="L417" s="4">
        <v>793</v>
      </c>
      <c r="M417" s="4">
        <v>1347727</v>
      </c>
      <c r="N417" s="4">
        <v>0</v>
      </c>
      <c r="O417" s="4">
        <v>0</v>
      </c>
      <c r="P417" s="4">
        <v>0</v>
      </c>
      <c r="Q417" s="3">
        <v>0</v>
      </c>
      <c r="R417" s="29">
        <v>1347727</v>
      </c>
      <c r="S417" s="29">
        <v>3000</v>
      </c>
      <c r="T417" s="29">
        <f t="shared" si="25"/>
        <v>1350727</v>
      </c>
    </row>
    <row r="418" spans="1:20" ht="21" customHeight="1" x14ac:dyDescent="0.25">
      <c r="A418" s="21">
        <v>61</v>
      </c>
      <c r="B418" s="25" t="s">
        <v>1173</v>
      </c>
      <c r="C418" s="24" t="s">
        <v>1174</v>
      </c>
      <c r="D418" s="24" t="s">
        <v>84</v>
      </c>
      <c r="E418" s="45" t="s">
        <v>1175</v>
      </c>
      <c r="F418" s="25" t="s">
        <v>25</v>
      </c>
      <c r="G418" s="4">
        <v>5500</v>
      </c>
      <c r="H418" s="25" t="s">
        <v>26</v>
      </c>
      <c r="I418" s="25" t="s">
        <v>1176</v>
      </c>
      <c r="J418" s="25">
        <v>905</v>
      </c>
      <c r="K418" s="25">
        <v>1317</v>
      </c>
      <c r="L418" s="4">
        <v>412</v>
      </c>
      <c r="M418" s="4">
        <v>700206</v>
      </c>
      <c r="N418" s="4">
        <v>0</v>
      </c>
      <c r="O418" s="4">
        <v>0</v>
      </c>
      <c r="P418" s="4">
        <v>0</v>
      </c>
      <c r="Q418" s="3">
        <v>0</v>
      </c>
      <c r="R418" s="29">
        <v>700206</v>
      </c>
      <c r="S418" s="29">
        <v>3000</v>
      </c>
      <c r="T418" s="29">
        <f t="shared" si="25"/>
        <v>703206</v>
      </c>
    </row>
    <row r="419" spans="1:20" ht="21" customHeight="1" x14ac:dyDescent="0.25">
      <c r="A419" s="21">
        <v>62</v>
      </c>
      <c r="B419" s="25" t="s">
        <v>1177</v>
      </c>
      <c r="C419" s="24" t="s">
        <v>1178</v>
      </c>
      <c r="D419" s="24" t="s">
        <v>23</v>
      </c>
      <c r="E419" s="45" t="s">
        <v>1179</v>
      </c>
      <c r="F419" s="25" t="s">
        <v>25</v>
      </c>
      <c r="G419" s="4">
        <v>7700</v>
      </c>
      <c r="H419" s="25" t="s">
        <v>26</v>
      </c>
      <c r="I419" s="25" t="s">
        <v>1180</v>
      </c>
      <c r="J419" s="25">
        <v>51044</v>
      </c>
      <c r="K419" s="25">
        <v>51444</v>
      </c>
      <c r="L419" s="4">
        <v>400</v>
      </c>
      <c r="M419" s="4">
        <v>679812</v>
      </c>
      <c r="N419" s="4">
        <v>0</v>
      </c>
      <c r="O419" s="4">
        <v>0</v>
      </c>
      <c r="P419" s="4">
        <v>0</v>
      </c>
      <c r="Q419" s="3">
        <v>0</v>
      </c>
      <c r="R419" s="29">
        <v>679812</v>
      </c>
      <c r="S419" s="29">
        <v>3000</v>
      </c>
      <c r="T419" s="29">
        <f t="shared" si="25"/>
        <v>682812</v>
      </c>
    </row>
    <row r="420" spans="1:20" ht="21" customHeight="1" x14ac:dyDescent="0.25">
      <c r="A420" s="21">
        <v>63</v>
      </c>
      <c r="B420" s="25" t="s">
        <v>1181</v>
      </c>
      <c r="C420" s="24" t="s">
        <v>1182</v>
      </c>
      <c r="D420" s="24" t="s">
        <v>23</v>
      </c>
      <c r="E420" s="45" t="s">
        <v>1183</v>
      </c>
      <c r="F420" s="25" t="s">
        <v>25</v>
      </c>
      <c r="G420" s="4">
        <v>3500</v>
      </c>
      <c r="H420" s="25" t="s">
        <v>26</v>
      </c>
      <c r="I420" s="25" t="s">
        <v>1184</v>
      </c>
      <c r="J420" s="25">
        <v>109191</v>
      </c>
      <c r="K420" s="25">
        <v>109191</v>
      </c>
      <c r="L420" s="4">
        <v>140</v>
      </c>
      <c r="M420" s="4">
        <v>237934</v>
      </c>
      <c r="N420" s="4">
        <v>0</v>
      </c>
      <c r="O420" s="4">
        <v>0</v>
      </c>
      <c r="P420" s="4">
        <v>0</v>
      </c>
      <c r="Q420" s="3">
        <v>0</v>
      </c>
      <c r="R420" s="29">
        <v>237934</v>
      </c>
      <c r="S420" s="29">
        <v>3000</v>
      </c>
      <c r="T420" s="29">
        <f t="shared" si="25"/>
        <v>240934</v>
      </c>
    </row>
    <row r="421" spans="1:20" ht="21" customHeight="1" x14ac:dyDescent="0.25">
      <c r="A421" s="21">
        <v>64</v>
      </c>
      <c r="B421" s="25" t="s">
        <v>1185</v>
      </c>
      <c r="C421" s="24" t="s">
        <v>1186</v>
      </c>
      <c r="D421" s="24" t="s">
        <v>84</v>
      </c>
      <c r="E421" s="45" t="s">
        <v>1187</v>
      </c>
      <c r="F421" s="25" t="s">
        <v>25</v>
      </c>
      <c r="G421" s="4">
        <v>11000</v>
      </c>
      <c r="H421" s="25" t="s">
        <v>26</v>
      </c>
      <c r="I421" s="25" t="s">
        <v>1188</v>
      </c>
      <c r="J421" s="25">
        <v>57910</v>
      </c>
      <c r="K421" s="25">
        <v>57910</v>
      </c>
      <c r="L421" s="4">
        <v>440</v>
      </c>
      <c r="M421" s="4">
        <v>747793</v>
      </c>
      <c r="N421" s="4">
        <v>0</v>
      </c>
      <c r="O421" s="4">
        <v>0</v>
      </c>
      <c r="P421" s="4">
        <v>0</v>
      </c>
      <c r="Q421" s="3">
        <v>0</v>
      </c>
      <c r="R421" s="29">
        <v>747793</v>
      </c>
      <c r="S421" s="29">
        <v>3000</v>
      </c>
      <c r="T421" s="29">
        <f t="shared" si="25"/>
        <v>750793</v>
      </c>
    </row>
    <row r="422" spans="1:20" ht="21" customHeight="1" x14ac:dyDescent="0.25">
      <c r="A422" s="21">
        <v>65</v>
      </c>
      <c r="B422" s="25" t="s">
        <v>1189</v>
      </c>
      <c r="C422" s="24" t="s">
        <v>1190</v>
      </c>
      <c r="D422" s="24" t="s">
        <v>23</v>
      </c>
      <c r="E422" s="45" t="s">
        <v>1191</v>
      </c>
      <c r="F422" s="25" t="s">
        <v>25</v>
      </c>
      <c r="G422" s="4">
        <v>2200</v>
      </c>
      <c r="H422" s="25" t="s">
        <v>26</v>
      </c>
      <c r="I422" s="25" t="s">
        <v>1192</v>
      </c>
      <c r="J422" s="25">
        <v>25363</v>
      </c>
      <c r="K422" s="25">
        <v>25363</v>
      </c>
      <c r="L422" s="4">
        <v>88</v>
      </c>
      <c r="M422" s="4">
        <v>149559</v>
      </c>
      <c r="N422" s="4">
        <v>0</v>
      </c>
      <c r="O422" s="4">
        <v>0</v>
      </c>
      <c r="P422" s="4">
        <v>0</v>
      </c>
      <c r="Q422" s="3">
        <v>0</v>
      </c>
      <c r="R422" s="29">
        <v>149559</v>
      </c>
      <c r="S422" s="29">
        <v>3000</v>
      </c>
      <c r="T422" s="29">
        <f t="shared" si="25"/>
        <v>152559</v>
      </c>
    </row>
    <row r="423" spans="1:20" ht="21" customHeight="1" x14ac:dyDescent="0.25">
      <c r="A423" s="21">
        <v>66</v>
      </c>
      <c r="B423" s="25" t="s">
        <v>1193</v>
      </c>
      <c r="C423" s="24" t="s">
        <v>1194</v>
      </c>
      <c r="D423" s="24" t="s">
        <v>23</v>
      </c>
      <c r="E423" s="45" t="s">
        <v>1195</v>
      </c>
      <c r="F423" s="25" t="s">
        <v>25</v>
      </c>
      <c r="G423" s="4">
        <v>2200</v>
      </c>
      <c r="H423" s="25" t="s">
        <v>26</v>
      </c>
      <c r="I423" s="25" t="s">
        <v>1196</v>
      </c>
      <c r="J423" s="25">
        <v>1199</v>
      </c>
      <c r="K423" s="25">
        <v>1328</v>
      </c>
      <c r="L423" s="4">
        <v>129</v>
      </c>
      <c r="M423" s="4">
        <v>219239</v>
      </c>
      <c r="N423" s="4">
        <v>0</v>
      </c>
      <c r="O423" s="4">
        <v>0</v>
      </c>
      <c r="P423" s="4">
        <v>0</v>
      </c>
      <c r="Q423" s="3">
        <v>0</v>
      </c>
      <c r="R423" s="29">
        <v>219239</v>
      </c>
      <c r="S423" s="29">
        <v>3000</v>
      </c>
      <c r="T423" s="29">
        <f t="shared" si="25"/>
        <v>222239</v>
      </c>
    </row>
    <row r="424" spans="1:20" ht="21" customHeight="1" x14ac:dyDescent="0.25">
      <c r="A424" s="21">
        <v>67</v>
      </c>
      <c r="B424" s="25" t="s">
        <v>1197</v>
      </c>
      <c r="C424" s="24" t="s">
        <v>1182</v>
      </c>
      <c r="D424" s="24" t="s">
        <v>23</v>
      </c>
      <c r="E424" s="45" t="s">
        <v>1183</v>
      </c>
      <c r="F424" s="25" t="s">
        <v>25</v>
      </c>
      <c r="G424" s="4">
        <v>1300</v>
      </c>
      <c r="H424" s="25" t="s">
        <v>26</v>
      </c>
      <c r="I424" s="25" t="s">
        <v>1198</v>
      </c>
      <c r="J424" s="25">
        <v>88906</v>
      </c>
      <c r="K424" s="25">
        <v>89618</v>
      </c>
      <c r="L424" s="4">
        <v>712</v>
      </c>
      <c r="M424" s="4">
        <v>1210065</v>
      </c>
      <c r="N424" s="4">
        <v>0</v>
      </c>
      <c r="O424" s="4">
        <v>0</v>
      </c>
      <c r="P424" s="4">
        <v>0</v>
      </c>
      <c r="Q424" s="3">
        <v>0</v>
      </c>
      <c r="R424" s="29">
        <v>1210065</v>
      </c>
      <c r="S424" s="29">
        <v>3000</v>
      </c>
      <c r="T424" s="29">
        <f t="shared" si="25"/>
        <v>1213065</v>
      </c>
    </row>
    <row r="425" spans="1:20" ht="21" customHeight="1" x14ac:dyDescent="0.25">
      <c r="A425" s="21">
        <v>68</v>
      </c>
      <c r="B425" s="25" t="s">
        <v>1199</v>
      </c>
      <c r="C425" s="24" t="s">
        <v>1200</v>
      </c>
      <c r="D425" s="24" t="s">
        <v>23</v>
      </c>
      <c r="E425" s="45" t="s">
        <v>1201</v>
      </c>
      <c r="F425" s="25" t="s">
        <v>25</v>
      </c>
      <c r="G425" s="4">
        <v>3500</v>
      </c>
      <c r="H425" s="25" t="s">
        <v>26</v>
      </c>
      <c r="I425" s="25" t="s">
        <v>1202</v>
      </c>
      <c r="J425" s="25">
        <v>95837</v>
      </c>
      <c r="K425" s="25">
        <v>97542</v>
      </c>
      <c r="L425" s="4">
        <v>1705</v>
      </c>
      <c r="M425" s="4">
        <v>2897699</v>
      </c>
      <c r="N425" s="4">
        <v>0</v>
      </c>
      <c r="O425" s="4">
        <v>0</v>
      </c>
      <c r="P425" s="4">
        <v>0</v>
      </c>
      <c r="Q425" s="3">
        <v>0</v>
      </c>
      <c r="R425" s="29">
        <v>2897699</v>
      </c>
      <c r="S425" s="29">
        <v>3000</v>
      </c>
      <c r="T425" s="29">
        <f t="shared" si="25"/>
        <v>2900699</v>
      </c>
    </row>
    <row r="426" spans="1:20" ht="21" customHeight="1" x14ac:dyDescent="0.25">
      <c r="A426" s="21">
        <v>69</v>
      </c>
      <c r="B426" s="25" t="s">
        <v>1203</v>
      </c>
      <c r="C426" s="24" t="s">
        <v>1204</v>
      </c>
      <c r="D426" s="24" t="s">
        <v>23</v>
      </c>
      <c r="E426" s="45" t="s">
        <v>1205</v>
      </c>
      <c r="F426" s="25" t="s">
        <v>25</v>
      </c>
      <c r="G426" s="4">
        <v>1300</v>
      </c>
      <c r="H426" s="25" t="s">
        <v>26</v>
      </c>
      <c r="I426" s="25" t="s">
        <v>1206</v>
      </c>
      <c r="J426" s="25">
        <v>57161</v>
      </c>
      <c r="K426" s="25">
        <v>58084</v>
      </c>
      <c r="L426" s="4">
        <v>923</v>
      </c>
      <c r="M426" s="4">
        <v>1568666</v>
      </c>
      <c r="N426" s="4">
        <v>0</v>
      </c>
      <c r="O426" s="4">
        <v>0</v>
      </c>
      <c r="P426" s="4">
        <v>0</v>
      </c>
      <c r="Q426" s="3">
        <v>0</v>
      </c>
      <c r="R426" s="29">
        <v>1568666</v>
      </c>
      <c r="S426" s="29">
        <v>3000</v>
      </c>
      <c r="T426" s="29">
        <f t="shared" si="25"/>
        <v>1571666</v>
      </c>
    </row>
    <row r="427" spans="1:20" ht="21" customHeight="1" x14ac:dyDescent="0.25">
      <c r="A427" s="21">
        <v>70</v>
      </c>
      <c r="B427" s="25" t="s">
        <v>1207</v>
      </c>
      <c r="C427" s="24" t="s">
        <v>1208</v>
      </c>
      <c r="D427" s="24" t="s">
        <v>23</v>
      </c>
      <c r="E427" s="45" t="s">
        <v>1209</v>
      </c>
      <c r="F427" s="25" t="s">
        <v>25</v>
      </c>
      <c r="G427" s="4">
        <v>5500</v>
      </c>
      <c r="H427" s="25" t="s">
        <v>26</v>
      </c>
      <c r="I427" s="25" t="s">
        <v>1210</v>
      </c>
      <c r="J427" s="25">
        <v>17965</v>
      </c>
      <c r="K427" s="25">
        <v>20223</v>
      </c>
      <c r="L427" s="4">
        <v>2258</v>
      </c>
      <c r="M427" s="4">
        <v>3837539</v>
      </c>
      <c r="N427" s="4">
        <v>0</v>
      </c>
      <c r="O427" s="4">
        <v>0</v>
      </c>
      <c r="P427" s="4">
        <v>0</v>
      </c>
      <c r="Q427" s="3">
        <v>0</v>
      </c>
      <c r="R427" s="29">
        <v>3837539</v>
      </c>
      <c r="S427" s="29">
        <v>3000</v>
      </c>
      <c r="T427" s="29">
        <f t="shared" si="25"/>
        <v>3840539</v>
      </c>
    </row>
    <row r="428" spans="1:20" ht="21" customHeight="1" x14ac:dyDescent="0.25">
      <c r="A428" s="21">
        <v>71</v>
      </c>
      <c r="B428" s="25" t="s">
        <v>1211</v>
      </c>
      <c r="C428" s="24" t="s">
        <v>1212</v>
      </c>
      <c r="D428" s="24" t="s">
        <v>23</v>
      </c>
      <c r="E428" s="45" t="s">
        <v>1209</v>
      </c>
      <c r="F428" s="25" t="s">
        <v>25</v>
      </c>
      <c r="G428" s="4">
        <v>2200</v>
      </c>
      <c r="H428" s="25" t="s">
        <v>26</v>
      </c>
      <c r="I428" s="25" t="s">
        <v>1213</v>
      </c>
      <c r="J428" s="25">
        <v>61880</v>
      </c>
      <c r="K428" s="25">
        <v>63100</v>
      </c>
      <c r="L428" s="4">
        <v>1220</v>
      </c>
      <c r="M428" s="4">
        <v>2073427</v>
      </c>
      <c r="N428" s="4">
        <v>0</v>
      </c>
      <c r="O428" s="4">
        <v>0</v>
      </c>
      <c r="P428" s="4">
        <v>0</v>
      </c>
      <c r="Q428" s="3">
        <v>0</v>
      </c>
      <c r="R428" s="29">
        <v>2073427</v>
      </c>
      <c r="S428" s="29">
        <v>3000</v>
      </c>
      <c r="T428" s="29">
        <f t="shared" si="25"/>
        <v>2076427</v>
      </c>
    </row>
    <row r="429" spans="1:20" ht="21" customHeight="1" x14ac:dyDescent="0.25">
      <c r="A429" s="21">
        <v>72</v>
      </c>
      <c r="B429" s="25" t="s">
        <v>1214</v>
      </c>
      <c r="C429" s="24" t="s">
        <v>1215</v>
      </c>
      <c r="D429" s="24" t="s">
        <v>23</v>
      </c>
      <c r="E429" s="45" t="s">
        <v>1209</v>
      </c>
      <c r="F429" s="25" t="s">
        <v>25</v>
      </c>
      <c r="G429" s="4">
        <v>4400</v>
      </c>
      <c r="H429" s="25" t="s">
        <v>26</v>
      </c>
      <c r="I429" s="25" t="s">
        <v>1216</v>
      </c>
      <c r="J429" s="25">
        <v>71040</v>
      </c>
      <c r="K429" s="25">
        <v>72217</v>
      </c>
      <c r="L429" s="4">
        <v>1177</v>
      </c>
      <c r="M429" s="4">
        <v>2000347</v>
      </c>
      <c r="N429" s="4">
        <v>0</v>
      </c>
      <c r="O429" s="4">
        <v>0</v>
      </c>
      <c r="P429" s="4">
        <v>0</v>
      </c>
      <c r="Q429" s="3">
        <v>0</v>
      </c>
      <c r="R429" s="29">
        <v>2000347</v>
      </c>
      <c r="S429" s="29">
        <v>3000</v>
      </c>
      <c r="T429" s="29">
        <f t="shared" si="25"/>
        <v>2003347</v>
      </c>
    </row>
    <row r="430" spans="1:20" ht="21" customHeight="1" x14ac:dyDescent="0.25">
      <c r="A430" s="21">
        <v>73</v>
      </c>
      <c r="B430" s="25" t="s">
        <v>1217</v>
      </c>
      <c r="C430" s="24" t="s">
        <v>1218</v>
      </c>
      <c r="D430" s="24" t="s">
        <v>23</v>
      </c>
      <c r="E430" s="45" t="s">
        <v>1219</v>
      </c>
      <c r="F430" s="25" t="s">
        <v>25</v>
      </c>
      <c r="G430" s="4">
        <v>3500</v>
      </c>
      <c r="H430" s="25" t="s">
        <v>26</v>
      </c>
      <c r="I430" s="25" t="s">
        <v>1220</v>
      </c>
      <c r="J430" s="25">
        <v>64705</v>
      </c>
      <c r="K430" s="25">
        <v>65639</v>
      </c>
      <c r="L430" s="4">
        <v>934</v>
      </c>
      <c r="M430" s="4">
        <v>1587361</v>
      </c>
      <c r="N430" s="4">
        <v>0</v>
      </c>
      <c r="O430" s="4">
        <v>0</v>
      </c>
      <c r="P430" s="4">
        <v>0</v>
      </c>
      <c r="Q430" s="3">
        <v>0</v>
      </c>
      <c r="R430" s="29">
        <v>1587361</v>
      </c>
      <c r="S430" s="29">
        <v>3000</v>
      </c>
      <c r="T430" s="29">
        <f t="shared" si="25"/>
        <v>1590361</v>
      </c>
    </row>
    <row r="431" spans="1:20" ht="21" customHeight="1" x14ac:dyDescent="0.25">
      <c r="A431" s="21">
        <v>74</v>
      </c>
      <c r="B431" s="25" t="s">
        <v>1221</v>
      </c>
      <c r="C431" s="24" t="s">
        <v>1222</v>
      </c>
      <c r="D431" s="24" t="s">
        <v>23</v>
      </c>
      <c r="E431" s="45" t="s">
        <v>1219</v>
      </c>
      <c r="F431" s="25" t="s">
        <v>25</v>
      </c>
      <c r="G431" s="4">
        <v>3500</v>
      </c>
      <c r="H431" s="25" t="s">
        <v>26</v>
      </c>
      <c r="I431" s="25" t="s">
        <v>1223</v>
      </c>
      <c r="J431" s="25">
        <v>96606</v>
      </c>
      <c r="K431" s="25">
        <v>97912</v>
      </c>
      <c r="L431" s="4">
        <v>1306</v>
      </c>
      <c r="M431" s="4">
        <v>2219586</v>
      </c>
      <c r="N431" s="4">
        <v>0</v>
      </c>
      <c r="O431" s="4">
        <v>0</v>
      </c>
      <c r="P431" s="4">
        <v>0</v>
      </c>
      <c r="Q431" s="3">
        <v>0</v>
      </c>
      <c r="R431" s="29">
        <v>2219586</v>
      </c>
      <c r="S431" s="29">
        <v>3000</v>
      </c>
      <c r="T431" s="29">
        <f t="shared" si="25"/>
        <v>2222586</v>
      </c>
    </row>
    <row r="432" spans="1:20" ht="21" customHeight="1" x14ac:dyDescent="0.25">
      <c r="A432" s="21">
        <v>75</v>
      </c>
      <c r="B432" s="25" t="s">
        <v>1224</v>
      </c>
      <c r="C432" s="24" t="s">
        <v>1225</v>
      </c>
      <c r="D432" s="24" t="s">
        <v>23</v>
      </c>
      <c r="E432" s="45" t="s">
        <v>1219</v>
      </c>
      <c r="F432" s="25" t="s">
        <v>25</v>
      </c>
      <c r="G432" s="4">
        <v>1300</v>
      </c>
      <c r="H432" s="25" t="s">
        <v>26</v>
      </c>
      <c r="I432" s="25" t="s">
        <v>1226</v>
      </c>
      <c r="J432" s="25">
        <v>12869</v>
      </c>
      <c r="K432" s="25">
        <v>13048</v>
      </c>
      <c r="L432" s="4">
        <v>179</v>
      </c>
      <c r="M432" s="4">
        <v>304216</v>
      </c>
      <c r="N432" s="4">
        <v>0</v>
      </c>
      <c r="O432" s="4">
        <v>0</v>
      </c>
      <c r="P432" s="4">
        <v>0</v>
      </c>
      <c r="Q432" s="3">
        <v>0</v>
      </c>
      <c r="R432" s="29">
        <v>304216</v>
      </c>
      <c r="S432" s="29">
        <v>3000</v>
      </c>
      <c r="T432" s="29">
        <f t="shared" si="25"/>
        <v>307216</v>
      </c>
    </row>
    <row r="433" spans="1:20" ht="21" customHeight="1" x14ac:dyDescent="0.25">
      <c r="A433" s="21">
        <v>76</v>
      </c>
      <c r="B433" s="25" t="s">
        <v>1227</v>
      </c>
      <c r="C433" s="24" t="s">
        <v>1222</v>
      </c>
      <c r="D433" s="24" t="s">
        <v>30</v>
      </c>
      <c r="E433" s="45" t="s">
        <v>1228</v>
      </c>
      <c r="F433" s="25" t="s">
        <v>25</v>
      </c>
      <c r="G433" s="4">
        <v>1300</v>
      </c>
      <c r="H433" s="25" t="s">
        <v>26</v>
      </c>
      <c r="I433" s="25" t="s">
        <v>1229</v>
      </c>
      <c r="J433" s="25">
        <v>42703</v>
      </c>
      <c r="K433" s="25">
        <v>43143</v>
      </c>
      <c r="L433" s="4">
        <v>440</v>
      </c>
      <c r="M433" s="4">
        <v>747793</v>
      </c>
      <c r="N433" s="4">
        <v>0</v>
      </c>
      <c r="O433" s="4">
        <v>0</v>
      </c>
      <c r="P433" s="4">
        <v>0</v>
      </c>
      <c r="Q433" s="3">
        <v>0</v>
      </c>
      <c r="R433" s="29">
        <v>747793</v>
      </c>
      <c r="S433" s="29">
        <v>3000</v>
      </c>
      <c r="T433" s="29">
        <f t="shared" si="25"/>
        <v>750793</v>
      </c>
    </row>
    <row r="434" spans="1:20" ht="21" customHeight="1" x14ac:dyDescent="0.25">
      <c r="A434" s="21">
        <v>77</v>
      </c>
      <c r="B434" s="25" t="s">
        <v>1230</v>
      </c>
      <c r="C434" s="24" t="s">
        <v>1231</v>
      </c>
      <c r="D434" s="24" t="s">
        <v>84</v>
      </c>
      <c r="E434" s="45" t="s">
        <v>1232</v>
      </c>
      <c r="F434" s="25" t="s">
        <v>25</v>
      </c>
      <c r="G434" s="4">
        <v>1300</v>
      </c>
      <c r="H434" s="25" t="s">
        <v>26</v>
      </c>
      <c r="I434" s="25" t="s">
        <v>1233</v>
      </c>
      <c r="J434" s="25">
        <v>55497</v>
      </c>
      <c r="K434" s="25">
        <v>55555</v>
      </c>
      <c r="L434" s="4">
        <v>58</v>
      </c>
      <c r="M434" s="4">
        <v>98573</v>
      </c>
      <c r="N434" s="4">
        <v>0</v>
      </c>
      <c r="O434" s="4">
        <v>0</v>
      </c>
      <c r="P434" s="4">
        <v>0</v>
      </c>
      <c r="Q434" s="3">
        <v>0</v>
      </c>
      <c r="R434" s="29">
        <v>98573</v>
      </c>
      <c r="S434" s="29">
        <v>3000</v>
      </c>
      <c r="T434" s="29">
        <f t="shared" si="25"/>
        <v>101573</v>
      </c>
    </row>
    <row r="435" spans="1:20" ht="21" customHeight="1" x14ac:dyDescent="0.25">
      <c r="A435" s="21">
        <v>78</v>
      </c>
      <c r="B435" s="25" t="s">
        <v>1234</v>
      </c>
      <c r="C435" s="24" t="s">
        <v>1235</v>
      </c>
      <c r="D435" s="24" t="s">
        <v>23</v>
      </c>
      <c r="E435" s="45" t="s">
        <v>1236</v>
      </c>
      <c r="F435" s="25" t="s">
        <v>25</v>
      </c>
      <c r="G435" s="4">
        <v>4400</v>
      </c>
      <c r="H435" s="25" t="s">
        <v>26</v>
      </c>
      <c r="I435" s="25" t="s">
        <v>1237</v>
      </c>
      <c r="J435" s="25">
        <v>75539</v>
      </c>
      <c r="K435" s="25">
        <v>76844</v>
      </c>
      <c r="L435" s="4">
        <v>1305</v>
      </c>
      <c r="M435" s="4">
        <v>2217887</v>
      </c>
      <c r="N435" s="4">
        <v>0</v>
      </c>
      <c r="O435" s="4">
        <v>0</v>
      </c>
      <c r="P435" s="4">
        <v>0</v>
      </c>
      <c r="Q435" s="3">
        <v>0</v>
      </c>
      <c r="R435" s="29">
        <v>2217887</v>
      </c>
      <c r="S435" s="29">
        <v>3000</v>
      </c>
      <c r="T435" s="29">
        <f t="shared" si="25"/>
        <v>2220887</v>
      </c>
    </row>
    <row r="436" spans="1:20" ht="21" customHeight="1" x14ac:dyDescent="0.25">
      <c r="A436" s="21">
        <v>79</v>
      </c>
      <c r="B436" s="25" t="s">
        <v>1238</v>
      </c>
      <c r="C436" s="24" t="s">
        <v>1239</v>
      </c>
      <c r="D436" s="24" t="s">
        <v>23</v>
      </c>
      <c r="E436" s="45" t="s">
        <v>1205</v>
      </c>
      <c r="F436" s="25" t="s">
        <v>25</v>
      </c>
      <c r="G436" s="4">
        <v>3500</v>
      </c>
      <c r="H436" s="25" t="s">
        <v>26</v>
      </c>
      <c r="I436" s="25" t="s">
        <v>1240</v>
      </c>
      <c r="J436" s="25">
        <v>15655</v>
      </c>
      <c r="K436" s="25">
        <v>15655</v>
      </c>
      <c r="L436" s="4">
        <v>140</v>
      </c>
      <c r="M436" s="4">
        <v>237934</v>
      </c>
      <c r="N436" s="4">
        <v>0</v>
      </c>
      <c r="O436" s="4">
        <v>0</v>
      </c>
      <c r="P436" s="4">
        <v>0</v>
      </c>
      <c r="Q436" s="3">
        <v>0</v>
      </c>
      <c r="R436" s="29">
        <v>237934</v>
      </c>
      <c r="S436" s="29">
        <v>3000</v>
      </c>
      <c r="T436" s="29">
        <f t="shared" si="25"/>
        <v>240934</v>
      </c>
    </row>
    <row r="437" spans="1:20" ht="21" customHeight="1" x14ac:dyDescent="0.25">
      <c r="A437" s="21">
        <v>80</v>
      </c>
      <c r="B437" s="25" t="s">
        <v>1241</v>
      </c>
      <c r="C437" s="24" t="s">
        <v>1242</v>
      </c>
      <c r="D437" s="24" t="s">
        <v>30</v>
      </c>
      <c r="E437" s="45" t="s">
        <v>1228</v>
      </c>
      <c r="F437" s="25" t="s">
        <v>25</v>
      </c>
      <c r="G437" s="4">
        <v>2200</v>
      </c>
      <c r="H437" s="25" t="s">
        <v>26</v>
      </c>
      <c r="I437" s="25" t="s">
        <v>1243</v>
      </c>
      <c r="J437" s="25">
        <v>57258</v>
      </c>
      <c r="K437" s="25">
        <v>57837</v>
      </c>
      <c r="L437" s="4">
        <v>579</v>
      </c>
      <c r="M437" s="4">
        <v>984028</v>
      </c>
      <c r="N437" s="4">
        <v>0</v>
      </c>
      <c r="O437" s="4">
        <v>0</v>
      </c>
      <c r="P437" s="4">
        <v>0</v>
      </c>
      <c r="Q437" s="3">
        <v>0</v>
      </c>
      <c r="R437" s="29">
        <v>984028</v>
      </c>
      <c r="S437" s="29">
        <v>3000</v>
      </c>
      <c r="T437" s="29">
        <f t="shared" si="25"/>
        <v>987028</v>
      </c>
    </row>
    <row r="438" spans="1:20" s="35" customFormat="1" ht="21" customHeight="1" x14ac:dyDescent="0.25">
      <c r="A438" s="24"/>
      <c r="B438" s="25"/>
      <c r="C438" s="24"/>
      <c r="D438" s="24"/>
      <c r="E438" s="24"/>
      <c r="F438" s="25"/>
      <c r="G438" s="25"/>
      <c r="H438" s="25"/>
      <c r="I438" s="25" t="s">
        <v>0</v>
      </c>
      <c r="J438" s="25"/>
      <c r="K438" s="25"/>
      <c r="L438" s="28" t="s">
        <v>0</v>
      </c>
      <c r="M438" s="29"/>
      <c r="N438" s="48"/>
      <c r="O438" s="48"/>
      <c r="P438" s="48"/>
      <c r="Q438" s="47"/>
      <c r="R438" s="47"/>
      <c r="S438" s="47"/>
      <c r="T438" s="47"/>
    </row>
    <row r="439" spans="1:20" ht="38.25" customHeight="1" x14ac:dyDescent="0.25">
      <c r="A439" s="44" t="s">
        <v>179</v>
      </c>
      <c r="B439" s="20"/>
      <c r="C439" s="20"/>
      <c r="D439" s="20"/>
      <c r="E439" s="20"/>
      <c r="F439" s="20"/>
      <c r="G439" s="70">
        <v>414100</v>
      </c>
      <c r="H439" s="70">
        <v>0</v>
      </c>
      <c r="I439" s="70">
        <v>0</v>
      </c>
      <c r="J439" s="70"/>
      <c r="K439" s="70"/>
      <c r="L439" s="70">
        <v>72331</v>
      </c>
      <c r="M439" s="70">
        <v>122928704</v>
      </c>
      <c r="N439" s="70">
        <v>0</v>
      </c>
      <c r="O439" s="70">
        <v>0</v>
      </c>
      <c r="P439" s="70">
        <v>0</v>
      </c>
      <c r="Q439" s="152">
        <f>SUM(Q396:Q438)</f>
        <v>0</v>
      </c>
      <c r="R439" s="152">
        <f t="shared" ref="R439:T439" si="26">SUM(R396:R438)</f>
        <v>122928704</v>
      </c>
      <c r="S439" s="152">
        <f t="shared" si="26"/>
        <v>240000</v>
      </c>
      <c r="T439" s="152">
        <f t="shared" si="26"/>
        <v>123168704</v>
      </c>
    </row>
    <row r="440" spans="1:20" ht="21" customHeight="1" x14ac:dyDescent="0.25">
      <c r="L440" s="41"/>
    </row>
    <row r="441" spans="1:20" ht="21" customHeight="1" x14ac:dyDescent="0.25">
      <c r="C441" s="13" t="s">
        <v>180</v>
      </c>
      <c r="E441" s="13" t="s">
        <v>180</v>
      </c>
      <c r="L441" s="41"/>
    </row>
    <row r="442" spans="1:20" s="93" customFormat="1" ht="42" customHeight="1" x14ac:dyDescent="0.25">
      <c r="A442" s="31" t="s">
        <v>4</v>
      </c>
      <c r="B442" s="31" t="s">
        <v>5</v>
      </c>
      <c r="C442" s="31" t="s">
        <v>6</v>
      </c>
      <c r="D442" s="22"/>
      <c r="E442" s="31" t="s">
        <v>7</v>
      </c>
      <c r="F442" s="31" t="s">
        <v>8</v>
      </c>
      <c r="G442" s="31" t="s">
        <v>9</v>
      </c>
      <c r="H442" s="31" t="s">
        <v>10</v>
      </c>
      <c r="I442" s="31" t="s">
        <v>11</v>
      </c>
      <c r="J442" s="31" t="s">
        <v>12</v>
      </c>
      <c r="K442" s="31" t="s">
        <v>13</v>
      </c>
      <c r="L442" s="31" t="s">
        <v>14</v>
      </c>
      <c r="M442" s="141" t="s">
        <v>15</v>
      </c>
      <c r="N442" s="142" t="s">
        <v>16</v>
      </c>
      <c r="O442" s="142" t="s">
        <v>17</v>
      </c>
      <c r="P442" s="142" t="s">
        <v>18</v>
      </c>
      <c r="Q442" s="141" t="s">
        <v>19</v>
      </c>
      <c r="R442" s="141" t="s">
        <v>20</v>
      </c>
      <c r="S442" s="141" t="s">
        <v>3655</v>
      </c>
      <c r="T442" s="141" t="s">
        <v>3656</v>
      </c>
    </row>
    <row r="443" spans="1:20" ht="21" customHeight="1" x14ac:dyDescent="0.25">
      <c r="A443" s="44"/>
      <c r="B443" s="20"/>
      <c r="C443" s="25"/>
      <c r="D443" s="25"/>
      <c r="E443" s="25"/>
      <c r="F443" s="25"/>
      <c r="G443" s="25"/>
      <c r="H443" s="25"/>
      <c r="I443" s="25" t="s">
        <v>0</v>
      </c>
      <c r="J443" s="25"/>
      <c r="K443" s="25"/>
      <c r="L443" s="28" t="s">
        <v>0</v>
      </c>
      <c r="M443" s="29"/>
      <c r="N443" s="30"/>
      <c r="O443" s="30"/>
      <c r="P443" s="30"/>
      <c r="Q443" s="29"/>
      <c r="R443" s="29"/>
      <c r="S443" s="29"/>
      <c r="T443" s="29"/>
    </row>
    <row r="444" spans="1:20" ht="21" customHeight="1" x14ac:dyDescent="0.25">
      <c r="A444" s="44"/>
      <c r="B444" s="20"/>
      <c r="C444" s="25"/>
      <c r="D444" s="25"/>
      <c r="E444" s="45" t="s">
        <v>181</v>
      </c>
      <c r="F444" s="25"/>
      <c r="G444" s="70">
        <v>414100</v>
      </c>
      <c r="H444" s="70">
        <v>0</v>
      </c>
      <c r="I444" s="70">
        <v>0</v>
      </c>
      <c r="J444" s="70"/>
      <c r="K444" s="70"/>
      <c r="L444" s="70">
        <v>72331</v>
      </c>
      <c r="M444" s="72">
        <v>122928704</v>
      </c>
      <c r="N444" s="73">
        <v>0</v>
      </c>
      <c r="O444" s="73">
        <v>0</v>
      </c>
      <c r="P444" s="73">
        <v>0</v>
      </c>
      <c r="Q444" s="72">
        <f>Q439</f>
        <v>0</v>
      </c>
      <c r="R444" s="72">
        <f t="shared" ref="R444:T444" si="27">R439</f>
        <v>122928704</v>
      </c>
      <c r="S444" s="72">
        <f t="shared" si="27"/>
        <v>240000</v>
      </c>
      <c r="T444" s="72">
        <f t="shared" si="27"/>
        <v>123168704</v>
      </c>
    </row>
    <row r="445" spans="1:20" ht="21" customHeight="1" x14ac:dyDescent="0.25">
      <c r="A445" s="21">
        <v>81</v>
      </c>
      <c r="B445" s="25" t="s">
        <v>1244</v>
      </c>
      <c r="C445" s="24" t="s">
        <v>1245</v>
      </c>
      <c r="D445" s="24" t="s">
        <v>30</v>
      </c>
      <c r="E445" s="45" t="s">
        <v>1228</v>
      </c>
      <c r="F445" s="25" t="s">
        <v>25</v>
      </c>
      <c r="G445" s="4">
        <v>2200</v>
      </c>
      <c r="H445" s="25" t="s">
        <v>26</v>
      </c>
      <c r="I445" s="25" t="s">
        <v>1246</v>
      </c>
      <c r="J445" s="25">
        <v>116756</v>
      </c>
      <c r="K445" s="25">
        <v>116991</v>
      </c>
      <c r="L445" s="4">
        <v>235</v>
      </c>
      <c r="M445" s="4">
        <v>399390</v>
      </c>
      <c r="N445" s="4">
        <v>0</v>
      </c>
      <c r="O445" s="4">
        <v>0</v>
      </c>
      <c r="P445" s="4">
        <v>0</v>
      </c>
      <c r="Q445" s="3">
        <v>0</v>
      </c>
      <c r="R445" s="29">
        <v>399390</v>
      </c>
      <c r="S445" s="29">
        <v>3000</v>
      </c>
      <c r="T445" s="29">
        <f t="shared" ref="T445:T484" si="28">R445+S445</f>
        <v>402390</v>
      </c>
    </row>
    <row r="446" spans="1:20" ht="21" customHeight="1" x14ac:dyDescent="0.25">
      <c r="A446" s="21">
        <v>82</v>
      </c>
      <c r="B446" s="25" t="s">
        <v>1247</v>
      </c>
      <c r="C446" s="24" t="s">
        <v>1248</v>
      </c>
      <c r="D446" s="24" t="s">
        <v>23</v>
      </c>
      <c r="E446" s="45" t="s">
        <v>1249</v>
      </c>
      <c r="F446" s="25" t="s">
        <v>25</v>
      </c>
      <c r="G446" s="4">
        <v>2200</v>
      </c>
      <c r="H446" s="25" t="s">
        <v>26</v>
      </c>
      <c r="I446" s="25" t="s">
        <v>1250</v>
      </c>
      <c r="J446" s="25">
        <v>79780</v>
      </c>
      <c r="K446" s="25">
        <v>80246</v>
      </c>
      <c r="L446" s="4">
        <v>466</v>
      </c>
      <c r="M446" s="4">
        <v>791981</v>
      </c>
      <c r="N446" s="4">
        <v>0</v>
      </c>
      <c r="O446" s="4">
        <v>0</v>
      </c>
      <c r="P446" s="4">
        <v>0</v>
      </c>
      <c r="Q446" s="3">
        <v>0</v>
      </c>
      <c r="R446" s="29">
        <v>791981</v>
      </c>
      <c r="S446" s="29">
        <v>3000</v>
      </c>
      <c r="T446" s="29">
        <f t="shared" si="28"/>
        <v>794981</v>
      </c>
    </row>
    <row r="447" spans="1:20" ht="21" customHeight="1" x14ac:dyDescent="0.25">
      <c r="A447" s="21">
        <v>83</v>
      </c>
      <c r="B447" s="25" t="s">
        <v>1251</v>
      </c>
      <c r="C447" s="24" t="s">
        <v>1252</v>
      </c>
      <c r="D447" s="24" t="s">
        <v>23</v>
      </c>
      <c r="E447" s="45" t="s">
        <v>1249</v>
      </c>
      <c r="F447" s="25" t="s">
        <v>25</v>
      </c>
      <c r="G447" s="4">
        <v>2200</v>
      </c>
      <c r="H447" s="25" t="s">
        <v>26</v>
      </c>
      <c r="I447" s="25" t="s">
        <v>1253</v>
      </c>
      <c r="J447" s="25">
        <v>139212</v>
      </c>
      <c r="K447" s="25">
        <v>139926</v>
      </c>
      <c r="L447" s="4">
        <v>714</v>
      </c>
      <c r="M447" s="4">
        <v>1213464</v>
      </c>
      <c r="N447" s="4">
        <v>0</v>
      </c>
      <c r="O447" s="4">
        <v>0</v>
      </c>
      <c r="P447" s="4">
        <v>0</v>
      </c>
      <c r="Q447" s="3">
        <v>0</v>
      </c>
      <c r="R447" s="29">
        <v>1213464</v>
      </c>
      <c r="S447" s="29">
        <v>3000</v>
      </c>
      <c r="T447" s="29">
        <f t="shared" si="28"/>
        <v>1216464</v>
      </c>
    </row>
    <row r="448" spans="1:20" ht="21" customHeight="1" x14ac:dyDescent="0.25">
      <c r="A448" s="21">
        <v>84</v>
      </c>
      <c r="B448" s="25" t="s">
        <v>1254</v>
      </c>
      <c r="C448" s="24" t="s">
        <v>1255</v>
      </c>
      <c r="D448" s="24" t="s">
        <v>23</v>
      </c>
      <c r="E448" s="45" t="s">
        <v>1219</v>
      </c>
      <c r="F448" s="25" t="s">
        <v>25</v>
      </c>
      <c r="G448" s="4">
        <v>3500</v>
      </c>
      <c r="H448" s="25" t="s">
        <v>26</v>
      </c>
      <c r="I448" s="25" t="s">
        <v>1256</v>
      </c>
      <c r="J448" s="25">
        <v>27019</v>
      </c>
      <c r="K448" s="25">
        <v>27393</v>
      </c>
      <c r="L448" s="4">
        <v>374</v>
      </c>
      <c r="M448" s="4">
        <v>635624</v>
      </c>
      <c r="N448" s="4">
        <v>0</v>
      </c>
      <c r="O448" s="4">
        <v>0</v>
      </c>
      <c r="P448" s="4">
        <v>0</v>
      </c>
      <c r="Q448" s="3">
        <v>0</v>
      </c>
      <c r="R448" s="29">
        <v>635624</v>
      </c>
      <c r="S448" s="29">
        <v>3000</v>
      </c>
      <c r="T448" s="29">
        <f t="shared" si="28"/>
        <v>638624</v>
      </c>
    </row>
    <row r="449" spans="1:20" ht="21" customHeight="1" x14ac:dyDescent="0.25">
      <c r="A449" s="21">
        <v>85</v>
      </c>
      <c r="B449" s="25" t="s">
        <v>1257</v>
      </c>
      <c r="C449" s="24" t="s">
        <v>1258</v>
      </c>
      <c r="D449" s="24" t="s">
        <v>84</v>
      </c>
      <c r="E449" s="45" t="s">
        <v>1259</v>
      </c>
      <c r="F449" s="25" t="s">
        <v>25</v>
      </c>
      <c r="G449" s="4">
        <v>3500</v>
      </c>
      <c r="H449" s="25" t="s">
        <v>26</v>
      </c>
      <c r="I449" s="25" t="s">
        <v>1260</v>
      </c>
      <c r="J449" s="25">
        <v>61005</v>
      </c>
      <c r="K449" s="25">
        <v>62307</v>
      </c>
      <c r="L449" s="4">
        <v>1302</v>
      </c>
      <c r="M449" s="4">
        <v>2212788</v>
      </c>
      <c r="N449" s="4">
        <v>0</v>
      </c>
      <c r="O449" s="4">
        <v>0</v>
      </c>
      <c r="P449" s="4">
        <v>0</v>
      </c>
      <c r="Q449" s="3">
        <v>0</v>
      </c>
      <c r="R449" s="29">
        <v>2212788</v>
      </c>
      <c r="S449" s="29">
        <v>3000</v>
      </c>
      <c r="T449" s="29">
        <f t="shared" si="28"/>
        <v>2215788</v>
      </c>
    </row>
    <row r="450" spans="1:20" ht="21" customHeight="1" x14ac:dyDescent="0.25">
      <c r="A450" s="21">
        <v>86</v>
      </c>
      <c r="B450" s="25" t="s">
        <v>1261</v>
      </c>
      <c r="C450" s="24" t="s">
        <v>1262</v>
      </c>
      <c r="D450" s="24" t="s">
        <v>84</v>
      </c>
      <c r="E450" s="45" t="s">
        <v>1045</v>
      </c>
      <c r="F450" s="25" t="s">
        <v>25</v>
      </c>
      <c r="G450" s="4">
        <v>1300</v>
      </c>
      <c r="H450" s="25" t="s">
        <v>26</v>
      </c>
      <c r="I450" s="25" t="s">
        <v>1263</v>
      </c>
      <c r="J450" s="25">
        <v>7723</v>
      </c>
      <c r="K450" s="25">
        <v>7861</v>
      </c>
      <c r="L450" s="4">
        <v>138</v>
      </c>
      <c r="M450" s="4">
        <v>234535</v>
      </c>
      <c r="N450" s="4">
        <v>0</v>
      </c>
      <c r="O450" s="4">
        <v>0</v>
      </c>
      <c r="P450" s="4">
        <v>0</v>
      </c>
      <c r="Q450" s="3">
        <v>0</v>
      </c>
      <c r="R450" s="29">
        <v>234535</v>
      </c>
      <c r="S450" s="29">
        <v>3000</v>
      </c>
      <c r="T450" s="29">
        <f t="shared" si="28"/>
        <v>237535</v>
      </c>
    </row>
    <row r="451" spans="1:20" ht="21" customHeight="1" x14ac:dyDescent="0.25">
      <c r="A451" s="21">
        <v>87</v>
      </c>
      <c r="B451" s="25" t="s">
        <v>1264</v>
      </c>
      <c r="C451" s="24" t="s">
        <v>1265</v>
      </c>
      <c r="D451" s="24" t="s">
        <v>23</v>
      </c>
      <c r="E451" s="45" t="s">
        <v>1266</v>
      </c>
      <c r="F451" s="25" t="s">
        <v>25</v>
      </c>
      <c r="G451" s="4">
        <v>7700</v>
      </c>
      <c r="H451" s="25" t="s">
        <v>26</v>
      </c>
      <c r="I451" s="25" t="s">
        <v>1267</v>
      </c>
      <c r="J451" s="25">
        <v>58555</v>
      </c>
      <c r="K451" s="25">
        <v>58555</v>
      </c>
      <c r="L451" s="4">
        <v>308</v>
      </c>
      <c r="M451" s="4">
        <v>523455</v>
      </c>
      <c r="N451" s="4">
        <v>0</v>
      </c>
      <c r="O451" s="4">
        <v>0</v>
      </c>
      <c r="P451" s="4">
        <v>0</v>
      </c>
      <c r="Q451" s="3">
        <v>0</v>
      </c>
      <c r="R451" s="29">
        <v>523455</v>
      </c>
      <c r="S451" s="29">
        <v>3000</v>
      </c>
      <c r="T451" s="29">
        <f t="shared" si="28"/>
        <v>526455</v>
      </c>
    </row>
    <row r="452" spans="1:20" ht="21" customHeight="1" x14ac:dyDescent="0.25">
      <c r="A452" s="21">
        <v>88</v>
      </c>
      <c r="B452" s="25" t="s">
        <v>1268</v>
      </c>
      <c r="C452" s="24" t="s">
        <v>1269</v>
      </c>
      <c r="D452" s="24" t="s">
        <v>23</v>
      </c>
      <c r="E452" s="45" t="s">
        <v>1270</v>
      </c>
      <c r="F452" s="25" t="s">
        <v>25</v>
      </c>
      <c r="G452" s="4">
        <v>2200</v>
      </c>
      <c r="H452" s="25" t="s">
        <v>26</v>
      </c>
      <c r="I452" s="25" t="s">
        <v>1271</v>
      </c>
      <c r="J452" s="25">
        <v>57408</v>
      </c>
      <c r="K452" s="25">
        <v>58127</v>
      </c>
      <c r="L452" s="4">
        <v>719</v>
      </c>
      <c r="M452" s="4">
        <v>1221962</v>
      </c>
      <c r="N452" s="4">
        <v>0</v>
      </c>
      <c r="O452" s="4">
        <v>0</v>
      </c>
      <c r="P452" s="4">
        <v>0</v>
      </c>
      <c r="Q452" s="3">
        <v>0</v>
      </c>
      <c r="R452" s="29">
        <v>1221962</v>
      </c>
      <c r="S452" s="29">
        <v>3000</v>
      </c>
      <c r="T452" s="29">
        <f t="shared" si="28"/>
        <v>1224962</v>
      </c>
    </row>
    <row r="453" spans="1:20" ht="21" customHeight="1" x14ac:dyDescent="0.25">
      <c r="A453" s="21">
        <v>89</v>
      </c>
      <c r="B453" s="25" t="s">
        <v>1272</v>
      </c>
      <c r="C453" s="24" t="s">
        <v>1273</v>
      </c>
      <c r="D453" s="24" t="s">
        <v>23</v>
      </c>
      <c r="E453" s="45" t="s">
        <v>1270</v>
      </c>
      <c r="F453" s="25" t="s">
        <v>25</v>
      </c>
      <c r="G453" s="4">
        <v>4400</v>
      </c>
      <c r="H453" s="25" t="s">
        <v>26</v>
      </c>
      <c r="I453" s="25" t="s">
        <v>1274</v>
      </c>
      <c r="J453" s="25">
        <v>14851</v>
      </c>
      <c r="K453" s="25">
        <v>15589</v>
      </c>
      <c r="L453" s="4">
        <v>738</v>
      </c>
      <c r="M453" s="4">
        <v>1254253</v>
      </c>
      <c r="N453" s="4">
        <v>0</v>
      </c>
      <c r="O453" s="4">
        <v>0</v>
      </c>
      <c r="P453" s="4">
        <v>0</v>
      </c>
      <c r="Q453" s="3">
        <v>0</v>
      </c>
      <c r="R453" s="29">
        <v>1254253</v>
      </c>
      <c r="S453" s="29">
        <v>3000</v>
      </c>
      <c r="T453" s="29">
        <f t="shared" si="28"/>
        <v>1257253</v>
      </c>
    </row>
    <row r="454" spans="1:20" ht="21" customHeight="1" x14ac:dyDescent="0.25">
      <c r="A454" s="21">
        <v>90</v>
      </c>
      <c r="B454" s="25" t="s">
        <v>1275</v>
      </c>
      <c r="C454" s="24" t="s">
        <v>1276</v>
      </c>
      <c r="D454" s="24" t="s">
        <v>23</v>
      </c>
      <c r="E454" s="45" t="s">
        <v>1277</v>
      </c>
      <c r="F454" s="25" t="s">
        <v>25</v>
      </c>
      <c r="G454" s="4">
        <v>3500</v>
      </c>
      <c r="H454" s="25" t="s">
        <v>26</v>
      </c>
      <c r="I454" s="25" t="s">
        <v>1278</v>
      </c>
      <c r="J454" s="25">
        <v>5640</v>
      </c>
      <c r="K454" s="25">
        <v>6297</v>
      </c>
      <c r="L454" s="4">
        <v>657</v>
      </c>
      <c r="M454" s="4">
        <v>1116591</v>
      </c>
      <c r="N454" s="4">
        <v>0</v>
      </c>
      <c r="O454" s="4">
        <v>0</v>
      </c>
      <c r="P454" s="4">
        <v>0</v>
      </c>
      <c r="Q454" s="3">
        <v>0</v>
      </c>
      <c r="R454" s="29">
        <v>1116591</v>
      </c>
      <c r="S454" s="29">
        <v>3000</v>
      </c>
      <c r="T454" s="29">
        <f t="shared" si="28"/>
        <v>1119591</v>
      </c>
    </row>
    <row r="455" spans="1:20" ht="21" customHeight="1" x14ac:dyDescent="0.25">
      <c r="A455" s="21">
        <v>91</v>
      </c>
      <c r="B455" s="25" t="s">
        <v>1279</v>
      </c>
      <c r="C455" s="24" t="s">
        <v>1280</v>
      </c>
      <c r="D455" s="24" t="s">
        <v>23</v>
      </c>
      <c r="E455" s="45" t="s">
        <v>1281</v>
      </c>
      <c r="F455" s="25" t="s">
        <v>25</v>
      </c>
      <c r="G455" s="4">
        <v>2200</v>
      </c>
      <c r="H455" s="25" t="s">
        <v>26</v>
      </c>
      <c r="I455" s="25" t="s">
        <v>1282</v>
      </c>
      <c r="J455" s="25">
        <v>1095</v>
      </c>
      <c r="K455" s="25">
        <v>2596</v>
      </c>
      <c r="L455" s="4">
        <v>1501</v>
      </c>
      <c r="M455" s="4">
        <v>2550995</v>
      </c>
      <c r="N455" s="4">
        <v>0</v>
      </c>
      <c r="O455" s="4">
        <v>0</v>
      </c>
      <c r="P455" s="4">
        <v>0</v>
      </c>
      <c r="Q455" s="3">
        <v>0</v>
      </c>
      <c r="R455" s="29">
        <v>2550995</v>
      </c>
      <c r="S455" s="29">
        <v>3000</v>
      </c>
      <c r="T455" s="29">
        <f t="shared" si="28"/>
        <v>2553995</v>
      </c>
    </row>
    <row r="456" spans="1:20" ht="21" customHeight="1" x14ac:dyDescent="0.25">
      <c r="A456" s="21">
        <v>92</v>
      </c>
      <c r="B456" s="25" t="s">
        <v>1283</v>
      </c>
      <c r="C456" s="24" t="s">
        <v>1284</v>
      </c>
      <c r="D456" s="24" t="s">
        <v>23</v>
      </c>
      <c r="E456" s="45" t="s">
        <v>1285</v>
      </c>
      <c r="F456" s="25" t="s">
        <v>25</v>
      </c>
      <c r="G456" s="4">
        <v>2200</v>
      </c>
      <c r="H456" s="25" t="s">
        <v>26</v>
      </c>
      <c r="I456" s="25" t="s">
        <v>1286</v>
      </c>
      <c r="J456" s="25">
        <v>90828</v>
      </c>
      <c r="K456" s="25">
        <v>92106</v>
      </c>
      <c r="L456" s="4">
        <v>1278</v>
      </c>
      <c r="M456" s="4">
        <v>2171999</v>
      </c>
      <c r="N456" s="4">
        <v>0</v>
      </c>
      <c r="O456" s="4">
        <v>0</v>
      </c>
      <c r="P456" s="4">
        <v>0</v>
      </c>
      <c r="Q456" s="3">
        <v>0</v>
      </c>
      <c r="R456" s="29">
        <v>2171999</v>
      </c>
      <c r="S456" s="29">
        <v>3000</v>
      </c>
      <c r="T456" s="29">
        <f t="shared" si="28"/>
        <v>2174999</v>
      </c>
    </row>
    <row r="457" spans="1:20" ht="21" customHeight="1" x14ac:dyDescent="0.25">
      <c r="A457" s="21">
        <v>93</v>
      </c>
      <c r="B457" s="25" t="s">
        <v>1287</v>
      </c>
      <c r="C457" s="24" t="s">
        <v>1288</v>
      </c>
      <c r="D457" s="24" t="s">
        <v>23</v>
      </c>
      <c r="E457" s="45" t="s">
        <v>1289</v>
      </c>
      <c r="F457" s="25" t="s">
        <v>25</v>
      </c>
      <c r="G457" s="4">
        <v>4400</v>
      </c>
      <c r="H457" s="25" t="s">
        <v>26</v>
      </c>
      <c r="I457" s="25" t="s">
        <v>1290</v>
      </c>
      <c r="J457" s="25">
        <v>53577</v>
      </c>
      <c r="K457" s="25">
        <v>54540</v>
      </c>
      <c r="L457" s="4">
        <v>963</v>
      </c>
      <c r="M457" s="4">
        <v>1636647</v>
      </c>
      <c r="N457" s="4">
        <v>0</v>
      </c>
      <c r="O457" s="4">
        <v>0</v>
      </c>
      <c r="P457" s="4">
        <v>0</v>
      </c>
      <c r="Q457" s="3">
        <v>0</v>
      </c>
      <c r="R457" s="29">
        <v>1636647</v>
      </c>
      <c r="S457" s="29">
        <v>3000</v>
      </c>
      <c r="T457" s="29">
        <f t="shared" si="28"/>
        <v>1639647</v>
      </c>
    </row>
    <row r="458" spans="1:20" ht="21" customHeight="1" x14ac:dyDescent="0.25">
      <c r="A458" s="21">
        <v>94</v>
      </c>
      <c r="B458" s="25" t="s">
        <v>1291</v>
      </c>
      <c r="C458" s="24" t="s">
        <v>1292</v>
      </c>
      <c r="D458" s="24" t="s">
        <v>23</v>
      </c>
      <c r="E458" s="45" t="s">
        <v>1293</v>
      </c>
      <c r="F458" s="25" t="s">
        <v>25</v>
      </c>
      <c r="G458" s="4">
        <v>3500</v>
      </c>
      <c r="H458" s="25" t="s">
        <v>26</v>
      </c>
      <c r="I458" s="25" t="s">
        <v>1294</v>
      </c>
      <c r="J458" s="25">
        <v>43330</v>
      </c>
      <c r="K458" s="25">
        <v>43720</v>
      </c>
      <c r="L458" s="4">
        <v>390</v>
      </c>
      <c r="M458" s="4">
        <v>662817</v>
      </c>
      <c r="N458" s="4">
        <v>0</v>
      </c>
      <c r="O458" s="4">
        <v>0</v>
      </c>
      <c r="P458" s="4">
        <v>0</v>
      </c>
      <c r="Q458" s="3">
        <v>0</v>
      </c>
      <c r="R458" s="29">
        <v>662817</v>
      </c>
      <c r="S458" s="29">
        <v>3000</v>
      </c>
      <c r="T458" s="29">
        <f t="shared" si="28"/>
        <v>665817</v>
      </c>
    </row>
    <row r="459" spans="1:20" ht="21" customHeight="1" x14ac:dyDescent="0.25">
      <c r="A459" s="21">
        <v>95</v>
      </c>
      <c r="B459" s="25" t="s">
        <v>1295</v>
      </c>
      <c r="C459" s="24" t="s">
        <v>1296</v>
      </c>
      <c r="D459" s="24" t="s">
        <v>23</v>
      </c>
      <c r="E459" s="45" t="s">
        <v>1297</v>
      </c>
      <c r="F459" s="25" t="s">
        <v>25</v>
      </c>
      <c r="G459" s="4">
        <v>5500</v>
      </c>
      <c r="H459" s="25" t="s">
        <v>26</v>
      </c>
      <c r="I459" s="25" t="s">
        <v>1298</v>
      </c>
      <c r="J459" s="25">
        <v>20761</v>
      </c>
      <c r="K459" s="25">
        <v>20810</v>
      </c>
      <c r="L459" s="4">
        <v>220</v>
      </c>
      <c r="M459" s="4">
        <v>373897</v>
      </c>
      <c r="N459" s="4">
        <v>0</v>
      </c>
      <c r="O459" s="4">
        <v>0</v>
      </c>
      <c r="P459" s="4">
        <v>0</v>
      </c>
      <c r="Q459" s="3">
        <v>0</v>
      </c>
      <c r="R459" s="29">
        <v>373897</v>
      </c>
      <c r="S459" s="29">
        <v>3000</v>
      </c>
      <c r="T459" s="29">
        <f t="shared" si="28"/>
        <v>376897</v>
      </c>
    </row>
    <row r="460" spans="1:20" ht="21" customHeight="1" x14ac:dyDescent="0.25">
      <c r="A460" s="21">
        <v>96</v>
      </c>
      <c r="B460" s="25" t="s">
        <v>1299</v>
      </c>
      <c r="C460" s="24" t="s">
        <v>1300</v>
      </c>
      <c r="D460" s="24" t="s">
        <v>23</v>
      </c>
      <c r="E460" s="45" t="s">
        <v>1301</v>
      </c>
      <c r="F460" s="25" t="s">
        <v>25</v>
      </c>
      <c r="G460" s="4">
        <v>3500</v>
      </c>
      <c r="H460" s="25" t="s">
        <v>26</v>
      </c>
      <c r="I460" s="25" t="s">
        <v>1302</v>
      </c>
      <c r="J460" s="25">
        <v>31593</v>
      </c>
      <c r="K460" s="25">
        <v>32992</v>
      </c>
      <c r="L460" s="4">
        <v>1399</v>
      </c>
      <c r="M460" s="4">
        <v>2377642</v>
      </c>
      <c r="N460" s="4">
        <v>0</v>
      </c>
      <c r="O460" s="4">
        <v>0</v>
      </c>
      <c r="P460" s="4">
        <v>0</v>
      </c>
      <c r="Q460" s="3">
        <v>0</v>
      </c>
      <c r="R460" s="29">
        <v>2377642</v>
      </c>
      <c r="S460" s="29">
        <v>3000</v>
      </c>
      <c r="T460" s="29">
        <f t="shared" si="28"/>
        <v>2380642</v>
      </c>
    </row>
    <row r="461" spans="1:20" ht="21" customHeight="1" x14ac:dyDescent="0.25">
      <c r="A461" s="21">
        <v>97</v>
      </c>
      <c r="B461" s="25" t="s">
        <v>1303</v>
      </c>
      <c r="C461" s="24" t="s">
        <v>1304</v>
      </c>
      <c r="D461" s="24" t="s">
        <v>23</v>
      </c>
      <c r="E461" s="45" t="s">
        <v>1305</v>
      </c>
      <c r="F461" s="25" t="s">
        <v>25</v>
      </c>
      <c r="G461" s="4">
        <v>3500</v>
      </c>
      <c r="H461" s="25" t="s">
        <v>26</v>
      </c>
      <c r="I461" s="25" t="s">
        <v>1306</v>
      </c>
      <c r="J461" s="25">
        <v>79420</v>
      </c>
      <c r="K461" s="25">
        <v>79954</v>
      </c>
      <c r="L461" s="4">
        <v>534</v>
      </c>
      <c r="M461" s="4">
        <v>907549</v>
      </c>
      <c r="N461" s="4">
        <v>0</v>
      </c>
      <c r="O461" s="4">
        <v>0</v>
      </c>
      <c r="P461" s="4">
        <v>0</v>
      </c>
      <c r="Q461" s="3">
        <v>0</v>
      </c>
      <c r="R461" s="29">
        <v>907549</v>
      </c>
      <c r="S461" s="29">
        <v>3000</v>
      </c>
      <c r="T461" s="29">
        <f t="shared" si="28"/>
        <v>910549</v>
      </c>
    </row>
    <row r="462" spans="1:20" ht="21" customHeight="1" x14ac:dyDescent="0.25">
      <c r="A462" s="21">
        <v>98</v>
      </c>
      <c r="B462" s="25" t="s">
        <v>1307</v>
      </c>
      <c r="C462" s="24" t="s">
        <v>1308</v>
      </c>
      <c r="D462" s="24" t="s">
        <v>23</v>
      </c>
      <c r="E462" s="45" t="s">
        <v>1309</v>
      </c>
      <c r="F462" s="25" t="s">
        <v>25</v>
      </c>
      <c r="G462" s="4">
        <v>3500</v>
      </c>
      <c r="H462" s="25" t="s">
        <v>26</v>
      </c>
      <c r="I462" s="25" t="s">
        <v>1310</v>
      </c>
      <c r="J462" s="25">
        <v>75498</v>
      </c>
      <c r="K462" s="25">
        <v>76851</v>
      </c>
      <c r="L462" s="4">
        <v>1353</v>
      </c>
      <c r="M462" s="4">
        <v>2299464</v>
      </c>
      <c r="N462" s="4">
        <v>0</v>
      </c>
      <c r="O462" s="4">
        <v>0</v>
      </c>
      <c r="P462" s="4">
        <v>0</v>
      </c>
      <c r="Q462" s="3">
        <v>0</v>
      </c>
      <c r="R462" s="29">
        <v>2299464</v>
      </c>
      <c r="S462" s="29">
        <v>3000</v>
      </c>
      <c r="T462" s="29">
        <f t="shared" si="28"/>
        <v>2302464</v>
      </c>
    </row>
    <row r="463" spans="1:20" ht="21" customHeight="1" x14ac:dyDescent="0.25">
      <c r="A463" s="21">
        <v>99</v>
      </c>
      <c r="B463" s="25" t="s">
        <v>1311</v>
      </c>
      <c r="C463" s="24" t="s">
        <v>1312</v>
      </c>
      <c r="D463" s="24" t="s">
        <v>23</v>
      </c>
      <c r="E463" s="45" t="s">
        <v>1313</v>
      </c>
      <c r="F463" s="25" t="s">
        <v>25</v>
      </c>
      <c r="G463" s="4">
        <v>3500</v>
      </c>
      <c r="H463" s="25" t="s">
        <v>26</v>
      </c>
      <c r="I463" s="25" t="s">
        <v>1314</v>
      </c>
      <c r="J463" s="25">
        <v>16212</v>
      </c>
      <c r="K463" s="25">
        <v>16869</v>
      </c>
      <c r="L463" s="4">
        <v>657</v>
      </c>
      <c r="M463" s="4">
        <v>1116591</v>
      </c>
      <c r="N463" s="4">
        <v>0</v>
      </c>
      <c r="O463" s="4">
        <v>0</v>
      </c>
      <c r="P463" s="4">
        <v>0</v>
      </c>
      <c r="Q463" s="3">
        <v>0</v>
      </c>
      <c r="R463" s="29">
        <v>1116591</v>
      </c>
      <c r="S463" s="29">
        <v>3000</v>
      </c>
      <c r="T463" s="29">
        <f t="shared" si="28"/>
        <v>1119591</v>
      </c>
    </row>
    <row r="464" spans="1:20" ht="21" customHeight="1" x14ac:dyDescent="0.25">
      <c r="A464" s="21">
        <v>100</v>
      </c>
      <c r="B464" s="25" t="s">
        <v>1315</v>
      </c>
      <c r="C464" s="24" t="s">
        <v>1316</v>
      </c>
      <c r="D464" s="24" t="s">
        <v>23</v>
      </c>
      <c r="E464" s="45" t="s">
        <v>1289</v>
      </c>
      <c r="F464" s="25" t="s">
        <v>25</v>
      </c>
      <c r="G464" s="4">
        <v>1300</v>
      </c>
      <c r="H464" s="25" t="s">
        <v>26</v>
      </c>
      <c r="I464" s="25" t="s">
        <v>1317</v>
      </c>
      <c r="J464" s="25">
        <v>21611</v>
      </c>
      <c r="K464" s="25">
        <v>21804</v>
      </c>
      <c r="L464" s="4">
        <v>193</v>
      </c>
      <c r="M464" s="4">
        <v>328009</v>
      </c>
      <c r="N464" s="4">
        <v>0</v>
      </c>
      <c r="O464" s="4">
        <v>0</v>
      </c>
      <c r="P464" s="4">
        <v>0</v>
      </c>
      <c r="Q464" s="3">
        <v>0</v>
      </c>
      <c r="R464" s="29">
        <v>328009</v>
      </c>
      <c r="S464" s="29">
        <v>3000</v>
      </c>
      <c r="T464" s="29">
        <f t="shared" si="28"/>
        <v>331009</v>
      </c>
    </row>
    <row r="465" spans="1:20" ht="21" customHeight="1" x14ac:dyDescent="0.25">
      <c r="A465" s="21">
        <v>101</v>
      </c>
      <c r="B465" s="25" t="s">
        <v>1318</v>
      </c>
      <c r="C465" s="24" t="s">
        <v>1319</v>
      </c>
      <c r="D465" s="24" t="s">
        <v>23</v>
      </c>
      <c r="E465" s="45" t="s">
        <v>1320</v>
      </c>
      <c r="F465" s="25" t="s">
        <v>25</v>
      </c>
      <c r="G465" s="4">
        <v>4400</v>
      </c>
      <c r="H465" s="25" t="s">
        <v>26</v>
      </c>
      <c r="I465" s="25" t="s">
        <v>1321</v>
      </c>
      <c r="J465" s="25">
        <v>84880</v>
      </c>
      <c r="K465" s="25">
        <v>86427</v>
      </c>
      <c r="L465" s="4">
        <v>1547</v>
      </c>
      <c r="M465" s="4">
        <v>2629173</v>
      </c>
      <c r="N465" s="4">
        <v>0</v>
      </c>
      <c r="O465" s="4">
        <v>0</v>
      </c>
      <c r="P465" s="4">
        <v>0</v>
      </c>
      <c r="Q465" s="3">
        <v>0</v>
      </c>
      <c r="R465" s="29">
        <v>2629173</v>
      </c>
      <c r="S465" s="29">
        <v>3000</v>
      </c>
      <c r="T465" s="29">
        <f t="shared" si="28"/>
        <v>2632173</v>
      </c>
    </row>
    <row r="466" spans="1:20" ht="21" customHeight="1" x14ac:dyDescent="0.25">
      <c r="A466" s="21">
        <v>102</v>
      </c>
      <c r="B466" s="25" t="s">
        <v>1322</v>
      </c>
      <c r="C466" s="24" t="s">
        <v>1323</v>
      </c>
      <c r="D466" s="24" t="s">
        <v>23</v>
      </c>
      <c r="E466" s="45" t="s">
        <v>1324</v>
      </c>
      <c r="F466" s="25" t="s">
        <v>25</v>
      </c>
      <c r="G466" s="4">
        <v>4400</v>
      </c>
      <c r="H466" s="25" t="s">
        <v>26</v>
      </c>
      <c r="I466" s="25" t="s">
        <v>1325</v>
      </c>
      <c r="J466" s="25">
        <v>7062</v>
      </c>
      <c r="K466" s="25">
        <v>7394</v>
      </c>
      <c r="L466" s="4">
        <v>332</v>
      </c>
      <c r="M466" s="4">
        <v>564244</v>
      </c>
      <c r="N466" s="4">
        <v>0</v>
      </c>
      <c r="O466" s="4">
        <v>0</v>
      </c>
      <c r="P466" s="4">
        <v>0</v>
      </c>
      <c r="Q466" s="3">
        <v>0</v>
      </c>
      <c r="R466" s="29">
        <v>564244</v>
      </c>
      <c r="S466" s="29">
        <v>3000</v>
      </c>
      <c r="T466" s="29">
        <f t="shared" si="28"/>
        <v>567244</v>
      </c>
    </row>
    <row r="467" spans="1:20" ht="21" customHeight="1" x14ac:dyDescent="0.25">
      <c r="A467" s="21">
        <v>103</v>
      </c>
      <c r="B467" s="25" t="s">
        <v>1326</v>
      </c>
      <c r="C467" s="24" t="s">
        <v>1327</v>
      </c>
      <c r="D467" s="24" t="s">
        <v>23</v>
      </c>
      <c r="E467" s="45" t="s">
        <v>1328</v>
      </c>
      <c r="F467" s="25" t="s">
        <v>25</v>
      </c>
      <c r="G467" s="4">
        <v>2200</v>
      </c>
      <c r="H467" s="25" t="s">
        <v>26</v>
      </c>
      <c r="I467" s="25" t="s">
        <v>1329</v>
      </c>
      <c r="J467" s="25">
        <v>6564</v>
      </c>
      <c r="K467" s="25">
        <v>7017</v>
      </c>
      <c r="L467" s="4">
        <v>453</v>
      </c>
      <c r="M467" s="4">
        <v>769887</v>
      </c>
      <c r="N467" s="4">
        <v>0</v>
      </c>
      <c r="O467" s="4">
        <v>0</v>
      </c>
      <c r="P467" s="4">
        <v>0</v>
      </c>
      <c r="Q467" s="3">
        <v>0</v>
      </c>
      <c r="R467" s="29">
        <v>769887</v>
      </c>
      <c r="S467" s="29">
        <v>3000</v>
      </c>
      <c r="T467" s="29">
        <f t="shared" si="28"/>
        <v>772887</v>
      </c>
    </row>
    <row r="468" spans="1:20" ht="21" customHeight="1" x14ac:dyDescent="0.25">
      <c r="A468" s="21">
        <v>104</v>
      </c>
      <c r="B468" s="25" t="s">
        <v>1330</v>
      </c>
      <c r="C468" s="24" t="s">
        <v>1331</v>
      </c>
      <c r="D468" s="24" t="s">
        <v>23</v>
      </c>
      <c r="E468" s="45" t="s">
        <v>1332</v>
      </c>
      <c r="F468" s="25" t="s">
        <v>25</v>
      </c>
      <c r="G468" s="4">
        <v>3500</v>
      </c>
      <c r="H468" s="25" t="s">
        <v>26</v>
      </c>
      <c r="I468" s="25" t="s">
        <v>1333</v>
      </c>
      <c r="J468" s="25">
        <v>16645</v>
      </c>
      <c r="K468" s="25">
        <v>16645</v>
      </c>
      <c r="L468" s="4">
        <v>140</v>
      </c>
      <c r="M468" s="4">
        <v>237934</v>
      </c>
      <c r="N468" s="4">
        <v>0</v>
      </c>
      <c r="O468" s="4">
        <v>0</v>
      </c>
      <c r="P468" s="4">
        <v>0</v>
      </c>
      <c r="Q468" s="3">
        <v>0</v>
      </c>
      <c r="R468" s="29">
        <v>237934</v>
      </c>
      <c r="S468" s="29">
        <v>3000</v>
      </c>
      <c r="T468" s="29">
        <f t="shared" si="28"/>
        <v>240934</v>
      </c>
    </row>
    <row r="469" spans="1:20" ht="21" customHeight="1" x14ac:dyDescent="0.25">
      <c r="A469" s="21">
        <v>105</v>
      </c>
      <c r="B469" s="25" t="s">
        <v>1334</v>
      </c>
      <c r="C469" s="24" t="s">
        <v>1335</v>
      </c>
      <c r="D469" s="24" t="s">
        <v>23</v>
      </c>
      <c r="E469" s="45" t="s">
        <v>1336</v>
      </c>
      <c r="F469" s="25" t="s">
        <v>25</v>
      </c>
      <c r="G469" s="4">
        <v>3500</v>
      </c>
      <c r="H469" s="25" t="s">
        <v>26</v>
      </c>
      <c r="I469" s="25" t="s">
        <v>1337</v>
      </c>
      <c r="J469" s="25">
        <v>5056</v>
      </c>
      <c r="K469" s="25">
        <v>5963</v>
      </c>
      <c r="L469" s="4">
        <v>907</v>
      </c>
      <c r="M469" s="4">
        <v>1541474</v>
      </c>
      <c r="N469" s="4">
        <v>0</v>
      </c>
      <c r="O469" s="4">
        <v>0</v>
      </c>
      <c r="P469" s="4">
        <v>0</v>
      </c>
      <c r="Q469" s="3">
        <v>0</v>
      </c>
      <c r="R469" s="29">
        <v>1541474</v>
      </c>
      <c r="S469" s="29">
        <v>3000</v>
      </c>
      <c r="T469" s="29">
        <f t="shared" si="28"/>
        <v>1544474</v>
      </c>
    </row>
    <row r="470" spans="1:20" ht="21" customHeight="1" x14ac:dyDescent="0.25">
      <c r="A470" s="21">
        <v>106</v>
      </c>
      <c r="B470" s="25" t="s">
        <v>1338</v>
      </c>
      <c r="C470" s="24" t="s">
        <v>1339</v>
      </c>
      <c r="D470" s="24" t="s">
        <v>23</v>
      </c>
      <c r="E470" s="45" t="s">
        <v>1340</v>
      </c>
      <c r="F470" s="25" t="s">
        <v>25</v>
      </c>
      <c r="G470" s="4">
        <v>5500</v>
      </c>
      <c r="H470" s="25" t="s">
        <v>26</v>
      </c>
      <c r="I470" s="25" t="s">
        <v>1341</v>
      </c>
      <c r="J470" s="25">
        <v>36402</v>
      </c>
      <c r="K470" s="25">
        <v>37294</v>
      </c>
      <c r="L470" s="4">
        <v>892</v>
      </c>
      <c r="M470" s="4">
        <v>1515981</v>
      </c>
      <c r="N470" s="4">
        <v>0</v>
      </c>
      <c r="O470" s="4">
        <v>0</v>
      </c>
      <c r="P470" s="4">
        <v>0</v>
      </c>
      <c r="Q470" s="3">
        <v>0</v>
      </c>
      <c r="R470" s="29">
        <v>1515981</v>
      </c>
      <c r="S470" s="29">
        <v>3000</v>
      </c>
      <c r="T470" s="29">
        <f t="shared" si="28"/>
        <v>1518981</v>
      </c>
    </row>
    <row r="471" spans="1:20" ht="21" customHeight="1" x14ac:dyDescent="0.25">
      <c r="A471" s="21">
        <v>107</v>
      </c>
      <c r="B471" s="25" t="s">
        <v>1342</v>
      </c>
      <c r="C471" s="24" t="s">
        <v>1343</v>
      </c>
      <c r="D471" s="24" t="s">
        <v>23</v>
      </c>
      <c r="E471" s="45" t="s">
        <v>1344</v>
      </c>
      <c r="F471" s="25" t="s">
        <v>25</v>
      </c>
      <c r="G471" s="4">
        <v>7700</v>
      </c>
      <c r="H471" s="25" t="s">
        <v>26</v>
      </c>
      <c r="I471" s="25" t="s">
        <v>1345</v>
      </c>
      <c r="J471" s="25">
        <v>73788</v>
      </c>
      <c r="K471" s="25">
        <v>75561</v>
      </c>
      <c r="L471" s="4">
        <v>1773</v>
      </c>
      <c r="M471" s="4">
        <v>3013267</v>
      </c>
      <c r="N471" s="4">
        <v>0</v>
      </c>
      <c r="O471" s="4">
        <v>0</v>
      </c>
      <c r="P471" s="4">
        <v>0</v>
      </c>
      <c r="Q471" s="3">
        <v>0</v>
      </c>
      <c r="R471" s="29">
        <v>3013267</v>
      </c>
      <c r="S471" s="29">
        <v>3000</v>
      </c>
      <c r="T471" s="29">
        <f t="shared" si="28"/>
        <v>3016267</v>
      </c>
    </row>
    <row r="472" spans="1:20" ht="21" customHeight="1" x14ac:dyDescent="0.25">
      <c r="A472" s="21">
        <v>108</v>
      </c>
      <c r="B472" s="25" t="s">
        <v>1346</v>
      </c>
      <c r="C472" s="24" t="s">
        <v>1347</v>
      </c>
      <c r="D472" s="24" t="s">
        <v>23</v>
      </c>
      <c r="E472" s="45" t="s">
        <v>1348</v>
      </c>
      <c r="F472" s="25" t="s">
        <v>25</v>
      </c>
      <c r="G472" s="4">
        <v>5500</v>
      </c>
      <c r="H472" s="25" t="s">
        <v>26</v>
      </c>
      <c r="I472" s="25" t="s">
        <v>1349</v>
      </c>
      <c r="J472" s="25">
        <v>12260</v>
      </c>
      <c r="K472" s="25">
        <v>12929</v>
      </c>
      <c r="L472" s="4">
        <v>669</v>
      </c>
      <c r="M472" s="4">
        <v>1136986</v>
      </c>
      <c r="N472" s="4">
        <v>0</v>
      </c>
      <c r="O472" s="4">
        <v>0</v>
      </c>
      <c r="P472" s="4">
        <v>0</v>
      </c>
      <c r="Q472" s="3">
        <v>0</v>
      </c>
      <c r="R472" s="29">
        <v>1136986</v>
      </c>
      <c r="S472" s="29">
        <v>3000</v>
      </c>
      <c r="T472" s="29">
        <f t="shared" si="28"/>
        <v>1139986</v>
      </c>
    </row>
    <row r="473" spans="1:20" ht="21" customHeight="1" x14ac:dyDescent="0.25">
      <c r="A473" s="21">
        <v>109</v>
      </c>
      <c r="B473" s="25" t="s">
        <v>1350</v>
      </c>
      <c r="C473" s="24" t="s">
        <v>1351</v>
      </c>
      <c r="D473" s="24" t="s">
        <v>84</v>
      </c>
      <c r="E473" s="45" t="s">
        <v>1352</v>
      </c>
      <c r="F473" s="25" t="s">
        <v>25</v>
      </c>
      <c r="G473" s="4">
        <v>3500</v>
      </c>
      <c r="H473" s="25" t="s">
        <v>26</v>
      </c>
      <c r="I473" s="25" t="s">
        <v>1353</v>
      </c>
      <c r="J473" s="25">
        <v>15497</v>
      </c>
      <c r="K473" s="25">
        <v>17083</v>
      </c>
      <c r="L473" s="4">
        <v>1586</v>
      </c>
      <c r="M473" s="4">
        <v>2695455</v>
      </c>
      <c r="N473" s="4">
        <v>0</v>
      </c>
      <c r="O473" s="4">
        <v>0</v>
      </c>
      <c r="P473" s="4">
        <v>0</v>
      </c>
      <c r="Q473" s="3">
        <v>0</v>
      </c>
      <c r="R473" s="29">
        <v>2695455</v>
      </c>
      <c r="S473" s="29">
        <v>3000</v>
      </c>
      <c r="T473" s="29">
        <f t="shared" si="28"/>
        <v>2698455</v>
      </c>
    </row>
    <row r="474" spans="1:20" ht="21" customHeight="1" x14ac:dyDescent="0.25">
      <c r="A474" s="21">
        <v>110</v>
      </c>
      <c r="B474" s="25" t="s">
        <v>1354</v>
      </c>
      <c r="C474" s="24" t="s">
        <v>1355</v>
      </c>
      <c r="D474" s="24" t="s">
        <v>23</v>
      </c>
      <c r="E474" s="45" t="s">
        <v>1289</v>
      </c>
      <c r="F474" s="25" t="s">
        <v>25</v>
      </c>
      <c r="G474" s="4">
        <v>2200</v>
      </c>
      <c r="H474" s="25" t="s">
        <v>26</v>
      </c>
      <c r="I474" s="25" t="s">
        <v>1356</v>
      </c>
      <c r="J474" s="25">
        <v>388</v>
      </c>
      <c r="K474" s="25">
        <v>514</v>
      </c>
      <c r="L474" s="4">
        <v>126</v>
      </c>
      <c r="M474" s="4">
        <v>214141</v>
      </c>
      <c r="N474" s="4">
        <v>0</v>
      </c>
      <c r="O474" s="4">
        <v>0</v>
      </c>
      <c r="P474" s="4">
        <v>0</v>
      </c>
      <c r="Q474" s="3">
        <v>0</v>
      </c>
      <c r="R474" s="29">
        <v>214141</v>
      </c>
      <c r="S474" s="29">
        <v>3000</v>
      </c>
      <c r="T474" s="29">
        <f t="shared" si="28"/>
        <v>217141</v>
      </c>
    </row>
    <row r="475" spans="1:20" ht="21" customHeight="1" x14ac:dyDescent="0.25">
      <c r="A475" s="21">
        <v>111</v>
      </c>
      <c r="B475" s="25" t="s">
        <v>1357</v>
      </c>
      <c r="C475" s="24" t="s">
        <v>1358</v>
      </c>
      <c r="D475" s="24" t="s">
        <v>30</v>
      </c>
      <c r="E475" s="45" t="s">
        <v>1359</v>
      </c>
      <c r="F475" s="25" t="s">
        <v>25</v>
      </c>
      <c r="G475" s="4">
        <v>7700</v>
      </c>
      <c r="H475" s="25" t="s">
        <v>26</v>
      </c>
      <c r="I475" s="25" t="s">
        <v>1360</v>
      </c>
      <c r="J475" s="25">
        <v>9659</v>
      </c>
      <c r="K475" s="25">
        <v>11224</v>
      </c>
      <c r="L475" s="4">
        <v>1565</v>
      </c>
      <c r="M475" s="4">
        <v>2659764</v>
      </c>
      <c r="N475" s="4">
        <v>0</v>
      </c>
      <c r="O475" s="4">
        <v>0</v>
      </c>
      <c r="P475" s="4">
        <v>0</v>
      </c>
      <c r="Q475" s="3">
        <v>0</v>
      </c>
      <c r="R475" s="29">
        <v>2659764</v>
      </c>
      <c r="S475" s="29">
        <v>3000</v>
      </c>
      <c r="T475" s="29">
        <f t="shared" si="28"/>
        <v>2662764</v>
      </c>
    </row>
    <row r="476" spans="1:20" ht="21" customHeight="1" x14ac:dyDescent="0.25">
      <c r="A476" s="21">
        <v>112</v>
      </c>
      <c r="B476" s="25" t="s">
        <v>1361</v>
      </c>
      <c r="C476" s="24" t="s">
        <v>1362</v>
      </c>
      <c r="D476" s="24" t="s">
        <v>30</v>
      </c>
      <c r="E476" s="45" t="s">
        <v>1363</v>
      </c>
      <c r="F476" s="25" t="s">
        <v>25</v>
      </c>
      <c r="G476" s="4">
        <v>7700</v>
      </c>
      <c r="H476" s="25" t="s">
        <v>26</v>
      </c>
      <c r="I476" s="25" t="s">
        <v>1364</v>
      </c>
      <c r="J476" s="25">
        <v>4522</v>
      </c>
      <c r="K476" s="25">
        <v>6502</v>
      </c>
      <c r="L476" s="4">
        <v>1980</v>
      </c>
      <c r="M476" s="4">
        <v>3365069</v>
      </c>
      <c r="N476" s="4">
        <v>0</v>
      </c>
      <c r="O476" s="4">
        <v>0</v>
      </c>
      <c r="P476" s="4">
        <v>0</v>
      </c>
      <c r="Q476" s="3">
        <v>0</v>
      </c>
      <c r="R476" s="29">
        <v>3365069</v>
      </c>
      <c r="S476" s="29">
        <v>3000</v>
      </c>
      <c r="T476" s="29">
        <f t="shared" si="28"/>
        <v>3368069</v>
      </c>
    </row>
    <row r="477" spans="1:20" ht="21" customHeight="1" x14ac:dyDescent="0.25">
      <c r="A477" s="21">
        <v>113</v>
      </c>
      <c r="B477" s="25" t="s">
        <v>1365</v>
      </c>
      <c r="C477" s="24" t="s">
        <v>1366</v>
      </c>
      <c r="D477" s="24" t="s">
        <v>23</v>
      </c>
      <c r="E477" s="45" t="s">
        <v>1367</v>
      </c>
      <c r="F477" s="25" t="s">
        <v>25</v>
      </c>
      <c r="G477" s="4">
        <v>3500</v>
      </c>
      <c r="H477" s="25" t="s">
        <v>26</v>
      </c>
      <c r="I477" s="25" t="s">
        <v>1368</v>
      </c>
      <c r="J477" s="25">
        <v>33216</v>
      </c>
      <c r="K477" s="25">
        <v>34267</v>
      </c>
      <c r="L477" s="4">
        <v>1051</v>
      </c>
      <c r="M477" s="4">
        <v>1786206</v>
      </c>
      <c r="N477" s="4">
        <v>0</v>
      </c>
      <c r="O477" s="4">
        <v>0</v>
      </c>
      <c r="P477" s="4">
        <v>0</v>
      </c>
      <c r="Q477" s="3">
        <v>0</v>
      </c>
      <c r="R477" s="29">
        <v>1786206</v>
      </c>
      <c r="S477" s="29">
        <v>3000</v>
      </c>
      <c r="T477" s="29">
        <f t="shared" si="28"/>
        <v>1789206</v>
      </c>
    </row>
    <row r="478" spans="1:20" ht="21" customHeight="1" x14ac:dyDescent="0.25">
      <c r="A478" s="21">
        <v>114</v>
      </c>
      <c r="B478" s="25" t="s">
        <v>1369</v>
      </c>
      <c r="C478" s="24" t="s">
        <v>1370</v>
      </c>
      <c r="D478" s="24" t="s">
        <v>23</v>
      </c>
      <c r="E478" s="45" t="s">
        <v>1371</v>
      </c>
      <c r="F478" s="25" t="s">
        <v>25</v>
      </c>
      <c r="G478" s="4">
        <v>7700</v>
      </c>
      <c r="H478" s="25" t="s">
        <v>26</v>
      </c>
      <c r="I478" s="25" t="s">
        <v>1372</v>
      </c>
      <c r="J478" s="25">
        <v>33901</v>
      </c>
      <c r="K478" s="25">
        <v>34284</v>
      </c>
      <c r="L478" s="4">
        <v>383</v>
      </c>
      <c r="M478" s="4">
        <v>650920</v>
      </c>
      <c r="N478" s="4">
        <v>0</v>
      </c>
      <c r="O478" s="4">
        <v>0</v>
      </c>
      <c r="P478" s="4">
        <v>0</v>
      </c>
      <c r="Q478" s="3">
        <v>0</v>
      </c>
      <c r="R478" s="29">
        <v>650920</v>
      </c>
      <c r="S478" s="29">
        <v>3000</v>
      </c>
      <c r="T478" s="29">
        <f t="shared" si="28"/>
        <v>653920</v>
      </c>
    </row>
    <row r="479" spans="1:20" ht="21" customHeight="1" x14ac:dyDescent="0.25">
      <c r="A479" s="21">
        <v>115</v>
      </c>
      <c r="B479" s="25" t="s">
        <v>1373</v>
      </c>
      <c r="C479" s="24" t="s">
        <v>1374</v>
      </c>
      <c r="D479" s="24" t="s">
        <v>23</v>
      </c>
      <c r="E479" s="45" t="s">
        <v>1375</v>
      </c>
      <c r="F479" s="25" t="s">
        <v>25</v>
      </c>
      <c r="G479" s="4">
        <v>3500</v>
      </c>
      <c r="H479" s="25" t="s">
        <v>26</v>
      </c>
      <c r="I479" s="25" t="s">
        <v>1376</v>
      </c>
      <c r="J479" s="25">
        <v>31737</v>
      </c>
      <c r="K479" s="25">
        <v>32966</v>
      </c>
      <c r="L479" s="4">
        <v>1229</v>
      </c>
      <c r="M479" s="4">
        <v>2088722</v>
      </c>
      <c r="N479" s="4">
        <v>0</v>
      </c>
      <c r="O479" s="4">
        <v>0</v>
      </c>
      <c r="P479" s="4">
        <v>0</v>
      </c>
      <c r="Q479" s="3">
        <v>0</v>
      </c>
      <c r="R479" s="29">
        <v>2088722</v>
      </c>
      <c r="S479" s="29">
        <v>3000</v>
      </c>
      <c r="T479" s="29">
        <f t="shared" si="28"/>
        <v>2091722</v>
      </c>
    </row>
    <row r="480" spans="1:20" ht="21" customHeight="1" x14ac:dyDescent="0.25">
      <c r="A480" s="21">
        <v>116</v>
      </c>
      <c r="B480" s="25" t="s">
        <v>1377</v>
      </c>
      <c r="C480" s="24" t="s">
        <v>1378</v>
      </c>
      <c r="D480" s="24" t="s">
        <v>23</v>
      </c>
      <c r="E480" s="45" t="s">
        <v>1379</v>
      </c>
      <c r="F480" s="25" t="s">
        <v>25</v>
      </c>
      <c r="G480" s="4">
        <v>3500</v>
      </c>
      <c r="H480" s="25" t="s">
        <v>26</v>
      </c>
      <c r="I480" s="25" t="s">
        <v>1380</v>
      </c>
      <c r="J480" s="25">
        <v>53234</v>
      </c>
      <c r="K480" s="25">
        <v>53847</v>
      </c>
      <c r="L480" s="4">
        <v>613</v>
      </c>
      <c r="M480" s="4">
        <v>1041812</v>
      </c>
      <c r="N480" s="4">
        <v>0</v>
      </c>
      <c r="O480" s="4">
        <v>0</v>
      </c>
      <c r="P480" s="4">
        <v>0</v>
      </c>
      <c r="Q480" s="3">
        <v>0</v>
      </c>
      <c r="R480" s="29">
        <v>1041812</v>
      </c>
      <c r="S480" s="29">
        <v>3000</v>
      </c>
      <c r="T480" s="29">
        <f t="shared" si="28"/>
        <v>1044812</v>
      </c>
    </row>
    <row r="481" spans="1:20" ht="21" customHeight="1" x14ac:dyDescent="0.25">
      <c r="A481" s="21">
        <v>117</v>
      </c>
      <c r="B481" s="25" t="s">
        <v>1381</v>
      </c>
      <c r="C481" s="24" t="s">
        <v>1382</v>
      </c>
      <c r="D481" s="24" t="s">
        <v>23</v>
      </c>
      <c r="E481" s="45" t="s">
        <v>1383</v>
      </c>
      <c r="F481" s="25" t="s">
        <v>25</v>
      </c>
      <c r="G481" s="4">
        <v>2200</v>
      </c>
      <c r="H481" s="25" t="s">
        <v>26</v>
      </c>
      <c r="I481" s="25" t="s">
        <v>1384</v>
      </c>
      <c r="J481" s="25">
        <v>62625</v>
      </c>
      <c r="K481" s="25">
        <v>63123</v>
      </c>
      <c r="L481" s="4">
        <v>498</v>
      </c>
      <c r="M481" s="4">
        <v>846366</v>
      </c>
      <c r="N481" s="4">
        <v>0</v>
      </c>
      <c r="O481" s="4">
        <v>0</v>
      </c>
      <c r="P481" s="4">
        <v>0</v>
      </c>
      <c r="Q481" s="3">
        <v>0</v>
      </c>
      <c r="R481" s="29">
        <v>846366</v>
      </c>
      <c r="S481" s="29">
        <v>3000</v>
      </c>
      <c r="T481" s="29">
        <f t="shared" si="28"/>
        <v>849366</v>
      </c>
    </row>
    <row r="482" spans="1:20" ht="21" customHeight="1" x14ac:dyDescent="0.25">
      <c r="A482" s="21">
        <v>118</v>
      </c>
      <c r="B482" s="25" t="s">
        <v>1385</v>
      </c>
      <c r="C482" s="24" t="s">
        <v>1386</v>
      </c>
      <c r="D482" s="24" t="s">
        <v>23</v>
      </c>
      <c r="E482" s="45" t="s">
        <v>1387</v>
      </c>
      <c r="F482" s="25" t="s">
        <v>25</v>
      </c>
      <c r="G482" s="4">
        <v>4400</v>
      </c>
      <c r="H482" s="25" t="s">
        <v>26</v>
      </c>
      <c r="I482" s="25" t="s">
        <v>1388</v>
      </c>
      <c r="J482" s="25">
        <v>58011</v>
      </c>
      <c r="K482" s="25">
        <v>58251</v>
      </c>
      <c r="L482" s="4">
        <v>240</v>
      </c>
      <c r="M482" s="4">
        <v>407887</v>
      </c>
      <c r="N482" s="4">
        <v>0</v>
      </c>
      <c r="O482" s="4">
        <v>0</v>
      </c>
      <c r="P482" s="4">
        <v>0</v>
      </c>
      <c r="Q482" s="3">
        <v>0</v>
      </c>
      <c r="R482" s="29">
        <v>407887</v>
      </c>
      <c r="S482" s="29">
        <v>3000</v>
      </c>
      <c r="T482" s="29">
        <f t="shared" si="28"/>
        <v>410887</v>
      </c>
    </row>
    <row r="483" spans="1:20" ht="21" customHeight="1" x14ac:dyDescent="0.25">
      <c r="A483" s="21">
        <v>119</v>
      </c>
      <c r="B483" s="25" t="s">
        <v>1389</v>
      </c>
      <c r="C483" s="24" t="s">
        <v>1390</v>
      </c>
      <c r="D483" s="24" t="s">
        <v>23</v>
      </c>
      <c r="E483" s="45" t="s">
        <v>1391</v>
      </c>
      <c r="F483" s="25" t="s">
        <v>25</v>
      </c>
      <c r="G483" s="4">
        <v>4400</v>
      </c>
      <c r="H483" s="25" t="s">
        <v>26</v>
      </c>
      <c r="I483" s="25" t="s">
        <v>1392</v>
      </c>
      <c r="J483" s="25">
        <v>35344</v>
      </c>
      <c r="K483" s="25">
        <v>36124</v>
      </c>
      <c r="L483" s="4">
        <v>780</v>
      </c>
      <c r="M483" s="4">
        <v>1325633</v>
      </c>
      <c r="N483" s="4">
        <v>0</v>
      </c>
      <c r="O483" s="4">
        <v>0</v>
      </c>
      <c r="P483" s="4">
        <v>0</v>
      </c>
      <c r="Q483" s="3">
        <v>0</v>
      </c>
      <c r="R483" s="29">
        <v>1325633</v>
      </c>
      <c r="S483" s="29">
        <v>3000</v>
      </c>
      <c r="T483" s="29">
        <f t="shared" si="28"/>
        <v>1328633</v>
      </c>
    </row>
    <row r="484" spans="1:20" ht="21" customHeight="1" x14ac:dyDescent="0.25">
      <c r="A484" s="21">
        <v>120</v>
      </c>
      <c r="B484" s="25" t="s">
        <v>1393</v>
      </c>
      <c r="C484" s="24" t="s">
        <v>1394</v>
      </c>
      <c r="D484" s="24" t="s">
        <v>23</v>
      </c>
      <c r="E484" s="45" t="s">
        <v>1395</v>
      </c>
      <c r="F484" s="25" t="s">
        <v>25</v>
      </c>
      <c r="G484" s="4">
        <v>4400</v>
      </c>
      <c r="H484" s="25" t="s">
        <v>26</v>
      </c>
      <c r="I484" s="25" t="s">
        <v>1396</v>
      </c>
      <c r="J484" s="25">
        <v>5012</v>
      </c>
      <c r="K484" s="25">
        <v>5084</v>
      </c>
      <c r="L484" s="4">
        <v>176</v>
      </c>
      <c r="M484" s="4">
        <v>299117</v>
      </c>
      <c r="N484" s="4">
        <v>0</v>
      </c>
      <c r="O484" s="4">
        <v>0</v>
      </c>
      <c r="P484" s="4">
        <v>0</v>
      </c>
      <c r="Q484" s="3">
        <v>0</v>
      </c>
      <c r="R484" s="29">
        <v>299117</v>
      </c>
      <c r="S484" s="29">
        <v>3000</v>
      </c>
      <c r="T484" s="29">
        <f t="shared" si="28"/>
        <v>302117</v>
      </c>
    </row>
    <row r="485" spans="1:20" s="35" customFormat="1" ht="21" customHeight="1" x14ac:dyDescent="0.25">
      <c r="A485" s="24"/>
      <c r="B485" s="25"/>
      <c r="C485" s="24"/>
      <c r="D485" s="24"/>
      <c r="E485" s="24"/>
      <c r="F485" s="25"/>
      <c r="G485" s="25"/>
      <c r="H485" s="25"/>
      <c r="I485" s="25" t="s">
        <v>0</v>
      </c>
      <c r="J485" s="25"/>
      <c r="K485" s="25"/>
      <c r="L485" s="28" t="s">
        <v>0</v>
      </c>
      <c r="M485" s="29"/>
      <c r="N485" s="48"/>
      <c r="O485" s="48"/>
      <c r="P485" s="48"/>
      <c r="Q485" s="47"/>
      <c r="R485" s="29"/>
      <c r="S485" s="29"/>
      <c r="T485" s="29"/>
    </row>
    <row r="486" spans="1:20" ht="36" customHeight="1" x14ac:dyDescent="0.25">
      <c r="A486" s="44" t="s">
        <v>179</v>
      </c>
      <c r="B486" s="20"/>
      <c r="C486" s="20"/>
      <c r="D486" s="20"/>
      <c r="E486" s="20"/>
      <c r="F486" s="20"/>
      <c r="G486" s="70">
        <v>571300</v>
      </c>
      <c r="H486" s="70">
        <v>0</v>
      </c>
      <c r="I486" s="70">
        <v>0</v>
      </c>
      <c r="J486" s="70"/>
      <c r="K486" s="70"/>
      <c r="L486" s="70">
        <v>103410</v>
      </c>
      <c r="M486" s="70">
        <v>175748395</v>
      </c>
      <c r="N486" s="70">
        <v>0</v>
      </c>
      <c r="O486" s="70">
        <v>0</v>
      </c>
      <c r="P486" s="70">
        <v>0</v>
      </c>
      <c r="Q486" s="152">
        <f>SUM(Q443:Q485)</f>
        <v>0</v>
      </c>
      <c r="R486" s="152">
        <f t="shared" ref="R486:T486" si="29">SUM(R443:R485)</f>
        <v>175748395</v>
      </c>
      <c r="S486" s="152">
        <f t="shared" si="29"/>
        <v>360000</v>
      </c>
      <c r="T486" s="152">
        <f t="shared" si="29"/>
        <v>176108395</v>
      </c>
    </row>
    <row r="487" spans="1:20" ht="21" customHeight="1" x14ac:dyDescent="0.25">
      <c r="L487" s="41"/>
    </row>
    <row r="488" spans="1:20" ht="21" customHeight="1" x14ac:dyDescent="0.25">
      <c r="C488" s="13" t="s">
        <v>180</v>
      </c>
      <c r="D488" s="90"/>
      <c r="E488" s="13" t="s">
        <v>180</v>
      </c>
      <c r="L488" s="41"/>
    </row>
    <row r="489" spans="1:20" s="93" customFormat="1" ht="42" customHeight="1" x14ac:dyDescent="0.25">
      <c r="A489" s="31" t="s">
        <v>4</v>
      </c>
      <c r="B489" s="31" t="s">
        <v>5</v>
      </c>
      <c r="C489" s="31" t="s">
        <v>6</v>
      </c>
      <c r="D489" s="22"/>
      <c r="E489" s="31" t="s">
        <v>7</v>
      </c>
      <c r="F489" s="31" t="s">
        <v>8</v>
      </c>
      <c r="G489" s="31" t="s">
        <v>9</v>
      </c>
      <c r="H489" s="31" t="s">
        <v>10</v>
      </c>
      <c r="I489" s="31" t="s">
        <v>11</v>
      </c>
      <c r="J489" s="31" t="s">
        <v>12</v>
      </c>
      <c r="K489" s="31" t="s">
        <v>13</v>
      </c>
      <c r="L489" s="31" t="s">
        <v>14</v>
      </c>
      <c r="M489" s="141" t="s">
        <v>15</v>
      </c>
      <c r="N489" s="142" t="s">
        <v>16</v>
      </c>
      <c r="O489" s="142" t="s">
        <v>17</v>
      </c>
      <c r="P489" s="142" t="s">
        <v>18</v>
      </c>
      <c r="Q489" s="141" t="s">
        <v>19</v>
      </c>
      <c r="R489" s="141" t="s">
        <v>20</v>
      </c>
      <c r="S489" s="141" t="s">
        <v>3655</v>
      </c>
      <c r="T489" s="141" t="s">
        <v>3656</v>
      </c>
    </row>
    <row r="490" spans="1:20" ht="21" customHeight="1" x14ac:dyDescent="0.25">
      <c r="A490" s="44"/>
      <c r="B490" s="20"/>
      <c r="C490" s="25"/>
      <c r="D490" s="25"/>
      <c r="E490" s="25"/>
      <c r="F490" s="25"/>
      <c r="G490" s="25"/>
      <c r="H490" s="25"/>
      <c r="I490" s="25" t="s">
        <v>0</v>
      </c>
      <c r="J490" s="25"/>
      <c r="K490" s="25"/>
      <c r="L490" s="28" t="s">
        <v>0</v>
      </c>
      <c r="M490" s="29"/>
      <c r="N490" s="30"/>
      <c r="O490" s="30"/>
      <c r="P490" s="30"/>
      <c r="Q490" s="29"/>
      <c r="R490" s="29"/>
      <c r="S490" s="29"/>
      <c r="T490" s="29"/>
    </row>
    <row r="491" spans="1:20" ht="21" customHeight="1" x14ac:dyDescent="0.25">
      <c r="A491" s="44"/>
      <c r="B491" s="20"/>
      <c r="C491" s="25"/>
      <c r="D491" s="25"/>
      <c r="E491" s="45" t="s">
        <v>181</v>
      </c>
      <c r="F491" s="25"/>
      <c r="G491" s="70">
        <v>571300</v>
      </c>
      <c r="H491" s="70">
        <v>0</v>
      </c>
      <c r="I491" s="70">
        <v>0</v>
      </c>
      <c r="J491" s="70"/>
      <c r="K491" s="70"/>
      <c r="L491" s="70">
        <v>103410</v>
      </c>
      <c r="M491" s="72">
        <v>175748395</v>
      </c>
      <c r="N491" s="73">
        <v>0</v>
      </c>
      <c r="O491" s="73">
        <v>0</v>
      </c>
      <c r="P491" s="73">
        <v>0</v>
      </c>
      <c r="Q491" s="72">
        <f>Q486</f>
        <v>0</v>
      </c>
      <c r="R491" s="72">
        <f t="shared" ref="R491:T491" si="30">R486</f>
        <v>175748395</v>
      </c>
      <c r="S491" s="72">
        <f t="shared" si="30"/>
        <v>360000</v>
      </c>
      <c r="T491" s="72">
        <f t="shared" si="30"/>
        <v>176108395</v>
      </c>
    </row>
    <row r="492" spans="1:20" ht="21" customHeight="1" x14ac:dyDescent="0.25">
      <c r="A492" s="21">
        <v>121</v>
      </c>
      <c r="B492" s="7" t="s">
        <v>1397</v>
      </c>
      <c r="C492" s="2" t="s">
        <v>1398</v>
      </c>
      <c r="D492" s="23" t="s">
        <v>23</v>
      </c>
      <c r="E492" s="24" t="s">
        <v>1399</v>
      </c>
      <c r="F492" s="25" t="s">
        <v>25</v>
      </c>
      <c r="G492" s="26">
        <v>2200</v>
      </c>
      <c r="H492" s="91" t="s">
        <v>26</v>
      </c>
      <c r="I492" s="25" t="s">
        <v>1400</v>
      </c>
      <c r="J492" s="1">
        <v>7725</v>
      </c>
      <c r="K492" s="1">
        <v>8039</v>
      </c>
      <c r="L492" s="28">
        <v>314</v>
      </c>
      <c r="M492" s="29">
        <v>533652</v>
      </c>
      <c r="N492" s="30">
        <v>0</v>
      </c>
      <c r="O492" s="30">
        <v>0</v>
      </c>
      <c r="P492" s="30">
        <v>0</v>
      </c>
      <c r="Q492" s="29">
        <v>0</v>
      </c>
      <c r="R492" s="29">
        <v>533652</v>
      </c>
      <c r="S492" s="29">
        <v>3000</v>
      </c>
      <c r="T492" s="29">
        <f t="shared" ref="T492:T531" si="31">R492+S492</f>
        <v>536652</v>
      </c>
    </row>
    <row r="493" spans="1:20" ht="21" customHeight="1" x14ac:dyDescent="0.25">
      <c r="A493" s="21">
        <v>122</v>
      </c>
      <c r="B493" s="7" t="s">
        <v>1401</v>
      </c>
      <c r="C493" s="2" t="s">
        <v>1402</v>
      </c>
      <c r="D493" s="23" t="s">
        <v>23</v>
      </c>
      <c r="E493" s="24" t="s">
        <v>1403</v>
      </c>
      <c r="F493" s="25" t="s">
        <v>25</v>
      </c>
      <c r="G493" s="26">
        <v>3500</v>
      </c>
      <c r="H493" s="91" t="s">
        <v>26</v>
      </c>
      <c r="I493" s="25" t="s">
        <v>1404</v>
      </c>
      <c r="J493" s="1">
        <v>28815</v>
      </c>
      <c r="K493" s="1">
        <v>28815</v>
      </c>
      <c r="L493" s="28">
        <v>140</v>
      </c>
      <c r="M493" s="29">
        <v>237934</v>
      </c>
      <c r="N493" s="30">
        <v>0</v>
      </c>
      <c r="O493" s="30">
        <v>0</v>
      </c>
      <c r="P493" s="30">
        <v>0</v>
      </c>
      <c r="Q493" s="29">
        <v>0</v>
      </c>
      <c r="R493" s="29">
        <v>237934</v>
      </c>
      <c r="S493" s="29">
        <v>3000</v>
      </c>
      <c r="T493" s="29">
        <f t="shared" si="31"/>
        <v>240934</v>
      </c>
    </row>
    <row r="494" spans="1:20" ht="21" customHeight="1" x14ac:dyDescent="0.25">
      <c r="A494" s="21">
        <v>123</v>
      </c>
      <c r="B494" s="7" t="s">
        <v>1405</v>
      </c>
      <c r="C494" s="2" t="s">
        <v>1406</v>
      </c>
      <c r="D494" s="23" t="s">
        <v>23</v>
      </c>
      <c r="E494" s="24" t="s">
        <v>1407</v>
      </c>
      <c r="F494" s="25" t="s">
        <v>25</v>
      </c>
      <c r="G494" s="26">
        <v>3500</v>
      </c>
      <c r="H494" s="91" t="s">
        <v>26</v>
      </c>
      <c r="I494" s="25" t="s">
        <v>1408</v>
      </c>
      <c r="J494" s="1">
        <v>27065</v>
      </c>
      <c r="K494" s="1">
        <v>27065</v>
      </c>
      <c r="L494" s="28">
        <v>140</v>
      </c>
      <c r="M494" s="29">
        <v>237934</v>
      </c>
      <c r="N494" s="30">
        <v>0</v>
      </c>
      <c r="O494" s="30">
        <v>0</v>
      </c>
      <c r="P494" s="30">
        <v>0</v>
      </c>
      <c r="Q494" s="29">
        <v>0</v>
      </c>
      <c r="R494" s="29">
        <v>237934</v>
      </c>
      <c r="S494" s="29">
        <v>3000</v>
      </c>
      <c r="T494" s="29">
        <f t="shared" si="31"/>
        <v>240934</v>
      </c>
    </row>
    <row r="495" spans="1:20" ht="21" customHeight="1" x14ac:dyDescent="0.25">
      <c r="A495" s="21">
        <v>124</v>
      </c>
      <c r="B495" s="7" t="s">
        <v>1409</v>
      </c>
      <c r="C495" s="2" t="s">
        <v>1410</v>
      </c>
      <c r="D495" s="23" t="s">
        <v>84</v>
      </c>
      <c r="E495" s="24" t="s">
        <v>1411</v>
      </c>
      <c r="F495" s="25" t="s">
        <v>25</v>
      </c>
      <c r="G495" s="26">
        <v>5500</v>
      </c>
      <c r="H495" s="91" t="s">
        <v>26</v>
      </c>
      <c r="I495" s="25" t="s">
        <v>1412</v>
      </c>
      <c r="J495" s="1">
        <v>556</v>
      </c>
      <c r="K495" s="1">
        <v>1817</v>
      </c>
      <c r="L495" s="28">
        <v>1261</v>
      </c>
      <c r="M495" s="29">
        <v>2143107</v>
      </c>
      <c r="N495" s="30">
        <v>0</v>
      </c>
      <c r="O495" s="30">
        <v>0</v>
      </c>
      <c r="P495" s="30">
        <v>0</v>
      </c>
      <c r="Q495" s="29">
        <v>0</v>
      </c>
      <c r="R495" s="29">
        <v>2143107</v>
      </c>
      <c r="S495" s="29">
        <v>3000</v>
      </c>
      <c r="T495" s="29">
        <f t="shared" si="31"/>
        <v>2146107</v>
      </c>
    </row>
    <row r="496" spans="1:20" ht="21" customHeight="1" x14ac:dyDescent="0.25">
      <c r="A496" s="21">
        <v>125</v>
      </c>
      <c r="B496" s="7" t="s">
        <v>1413</v>
      </c>
      <c r="C496" s="2" t="s">
        <v>1414</v>
      </c>
      <c r="D496" s="23" t="s">
        <v>23</v>
      </c>
      <c r="E496" s="24" t="s">
        <v>1266</v>
      </c>
      <c r="F496" s="25" t="s">
        <v>25</v>
      </c>
      <c r="G496" s="26">
        <v>7700</v>
      </c>
      <c r="H496" s="91" t="s">
        <v>26</v>
      </c>
      <c r="I496" s="25" t="s">
        <v>1415</v>
      </c>
      <c r="J496" s="1">
        <v>48584</v>
      </c>
      <c r="K496" s="1">
        <v>49842</v>
      </c>
      <c r="L496" s="28">
        <v>1258</v>
      </c>
      <c r="M496" s="29">
        <v>2138009</v>
      </c>
      <c r="N496" s="30">
        <v>0</v>
      </c>
      <c r="O496" s="30">
        <v>0</v>
      </c>
      <c r="P496" s="30">
        <v>0</v>
      </c>
      <c r="Q496" s="29">
        <v>0</v>
      </c>
      <c r="R496" s="29">
        <v>2138009</v>
      </c>
      <c r="S496" s="29">
        <v>3000</v>
      </c>
      <c r="T496" s="29">
        <f t="shared" si="31"/>
        <v>2141009</v>
      </c>
    </row>
    <row r="497" spans="1:20" ht="21" customHeight="1" x14ac:dyDescent="0.25">
      <c r="A497" s="21">
        <v>126</v>
      </c>
      <c r="B497" s="7" t="s">
        <v>1416</v>
      </c>
      <c r="C497" s="2" t="s">
        <v>1417</v>
      </c>
      <c r="D497" s="23" t="s">
        <v>84</v>
      </c>
      <c r="E497" s="24" t="s">
        <v>1418</v>
      </c>
      <c r="F497" s="25" t="s">
        <v>25</v>
      </c>
      <c r="G497" s="26">
        <v>2200</v>
      </c>
      <c r="H497" s="91" t="s">
        <v>26</v>
      </c>
      <c r="I497" s="25" t="s">
        <v>1419</v>
      </c>
      <c r="J497" s="1">
        <v>76862</v>
      </c>
      <c r="K497" s="1">
        <v>77271</v>
      </c>
      <c r="L497" s="28">
        <v>409</v>
      </c>
      <c r="M497" s="29">
        <v>695108</v>
      </c>
      <c r="N497" s="30">
        <v>0</v>
      </c>
      <c r="O497" s="30">
        <v>0</v>
      </c>
      <c r="P497" s="30">
        <v>0</v>
      </c>
      <c r="Q497" s="29">
        <v>0</v>
      </c>
      <c r="R497" s="29">
        <v>695108</v>
      </c>
      <c r="S497" s="29">
        <v>3000</v>
      </c>
      <c r="T497" s="29">
        <f t="shared" si="31"/>
        <v>698108</v>
      </c>
    </row>
    <row r="498" spans="1:20" ht="21" customHeight="1" x14ac:dyDescent="0.25">
      <c r="A498" s="21">
        <v>127</v>
      </c>
      <c r="B498" s="7" t="s">
        <v>1420</v>
      </c>
      <c r="C498" s="2" t="s">
        <v>1421</v>
      </c>
      <c r="D498" s="23" t="s">
        <v>23</v>
      </c>
      <c r="E498" s="24" t="s">
        <v>1422</v>
      </c>
      <c r="F498" s="25" t="s">
        <v>25</v>
      </c>
      <c r="G498" s="26">
        <v>3500</v>
      </c>
      <c r="H498" s="91" t="s">
        <v>26</v>
      </c>
      <c r="I498" s="25" t="s">
        <v>1423</v>
      </c>
      <c r="J498" s="1">
        <v>68068</v>
      </c>
      <c r="K498" s="1">
        <v>68465</v>
      </c>
      <c r="L498" s="28">
        <v>397</v>
      </c>
      <c r="M498" s="29">
        <v>674713</v>
      </c>
      <c r="N498" s="30">
        <v>0</v>
      </c>
      <c r="O498" s="30">
        <v>0</v>
      </c>
      <c r="P498" s="30">
        <v>0</v>
      </c>
      <c r="Q498" s="29">
        <v>0</v>
      </c>
      <c r="R498" s="29">
        <v>674713</v>
      </c>
      <c r="S498" s="29">
        <v>3000</v>
      </c>
      <c r="T498" s="29">
        <f t="shared" si="31"/>
        <v>677713</v>
      </c>
    </row>
    <row r="499" spans="1:20" ht="21" customHeight="1" x14ac:dyDescent="0.25">
      <c r="A499" s="21">
        <v>128</v>
      </c>
      <c r="B499" s="7" t="s">
        <v>1424</v>
      </c>
      <c r="C499" s="2" t="s">
        <v>1425</v>
      </c>
      <c r="D499" s="23" t="s">
        <v>23</v>
      </c>
      <c r="E499" s="24" t="s">
        <v>1426</v>
      </c>
      <c r="F499" s="25" t="s">
        <v>25</v>
      </c>
      <c r="G499" s="26">
        <v>3500</v>
      </c>
      <c r="H499" s="91" t="s">
        <v>26</v>
      </c>
      <c r="I499" s="25" t="s">
        <v>1427</v>
      </c>
      <c r="J499" s="1">
        <v>81626</v>
      </c>
      <c r="K499" s="1">
        <v>82860</v>
      </c>
      <c r="L499" s="28">
        <v>1234</v>
      </c>
      <c r="M499" s="29">
        <v>2097220</v>
      </c>
      <c r="N499" s="30">
        <v>0</v>
      </c>
      <c r="O499" s="30">
        <v>0</v>
      </c>
      <c r="P499" s="30">
        <v>0</v>
      </c>
      <c r="Q499" s="29">
        <v>0</v>
      </c>
      <c r="R499" s="29">
        <v>2097220</v>
      </c>
      <c r="S499" s="29">
        <v>3000</v>
      </c>
      <c r="T499" s="29">
        <f t="shared" si="31"/>
        <v>2100220</v>
      </c>
    </row>
    <row r="500" spans="1:20" ht="21" customHeight="1" x14ac:dyDescent="0.25">
      <c r="A500" s="21">
        <v>129</v>
      </c>
      <c r="B500" s="7" t="s">
        <v>1428</v>
      </c>
      <c r="C500" s="2" t="s">
        <v>1429</v>
      </c>
      <c r="D500" s="23" t="s">
        <v>23</v>
      </c>
      <c r="E500" s="24" t="s">
        <v>1430</v>
      </c>
      <c r="F500" s="25" t="s">
        <v>25</v>
      </c>
      <c r="G500" s="26">
        <v>3500</v>
      </c>
      <c r="H500" s="91" t="s">
        <v>26</v>
      </c>
      <c r="I500" s="25" t="s">
        <v>1431</v>
      </c>
      <c r="J500" s="1">
        <v>61040</v>
      </c>
      <c r="K500" s="1">
        <v>62039</v>
      </c>
      <c r="L500" s="28">
        <v>999</v>
      </c>
      <c r="M500" s="29">
        <v>1697830</v>
      </c>
      <c r="N500" s="30">
        <v>0</v>
      </c>
      <c r="O500" s="30">
        <v>0</v>
      </c>
      <c r="P500" s="30">
        <v>0</v>
      </c>
      <c r="Q500" s="29">
        <v>0</v>
      </c>
      <c r="R500" s="29">
        <v>1697830</v>
      </c>
      <c r="S500" s="29">
        <v>3000</v>
      </c>
      <c r="T500" s="29">
        <f t="shared" si="31"/>
        <v>1700830</v>
      </c>
    </row>
    <row r="501" spans="1:20" ht="21" customHeight="1" x14ac:dyDescent="0.25">
      <c r="A501" s="21">
        <v>130</v>
      </c>
      <c r="B501" s="7" t="s">
        <v>1432</v>
      </c>
      <c r="C501" s="2" t="s">
        <v>1433</v>
      </c>
      <c r="D501" s="23" t="s">
        <v>23</v>
      </c>
      <c r="E501" s="24" t="s">
        <v>1434</v>
      </c>
      <c r="F501" s="25" t="s">
        <v>25</v>
      </c>
      <c r="G501" s="26">
        <v>4400</v>
      </c>
      <c r="H501" s="91" t="s">
        <v>26</v>
      </c>
      <c r="I501" s="25" t="s">
        <v>1435</v>
      </c>
      <c r="J501" s="1">
        <v>8851</v>
      </c>
      <c r="K501" s="1">
        <v>10335</v>
      </c>
      <c r="L501" s="28">
        <v>1484</v>
      </c>
      <c r="M501" s="29">
        <v>2522103</v>
      </c>
      <c r="N501" s="30">
        <v>0</v>
      </c>
      <c r="O501" s="30">
        <v>0</v>
      </c>
      <c r="P501" s="30">
        <v>0</v>
      </c>
      <c r="Q501" s="29">
        <v>0</v>
      </c>
      <c r="R501" s="29">
        <v>2522103</v>
      </c>
      <c r="S501" s="29">
        <v>3000</v>
      </c>
      <c r="T501" s="29">
        <f t="shared" si="31"/>
        <v>2525103</v>
      </c>
    </row>
    <row r="502" spans="1:20" ht="21" customHeight="1" x14ac:dyDescent="0.25">
      <c r="A502" s="21">
        <v>131</v>
      </c>
      <c r="B502" s="7" t="s">
        <v>1436</v>
      </c>
      <c r="C502" s="2" t="s">
        <v>1437</v>
      </c>
      <c r="D502" s="23" t="s">
        <v>23</v>
      </c>
      <c r="E502" s="24" t="s">
        <v>1438</v>
      </c>
      <c r="F502" s="25" t="s">
        <v>25</v>
      </c>
      <c r="G502" s="26">
        <v>3500</v>
      </c>
      <c r="H502" s="91" t="s">
        <v>26</v>
      </c>
      <c r="I502" s="25" t="s">
        <v>1439</v>
      </c>
      <c r="J502" s="1">
        <v>20363</v>
      </c>
      <c r="K502" s="1">
        <v>21645</v>
      </c>
      <c r="L502" s="28">
        <v>1282</v>
      </c>
      <c r="M502" s="29">
        <v>2178797</v>
      </c>
      <c r="N502" s="30">
        <v>0</v>
      </c>
      <c r="O502" s="30">
        <v>0</v>
      </c>
      <c r="P502" s="30">
        <v>0</v>
      </c>
      <c r="Q502" s="29">
        <v>0</v>
      </c>
      <c r="R502" s="29">
        <v>2178797</v>
      </c>
      <c r="S502" s="29">
        <v>3000</v>
      </c>
      <c r="T502" s="29">
        <f t="shared" si="31"/>
        <v>2181797</v>
      </c>
    </row>
    <row r="503" spans="1:20" ht="21" customHeight="1" x14ac:dyDescent="0.25">
      <c r="A503" s="21">
        <v>132</v>
      </c>
      <c r="B503" s="7" t="s">
        <v>1440</v>
      </c>
      <c r="C503" s="2" t="s">
        <v>1441</v>
      </c>
      <c r="D503" s="23" t="s">
        <v>23</v>
      </c>
      <c r="E503" s="24" t="s">
        <v>1442</v>
      </c>
      <c r="F503" s="25" t="s">
        <v>25</v>
      </c>
      <c r="G503" s="26">
        <v>5500</v>
      </c>
      <c r="H503" s="91" t="s">
        <v>26</v>
      </c>
      <c r="I503" s="25" t="s">
        <v>1443</v>
      </c>
      <c r="J503" s="1">
        <v>57456</v>
      </c>
      <c r="K503" s="1">
        <v>59498</v>
      </c>
      <c r="L503" s="28">
        <v>2042</v>
      </c>
      <c r="M503" s="29">
        <v>3470440</v>
      </c>
      <c r="N503" s="30">
        <v>0</v>
      </c>
      <c r="O503" s="30">
        <v>0</v>
      </c>
      <c r="P503" s="30">
        <v>0</v>
      </c>
      <c r="Q503" s="29">
        <v>0</v>
      </c>
      <c r="R503" s="29">
        <v>3470440</v>
      </c>
      <c r="S503" s="29">
        <v>3000</v>
      </c>
      <c r="T503" s="29">
        <f t="shared" si="31"/>
        <v>3473440</v>
      </c>
    </row>
    <row r="504" spans="1:20" ht="21" customHeight="1" x14ac:dyDescent="0.25">
      <c r="A504" s="21">
        <v>133</v>
      </c>
      <c r="B504" s="7" t="s">
        <v>1444</v>
      </c>
      <c r="C504" s="2" t="s">
        <v>1445</v>
      </c>
      <c r="D504" s="23" t="s">
        <v>23</v>
      </c>
      <c r="E504" s="24" t="s">
        <v>1446</v>
      </c>
      <c r="F504" s="25" t="s">
        <v>25</v>
      </c>
      <c r="G504" s="26">
        <v>3500</v>
      </c>
      <c r="H504" s="91" t="s">
        <v>26</v>
      </c>
      <c r="I504" s="25" t="s">
        <v>1447</v>
      </c>
      <c r="J504" s="1">
        <v>28881</v>
      </c>
      <c r="K504" s="1">
        <v>30573</v>
      </c>
      <c r="L504" s="28">
        <v>1692</v>
      </c>
      <c r="M504" s="29">
        <v>2875605</v>
      </c>
      <c r="N504" s="30">
        <v>0</v>
      </c>
      <c r="O504" s="30">
        <v>0</v>
      </c>
      <c r="P504" s="30">
        <v>0</v>
      </c>
      <c r="Q504" s="29">
        <v>0</v>
      </c>
      <c r="R504" s="29">
        <v>2875605</v>
      </c>
      <c r="S504" s="29">
        <v>3000</v>
      </c>
      <c r="T504" s="29">
        <f t="shared" si="31"/>
        <v>2878605</v>
      </c>
    </row>
    <row r="505" spans="1:20" ht="21" customHeight="1" x14ac:dyDescent="0.25">
      <c r="A505" s="21">
        <v>134</v>
      </c>
      <c r="B505" s="7" t="s">
        <v>1448</v>
      </c>
      <c r="C505" s="2" t="s">
        <v>1449</v>
      </c>
      <c r="D505" s="23" t="s">
        <v>23</v>
      </c>
      <c r="E505" s="24" t="s">
        <v>1450</v>
      </c>
      <c r="F505" s="25" t="s">
        <v>25</v>
      </c>
      <c r="G505" s="26">
        <v>7700</v>
      </c>
      <c r="H505" s="91" t="s">
        <v>26</v>
      </c>
      <c r="I505" s="25" t="s">
        <v>1451</v>
      </c>
      <c r="J505" s="1">
        <v>68121</v>
      </c>
      <c r="K505" s="1">
        <v>69186</v>
      </c>
      <c r="L505" s="28">
        <v>1065</v>
      </c>
      <c r="M505" s="29">
        <v>1809999</v>
      </c>
      <c r="N505" s="30">
        <v>0</v>
      </c>
      <c r="O505" s="30">
        <v>0</v>
      </c>
      <c r="P505" s="30">
        <v>0</v>
      </c>
      <c r="Q505" s="29">
        <v>0</v>
      </c>
      <c r="R505" s="29">
        <v>1809999</v>
      </c>
      <c r="S505" s="29">
        <v>3000</v>
      </c>
      <c r="T505" s="29">
        <f t="shared" si="31"/>
        <v>1812999</v>
      </c>
    </row>
    <row r="506" spans="1:20" ht="21" customHeight="1" x14ac:dyDescent="0.25">
      <c r="A506" s="21">
        <v>135</v>
      </c>
      <c r="B506" s="7" t="s">
        <v>1452</v>
      </c>
      <c r="C506" s="2" t="s">
        <v>1453</v>
      </c>
      <c r="D506" s="23" t="s">
        <v>23</v>
      </c>
      <c r="E506" s="24" t="s">
        <v>1454</v>
      </c>
      <c r="F506" s="25" t="s">
        <v>25</v>
      </c>
      <c r="G506" s="26">
        <v>3500</v>
      </c>
      <c r="H506" s="91" t="s">
        <v>26</v>
      </c>
      <c r="I506" s="25" t="s">
        <v>1455</v>
      </c>
      <c r="J506" s="1">
        <v>49740</v>
      </c>
      <c r="K506" s="1">
        <v>51030</v>
      </c>
      <c r="L506" s="28">
        <v>1290</v>
      </c>
      <c r="M506" s="29">
        <v>2192394</v>
      </c>
      <c r="N506" s="30">
        <v>0</v>
      </c>
      <c r="O506" s="30">
        <v>0</v>
      </c>
      <c r="P506" s="30">
        <v>0</v>
      </c>
      <c r="Q506" s="29">
        <v>0</v>
      </c>
      <c r="R506" s="29">
        <v>2192394</v>
      </c>
      <c r="S506" s="29">
        <v>3000</v>
      </c>
      <c r="T506" s="29">
        <f t="shared" si="31"/>
        <v>2195394</v>
      </c>
    </row>
    <row r="507" spans="1:20" ht="21" customHeight="1" x14ac:dyDescent="0.25">
      <c r="A507" s="21">
        <v>136</v>
      </c>
      <c r="B507" s="7" t="s">
        <v>1456</v>
      </c>
      <c r="C507" s="2" t="s">
        <v>1457</v>
      </c>
      <c r="D507" s="23" t="s">
        <v>84</v>
      </c>
      <c r="E507" s="24" t="s">
        <v>1458</v>
      </c>
      <c r="F507" s="25" t="s">
        <v>25</v>
      </c>
      <c r="G507" s="26">
        <v>5500</v>
      </c>
      <c r="H507" s="91" t="s">
        <v>26</v>
      </c>
      <c r="I507" s="25" t="s">
        <v>1459</v>
      </c>
      <c r="J507" s="1">
        <v>54352</v>
      </c>
      <c r="K507" s="1">
        <v>55976</v>
      </c>
      <c r="L507" s="28">
        <v>1624</v>
      </c>
      <c r="M507" s="29">
        <v>2760037</v>
      </c>
      <c r="N507" s="30">
        <v>0</v>
      </c>
      <c r="O507" s="30">
        <v>0</v>
      </c>
      <c r="P507" s="30">
        <v>0</v>
      </c>
      <c r="Q507" s="29">
        <v>0</v>
      </c>
      <c r="R507" s="29">
        <v>2760037</v>
      </c>
      <c r="S507" s="29">
        <v>3000</v>
      </c>
      <c r="T507" s="29">
        <f t="shared" si="31"/>
        <v>2763037</v>
      </c>
    </row>
    <row r="508" spans="1:20" ht="21" customHeight="1" x14ac:dyDescent="0.25">
      <c r="A508" s="21">
        <v>137</v>
      </c>
      <c r="B508" s="7" t="s">
        <v>1460</v>
      </c>
      <c r="C508" s="2" t="s">
        <v>1461</v>
      </c>
      <c r="D508" s="23" t="s">
        <v>84</v>
      </c>
      <c r="E508" s="24" t="s">
        <v>1462</v>
      </c>
      <c r="F508" s="25" t="s">
        <v>25</v>
      </c>
      <c r="G508" s="26">
        <v>2200</v>
      </c>
      <c r="H508" s="91" t="s">
        <v>26</v>
      </c>
      <c r="I508" s="25" t="s">
        <v>1463</v>
      </c>
      <c r="J508" s="1">
        <v>57595</v>
      </c>
      <c r="K508" s="1">
        <v>59083</v>
      </c>
      <c r="L508" s="28">
        <v>1488</v>
      </c>
      <c r="M508" s="29">
        <v>2528901</v>
      </c>
      <c r="N508" s="30">
        <v>0</v>
      </c>
      <c r="O508" s="30">
        <v>0</v>
      </c>
      <c r="P508" s="30">
        <v>0</v>
      </c>
      <c r="Q508" s="29">
        <v>0</v>
      </c>
      <c r="R508" s="29">
        <v>2528901</v>
      </c>
      <c r="S508" s="29">
        <v>3000</v>
      </c>
      <c r="T508" s="29">
        <f t="shared" si="31"/>
        <v>2531901</v>
      </c>
    </row>
    <row r="509" spans="1:20" ht="21" customHeight="1" x14ac:dyDescent="0.25">
      <c r="A509" s="21">
        <v>138</v>
      </c>
      <c r="B509" s="7" t="s">
        <v>1464</v>
      </c>
      <c r="C509" s="2" t="s">
        <v>1465</v>
      </c>
      <c r="D509" s="23" t="s">
        <v>23</v>
      </c>
      <c r="E509" s="24" t="s">
        <v>1466</v>
      </c>
      <c r="F509" s="25" t="s">
        <v>25</v>
      </c>
      <c r="G509" s="26">
        <v>4400</v>
      </c>
      <c r="H509" s="91" t="s">
        <v>26</v>
      </c>
      <c r="I509" s="25" t="s">
        <v>1467</v>
      </c>
      <c r="J509" s="1">
        <v>59702</v>
      </c>
      <c r="K509" s="1">
        <v>60244</v>
      </c>
      <c r="L509" s="28">
        <v>542</v>
      </c>
      <c r="M509" s="29">
        <v>921145</v>
      </c>
      <c r="N509" s="30">
        <v>0</v>
      </c>
      <c r="O509" s="30">
        <v>0</v>
      </c>
      <c r="P509" s="30">
        <v>0</v>
      </c>
      <c r="Q509" s="29">
        <v>0</v>
      </c>
      <c r="R509" s="29">
        <v>921145</v>
      </c>
      <c r="S509" s="29">
        <v>3000</v>
      </c>
      <c r="T509" s="29">
        <f t="shared" si="31"/>
        <v>924145</v>
      </c>
    </row>
    <row r="510" spans="1:20" ht="21" customHeight="1" x14ac:dyDescent="0.25">
      <c r="A510" s="21">
        <v>139</v>
      </c>
      <c r="B510" s="7" t="s">
        <v>1468</v>
      </c>
      <c r="C510" s="2" t="s">
        <v>1469</v>
      </c>
      <c r="D510" s="23" t="s">
        <v>23</v>
      </c>
      <c r="E510" s="24" t="s">
        <v>1470</v>
      </c>
      <c r="F510" s="25" t="s">
        <v>25</v>
      </c>
      <c r="G510" s="26">
        <v>3500</v>
      </c>
      <c r="H510" s="91" t="s">
        <v>26</v>
      </c>
      <c r="I510" s="25" t="s">
        <v>1471</v>
      </c>
      <c r="J510" s="1">
        <v>46361</v>
      </c>
      <c r="K510" s="1">
        <v>46960</v>
      </c>
      <c r="L510" s="28">
        <v>599</v>
      </c>
      <c r="M510" s="29">
        <v>1018018</v>
      </c>
      <c r="N510" s="30">
        <v>0</v>
      </c>
      <c r="O510" s="30">
        <v>0</v>
      </c>
      <c r="P510" s="30">
        <v>0</v>
      </c>
      <c r="Q510" s="29">
        <v>0</v>
      </c>
      <c r="R510" s="29">
        <v>1018018</v>
      </c>
      <c r="S510" s="29">
        <v>3000</v>
      </c>
      <c r="T510" s="29">
        <f t="shared" si="31"/>
        <v>1021018</v>
      </c>
    </row>
    <row r="511" spans="1:20" ht="21" customHeight="1" x14ac:dyDescent="0.25">
      <c r="A511" s="21">
        <v>140</v>
      </c>
      <c r="B511" s="7" t="s">
        <v>1472</v>
      </c>
      <c r="C511" s="2" t="s">
        <v>1473</v>
      </c>
      <c r="D511" s="23" t="s">
        <v>23</v>
      </c>
      <c r="E511" s="24" t="s">
        <v>1383</v>
      </c>
      <c r="F511" s="25" t="s">
        <v>25</v>
      </c>
      <c r="G511" s="26">
        <v>4400</v>
      </c>
      <c r="H511" s="91" t="s">
        <v>26</v>
      </c>
      <c r="I511" s="25" t="s">
        <v>1474</v>
      </c>
      <c r="J511" s="1">
        <v>51933</v>
      </c>
      <c r="K511" s="1">
        <v>53624</v>
      </c>
      <c r="L511" s="28">
        <v>1691</v>
      </c>
      <c r="M511" s="29">
        <v>2873905</v>
      </c>
      <c r="N511" s="30">
        <v>0</v>
      </c>
      <c r="O511" s="30">
        <v>0</v>
      </c>
      <c r="P511" s="30">
        <v>0</v>
      </c>
      <c r="Q511" s="29">
        <v>0</v>
      </c>
      <c r="R511" s="29">
        <v>2873905</v>
      </c>
      <c r="S511" s="29">
        <v>3000</v>
      </c>
      <c r="T511" s="29">
        <f t="shared" si="31"/>
        <v>2876905</v>
      </c>
    </row>
    <row r="512" spans="1:20" ht="21" customHeight="1" x14ac:dyDescent="0.25">
      <c r="A512" s="21">
        <v>141</v>
      </c>
      <c r="B512" s="7" t="s">
        <v>1475</v>
      </c>
      <c r="C512" s="2" t="s">
        <v>1476</v>
      </c>
      <c r="D512" s="23" t="s">
        <v>23</v>
      </c>
      <c r="E512" s="24" t="s">
        <v>1477</v>
      </c>
      <c r="F512" s="25" t="s">
        <v>25</v>
      </c>
      <c r="G512" s="26">
        <v>2200</v>
      </c>
      <c r="H512" s="91" t="s">
        <v>26</v>
      </c>
      <c r="I512" s="25" t="s">
        <v>1478</v>
      </c>
      <c r="J512" s="1">
        <v>76181</v>
      </c>
      <c r="K512" s="1">
        <v>77186</v>
      </c>
      <c r="L512" s="28">
        <v>1005</v>
      </c>
      <c r="M512" s="29">
        <v>1708028</v>
      </c>
      <c r="N512" s="30">
        <v>0</v>
      </c>
      <c r="O512" s="30">
        <v>0</v>
      </c>
      <c r="P512" s="30">
        <v>0</v>
      </c>
      <c r="Q512" s="29">
        <v>0</v>
      </c>
      <c r="R512" s="29">
        <v>1708028</v>
      </c>
      <c r="S512" s="29">
        <v>3000</v>
      </c>
      <c r="T512" s="29">
        <f t="shared" si="31"/>
        <v>1711028</v>
      </c>
    </row>
    <row r="513" spans="1:20" ht="21" customHeight="1" x14ac:dyDescent="0.25">
      <c r="A513" s="21">
        <v>142</v>
      </c>
      <c r="B513" s="7" t="s">
        <v>1479</v>
      </c>
      <c r="C513" s="2" t="s">
        <v>1480</v>
      </c>
      <c r="D513" s="23" t="s">
        <v>84</v>
      </c>
      <c r="E513" s="24" t="s">
        <v>1481</v>
      </c>
      <c r="F513" s="25" t="s">
        <v>25</v>
      </c>
      <c r="G513" s="26">
        <v>3500</v>
      </c>
      <c r="H513" s="91" t="s">
        <v>26</v>
      </c>
      <c r="I513" s="25" t="s">
        <v>1482</v>
      </c>
      <c r="J513" s="1">
        <v>13835</v>
      </c>
      <c r="K513" s="1">
        <v>14925</v>
      </c>
      <c r="L513" s="28">
        <v>1090</v>
      </c>
      <c r="M513" s="29">
        <v>1852488</v>
      </c>
      <c r="N513" s="30">
        <v>0</v>
      </c>
      <c r="O513" s="30">
        <v>0</v>
      </c>
      <c r="P513" s="30">
        <v>0</v>
      </c>
      <c r="Q513" s="29">
        <v>0</v>
      </c>
      <c r="R513" s="29">
        <v>1852488</v>
      </c>
      <c r="S513" s="29">
        <v>3000</v>
      </c>
      <c r="T513" s="29">
        <f t="shared" si="31"/>
        <v>1855488</v>
      </c>
    </row>
    <row r="514" spans="1:20" ht="21" customHeight="1" x14ac:dyDescent="0.25">
      <c r="A514" s="21">
        <v>143</v>
      </c>
      <c r="B514" s="7" t="s">
        <v>1483</v>
      </c>
      <c r="C514" s="2" t="s">
        <v>1484</v>
      </c>
      <c r="D514" s="23" t="s">
        <v>84</v>
      </c>
      <c r="E514" s="24" t="s">
        <v>1485</v>
      </c>
      <c r="F514" s="25" t="s">
        <v>25</v>
      </c>
      <c r="G514" s="26">
        <v>7700</v>
      </c>
      <c r="H514" s="91" t="s">
        <v>26</v>
      </c>
      <c r="I514" s="25" t="s">
        <v>1486</v>
      </c>
      <c r="J514" s="1">
        <v>3380</v>
      </c>
      <c r="K514" s="1">
        <v>4906</v>
      </c>
      <c r="L514" s="28">
        <v>1526</v>
      </c>
      <c r="M514" s="29">
        <v>2593483</v>
      </c>
      <c r="N514" s="30">
        <v>0</v>
      </c>
      <c r="O514" s="30">
        <v>0</v>
      </c>
      <c r="P514" s="30">
        <v>0</v>
      </c>
      <c r="Q514" s="29">
        <v>0</v>
      </c>
      <c r="R514" s="29">
        <v>2593483</v>
      </c>
      <c r="S514" s="29">
        <v>3000</v>
      </c>
      <c r="T514" s="29">
        <f t="shared" si="31"/>
        <v>2596483</v>
      </c>
    </row>
    <row r="515" spans="1:20" ht="21" customHeight="1" x14ac:dyDescent="0.25">
      <c r="A515" s="21">
        <v>144</v>
      </c>
      <c r="B515" s="7" t="s">
        <v>1487</v>
      </c>
      <c r="C515" s="2" t="s">
        <v>1488</v>
      </c>
      <c r="D515" s="23" t="s">
        <v>30</v>
      </c>
      <c r="E515" s="24" t="s">
        <v>1489</v>
      </c>
      <c r="F515" s="25" t="s">
        <v>25</v>
      </c>
      <c r="G515" s="26">
        <v>5500</v>
      </c>
      <c r="H515" s="91" t="s">
        <v>26</v>
      </c>
      <c r="I515" s="25" t="s">
        <v>1490</v>
      </c>
      <c r="J515" s="1">
        <v>51790</v>
      </c>
      <c r="K515" s="1">
        <v>52218</v>
      </c>
      <c r="L515" s="28">
        <v>428</v>
      </c>
      <c r="M515" s="29">
        <v>727399</v>
      </c>
      <c r="N515" s="30">
        <v>0</v>
      </c>
      <c r="O515" s="30">
        <v>0</v>
      </c>
      <c r="P515" s="30">
        <v>0</v>
      </c>
      <c r="Q515" s="29">
        <v>0</v>
      </c>
      <c r="R515" s="29">
        <v>727399</v>
      </c>
      <c r="S515" s="29">
        <v>3000</v>
      </c>
      <c r="T515" s="29">
        <f t="shared" si="31"/>
        <v>730399</v>
      </c>
    </row>
    <row r="516" spans="1:20" ht="21" customHeight="1" x14ac:dyDescent="0.25">
      <c r="A516" s="21">
        <v>145</v>
      </c>
      <c r="B516" s="7" t="s">
        <v>1491</v>
      </c>
      <c r="C516" s="2" t="s">
        <v>1492</v>
      </c>
      <c r="D516" s="23" t="s">
        <v>23</v>
      </c>
      <c r="E516" s="24" t="s">
        <v>1493</v>
      </c>
      <c r="F516" s="25" t="s">
        <v>25</v>
      </c>
      <c r="G516" s="26">
        <v>3500</v>
      </c>
      <c r="H516" s="91" t="s">
        <v>26</v>
      </c>
      <c r="I516" s="25" t="s">
        <v>1494</v>
      </c>
      <c r="J516" s="1">
        <v>75591</v>
      </c>
      <c r="K516" s="1">
        <v>76419</v>
      </c>
      <c r="L516" s="28">
        <v>828</v>
      </c>
      <c r="M516" s="29">
        <v>1407211</v>
      </c>
      <c r="N516" s="30">
        <v>0</v>
      </c>
      <c r="O516" s="30">
        <v>0</v>
      </c>
      <c r="P516" s="30">
        <v>0</v>
      </c>
      <c r="Q516" s="29">
        <v>0</v>
      </c>
      <c r="R516" s="29">
        <v>1407211</v>
      </c>
      <c r="S516" s="29">
        <v>3000</v>
      </c>
      <c r="T516" s="29">
        <f t="shared" si="31"/>
        <v>1410211</v>
      </c>
    </row>
    <row r="517" spans="1:20" ht="21" customHeight="1" x14ac:dyDescent="0.25">
      <c r="A517" s="21">
        <v>146</v>
      </c>
      <c r="B517" s="7" t="s">
        <v>1495</v>
      </c>
      <c r="C517" s="2" t="s">
        <v>1496</v>
      </c>
      <c r="D517" s="23" t="s">
        <v>23</v>
      </c>
      <c r="E517" s="24" t="s">
        <v>1450</v>
      </c>
      <c r="F517" s="25" t="s">
        <v>25</v>
      </c>
      <c r="G517" s="26">
        <v>4400</v>
      </c>
      <c r="H517" s="91" t="s">
        <v>26</v>
      </c>
      <c r="I517" s="25" t="s">
        <v>1497</v>
      </c>
      <c r="J517" s="1">
        <v>77964</v>
      </c>
      <c r="K517" s="1">
        <v>79502</v>
      </c>
      <c r="L517" s="28">
        <v>1538</v>
      </c>
      <c r="M517" s="29">
        <v>2613877</v>
      </c>
      <c r="N517" s="30">
        <v>0</v>
      </c>
      <c r="O517" s="30">
        <v>0</v>
      </c>
      <c r="P517" s="30">
        <v>0</v>
      </c>
      <c r="Q517" s="29">
        <v>0</v>
      </c>
      <c r="R517" s="29">
        <v>2613877</v>
      </c>
      <c r="S517" s="29">
        <v>3000</v>
      </c>
      <c r="T517" s="29">
        <f t="shared" si="31"/>
        <v>2616877</v>
      </c>
    </row>
    <row r="518" spans="1:20" ht="21" customHeight="1" x14ac:dyDescent="0.25">
      <c r="A518" s="21">
        <v>147</v>
      </c>
      <c r="B518" s="7" t="s">
        <v>1498</v>
      </c>
      <c r="C518" s="2" t="s">
        <v>1499</v>
      </c>
      <c r="D518" s="23" t="s">
        <v>23</v>
      </c>
      <c r="E518" s="24" t="s">
        <v>1500</v>
      </c>
      <c r="F518" s="25" t="s">
        <v>25</v>
      </c>
      <c r="G518" s="26">
        <v>1300</v>
      </c>
      <c r="H518" s="91" t="s">
        <v>26</v>
      </c>
      <c r="I518" s="25" t="s">
        <v>1501</v>
      </c>
      <c r="J518" s="1">
        <v>2518</v>
      </c>
      <c r="K518" s="1">
        <v>2778</v>
      </c>
      <c r="L518" s="28">
        <v>260</v>
      </c>
      <c r="M518" s="29">
        <v>441878</v>
      </c>
      <c r="N518" s="30">
        <v>0</v>
      </c>
      <c r="O518" s="30">
        <v>0</v>
      </c>
      <c r="P518" s="30">
        <v>0</v>
      </c>
      <c r="Q518" s="29">
        <v>0</v>
      </c>
      <c r="R518" s="29">
        <v>441878</v>
      </c>
      <c r="S518" s="29">
        <v>3000</v>
      </c>
      <c r="T518" s="29">
        <f t="shared" si="31"/>
        <v>444878</v>
      </c>
    </row>
    <row r="519" spans="1:20" ht="21" customHeight="1" x14ac:dyDescent="0.25">
      <c r="A519" s="21">
        <v>148</v>
      </c>
      <c r="B519" s="7" t="s">
        <v>1502</v>
      </c>
      <c r="C519" s="2" t="s">
        <v>1503</v>
      </c>
      <c r="D519" s="23" t="s">
        <v>23</v>
      </c>
      <c r="E519" s="24" t="s">
        <v>1504</v>
      </c>
      <c r="F519" s="25" t="s">
        <v>25</v>
      </c>
      <c r="G519" s="26">
        <v>2200</v>
      </c>
      <c r="H519" s="91" t="s">
        <v>26</v>
      </c>
      <c r="I519" s="25" t="s">
        <v>1505</v>
      </c>
      <c r="J519" s="1">
        <v>32625</v>
      </c>
      <c r="K519" s="1">
        <v>33363</v>
      </c>
      <c r="L519" s="28">
        <v>738</v>
      </c>
      <c r="M519" s="29">
        <v>1254253</v>
      </c>
      <c r="N519" s="30">
        <v>0</v>
      </c>
      <c r="O519" s="30">
        <v>0</v>
      </c>
      <c r="P519" s="30">
        <v>0</v>
      </c>
      <c r="Q519" s="29">
        <v>0</v>
      </c>
      <c r="R519" s="29">
        <v>1254253</v>
      </c>
      <c r="S519" s="29">
        <v>3000</v>
      </c>
      <c r="T519" s="29">
        <f t="shared" si="31"/>
        <v>1257253</v>
      </c>
    </row>
    <row r="520" spans="1:20" ht="21" customHeight="1" x14ac:dyDescent="0.25">
      <c r="A520" s="21">
        <v>149</v>
      </c>
      <c r="B520" s="7" t="s">
        <v>1506</v>
      </c>
      <c r="C520" s="2" t="s">
        <v>1507</v>
      </c>
      <c r="D520" s="23" t="s">
        <v>23</v>
      </c>
      <c r="E520" s="24" t="s">
        <v>1508</v>
      </c>
      <c r="F520" s="25" t="s">
        <v>25</v>
      </c>
      <c r="G520" s="26">
        <v>3500</v>
      </c>
      <c r="H520" s="91" t="s">
        <v>26</v>
      </c>
      <c r="I520" s="25" t="s">
        <v>1509</v>
      </c>
      <c r="J520" s="1">
        <v>58151</v>
      </c>
      <c r="K520" s="1">
        <v>59972</v>
      </c>
      <c r="L520" s="28">
        <v>1821</v>
      </c>
      <c r="M520" s="29">
        <v>3094844</v>
      </c>
      <c r="N520" s="30">
        <v>0</v>
      </c>
      <c r="O520" s="30">
        <v>0</v>
      </c>
      <c r="P520" s="30">
        <v>0</v>
      </c>
      <c r="Q520" s="29">
        <v>0</v>
      </c>
      <c r="R520" s="29">
        <v>3094844</v>
      </c>
      <c r="S520" s="29">
        <v>3000</v>
      </c>
      <c r="T520" s="29">
        <f t="shared" si="31"/>
        <v>3097844</v>
      </c>
    </row>
    <row r="521" spans="1:20" ht="21" customHeight="1" x14ac:dyDescent="0.25">
      <c r="A521" s="21">
        <v>150</v>
      </c>
      <c r="B521" s="7" t="s">
        <v>1510</v>
      </c>
      <c r="C521" s="2" t="s">
        <v>1511</v>
      </c>
      <c r="D521" s="23" t="s">
        <v>23</v>
      </c>
      <c r="E521" s="24" t="s">
        <v>1512</v>
      </c>
      <c r="F521" s="25" t="s">
        <v>25</v>
      </c>
      <c r="G521" s="26">
        <v>3500</v>
      </c>
      <c r="H521" s="91" t="s">
        <v>26</v>
      </c>
      <c r="I521" s="25" t="s">
        <v>1513</v>
      </c>
      <c r="J521" s="1">
        <v>54480</v>
      </c>
      <c r="K521" s="1">
        <v>55590</v>
      </c>
      <c r="L521" s="28">
        <v>1110</v>
      </c>
      <c r="M521" s="29">
        <v>1886478</v>
      </c>
      <c r="N521" s="30">
        <v>0</v>
      </c>
      <c r="O521" s="30">
        <v>0</v>
      </c>
      <c r="P521" s="30">
        <v>0</v>
      </c>
      <c r="Q521" s="29">
        <v>0</v>
      </c>
      <c r="R521" s="29">
        <v>1886478</v>
      </c>
      <c r="S521" s="29">
        <v>3000</v>
      </c>
      <c r="T521" s="29">
        <f t="shared" si="31"/>
        <v>1889478</v>
      </c>
    </row>
    <row r="522" spans="1:20" ht="21" customHeight="1" x14ac:dyDescent="0.25">
      <c r="A522" s="21">
        <v>151</v>
      </c>
      <c r="B522" s="7" t="s">
        <v>1514</v>
      </c>
      <c r="C522" s="2" t="s">
        <v>1515</v>
      </c>
      <c r="D522" s="23" t="s">
        <v>23</v>
      </c>
      <c r="E522" s="24" t="s">
        <v>1516</v>
      </c>
      <c r="F522" s="25" t="s">
        <v>25</v>
      </c>
      <c r="G522" s="26">
        <v>4400</v>
      </c>
      <c r="H522" s="91" t="s">
        <v>26</v>
      </c>
      <c r="I522" s="25" t="s">
        <v>1517</v>
      </c>
      <c r="J522" s="1">
        <v>30153</v>
      </c>
      <c r="K522" s="1">
        <v>31014</v>
      </c>
      <c r="L522" s="28">
        <v>861</v>
      </c>
      <c r="M522" s="29">
        <v>1463295</v>
      </c>
      <c r="N522" s="30">
        <v>0</v>
      </c>
      <c r="O522" s="30">
        <v>0</v>
      </c>
      <c r="P522" s="30">
        <v>0</v>
      </c>
      <c r="Q522" s="29">
        <v>0</v>
      </c>
      <c r="R522" s="29">
        <v>1463295</v>
      </c>
      <c r="S522" s="29">
        <v>3000</v>
      </c>
      <c r="T522" s="29">
        <f t="shared" si="31"/>
        <v>1466295</v>
      </c>
    </row>
    <row r="523" spans="1:20" ht="21" customHeight="1" x14ac:dyDescent="0.25">
      <c r="A523" s="21">
        <v>152</v>
      </c>
      <c r="B523" s="7" t="s">
        <v>1518</v>
      </c>
      <c r="C523" s="2" t="s">
        <v>1519</v>
      </c>
      <c r="D523" s="23" t="s">
        <v>84</v>
      </c>
      <c r="E523" s="24" t="s">
        <v>1520</v>
      </c>
      <c r="F523" s="25" t="s">
        <v>25</v>
      </c>
      <c r="G523" s="26">
        <v>3500</v>
      </c>
      <c r="H523" s="91" t="s">
        <v>26</v>
      </c>
      <c r="I523" s="25" t="s">
        <v>1521</v>
      </c>
      <c r="J523" s="1">
        <v>5113</v>
      </c>
      <c r="K523" s="1">
        <v>5898</v>
      </c>
      <c r="L523" s="28">
        <v>785</v>
      </c>
      <c r="M523" s="29">
        <v>1334131</v>
      </c>
      <c r="N523" s="30">
        <v>0</v>
      </c>
      <c r="O523" s="30">
        <v>0</v>
      </c>
      <c r="P523" s="30">
        <v>0</v>
      </c>
      <c r="Q523" s="29">
        <v>0</v>
      </c>
      <c r="R523" s="29">
        <v>1334131</v>
      </c>
      <c r="S523" s="29">
        <v>3000</v>
      </c>
      <c r="T523" s="29">
        <f t="shared" si="31"/>
        <v>1337131</v>
      </c>
    </row>
    <row r="524" spans="1:20" ht="21" customHeight="1" x14ac:dyDescent="0.25">
      <c r="A524" s="21">
        <v>153</v>
      </c>
      <c r="B524" s="7" t="s">
        <v>1522</v>
      </c>
      <c r="C524" s="2" t="s">
        <v>1523</v>
      </c>
      <c r="D524" s="23" t="s">
        <v>23</v>
      </c>
      <c r="E524" s="24" t="s">
        <v>1524</v>
      </c>
      <c r="F524" s="25" t="s">
        <v>25</v>
      </c>
      <c r="G524" s="26">
        <v>3500</v>
      </c>
      <c r="H524" s="91" t="s">
        <v>26</v>
      </c>
      <c r="I524" s="25" t="s">
        <v>1525</v>
      </c>
      <c r="J524" s="1">
        <v>67179</v>
      </c>
      <c r="K524" s="1">
        <v>68437</v>
      </c>
      <c r="L524" s="28">
        <v>1258</v>
      </c>
      <c r="M524" s="29">
        <v>2138009</v>
      </c>
      <c r="N524" s="30">
        <v>0</v>
      </c>
      <c r="O524" s="30">
        <v>0</v>
      </c>
      <c r="P524" s="30">
        <v>0</v>
      </c>
      <c r="Q524" s="29">
        <v>0</v>
      </c>
      <c r="R524" s="29">
        <v>2138009</v>
      </c>
      <c r="S524" s="29">
        <v>3000</v>
      </c>
      <c r="T524" s="29">
        <f t="shared" si="31"/>
        <v>2141009</v>
      </c>
    </row>
    <row r="525" spans="1:20" ht="21" customHeight="1" x14ac:dyDescent="0.25">
      <c r="A525" s="21">
        <v>154</v>
      </c>
      <c r="B525" s="7" t="s">
        <v>1526</v>
      </c>
      <c r="C525" s="2" t="s">
        <v>1527</v>
      </c>
      <c r="D525" s="23" t="s">
        <v>23</v>
      </c>
      <c r="E525" s="24" t="s">
        <v>1528</v>
      </c>
      <c r="F525" s="25" t="s">
        <v>25</v>
      </c>
      <c r="G525" s="26">
        <v>4400</v>
      </c>
      <c r="H525" s="91" t="s">
        <v>26</v>
      </c>
      <c r="I525" s="25" t="s">
        <v>1529</v>
      </c>
      <c r="J525" s="1">
        <v>39695</v>
      </c>
      <c r="K525" s="1">
        <v>39887</v>
      </c>
      <c r="L525" s="28">
        <v>192</v>
      </c>
      <c r="M525" s="29">
        <v>326310</v>
      </c>
      <c r="N525" s="30">
        <v>0</v>
      </c>
      <c r="O525" s="30">
        <v>0</v>
      </c>
      <c r="P525" s="30">
        <v>0</v>
      </c>
      <c r="Q525" s="29">
        <v>0</v>
      </c>
      <c r="R525" s="29">
        <v>326310</v>
      </c>
      <c r="S525" s="29">
        <v>3000</v>
      </c>
      <c r="T525" s="29">
        <f t="shared" si="31"/>
        <v>329310</v>
      </c>
    </row>
    <row r="526" spans="1:20" ht="21" customHeight="1" x14ac:dyDescent="0.25">
      <c r="A526" s="21">
        <v>155</v>
      </c>
      <c r="B526" s="7" t="s">
        <v>1530</v>
      </c>
      <c r="C526" s="2" t="s">
        <v>1531</v>
      </c>
      <c r="D526" s="23" t="s">
        <v>23</v>
      </c>
      <c r="E526" s="24" t="s">
        <v>1532</v>
      </c>
      <c r="F526" s="25" t="s">
        <v>25</v>
      </c>
      <c r="G526" s="26">
        <v>3500</v>
      </c>
      <c r="H526" s="91" t="s">
        <v>26</v>
      </c>
      <c r="I526" s="25" t="s">
        <v>1533</v>
      </c>
      <c r="J526" s="1">
        <v>34306</v>
      </c>
      <c r="K526" s="1">
        <v>36218</v>
      </c>
      <c r="L526" s="28">
        <v>1912</v>
      </c>
      <c r="M526" s="29">
        <v>3249501</v>
      </c>
      <c r="N526" s="30">
        <v>0</v>
      </c>
      <c r="O526" s="30">
        <v>0</v>
      </c>
      <c r="P526" s="30">
        <v>0</v>
      </c>
      <c r="Q526" s="29">
        <v>0</v>
      </c>
      <c r="R526" s="29">
        <v>3249501</v>
      </c>
      <c r="S526" s="29">
        <v>3000</v>
      </c>
      <c r="T526" s="29">
        <f t="shared" si="31"/>
        <v>3252501</v>
      </c>
    </row>
    <row r="527" spans="1:20" ht="21" customHeight="1" x14ac:dyDescent="0.25">
      <c r="A527" s="21">
        <v>156</v>
      </c>
      <c r="B527" s="7" t="s">
        <v>1534</v>
      </c>
      <c r="C527" s="2" t="s">
        <v>1535</v>
      </c>
      <c r="D527" s="23" t="s">
        <v>23</v>
      </c>
      <c r="E527" s="24" t="s">
        <v>1536</v>
      </c>
      <c r="F527" s="25" t="s">
        <v>25</v>
      </c>
      <c r="G527" s="26">
        <v>4400</v>
      </c>
      <c r="H527" s="91" t="s">
        <v>26</v>
      </c>
      <c r="I527" s="25" t="s">
        <v>1537</v>
      </c>
      <c r="J527" s="1">
        <v>34449</v>
      </c>
      <c r="K527" s="1">
        <v>35669</v>
      </c>
      <c r="L527" s="28">
        <v>1220</v>
      </c>
      <c r="M527" s="29">
        <v>2073427</v>
      </c>
      <c r="N527" s="30">
        <v>0</v>
      </c>
      <c r="O527" s="30">
        <v>0</v>
      </c>
      <c r="P527" s="30">
        <v>0</v>
      </c>
      <c r="Q527" s="29">
        <v>0</v>
      </c>
      <c r="R527" s="29">
        <v>2073427</v>
      </c>
      <c r="S527" s="29">
        <v>3000</v>
      </c>
      <c r="T527" s="29">
        <f t="shared" si="31"/>
        <v>2076427</v>
      </c>
    </row>
    <row r="528" spans="1:20" ht="21" customHeight="1" x14ac:dyDescent="0.25">
      <c r="A528" s="21">
        <v>157</v>
      </c>
      <c r="B528" s="7" t="s">
        <v>1538</v>
      </c>
      <c r="C528" s="2" t="s">
        <v>1539</v>
      </c>
      <c r="D528" s="23" t="s">
        <v>23</v>
      </c>
      <c r="E528" s="24" t="s">
        <v>1540</v>
      </c>
      <c r="F528" s="25" t="s">
        <v>25</v>
      </c>
      <c r="G528" s="26">
        <v>3500</v>
      </c>
      <c r="H528" s="91" t="s">
        <v>26</v>
      </c>
      <c r="I528" s="25" t="s">
        <v>1541</v>
      </c>
      <c r="J528" s="1">
        <v>34448</v>
      </c>
      <c r="K528" s="1">
        <v>35660</v>
      </c>
      <c r="L528" s="28">
        <v>1212</v>
      </c>
      <c r="M528" s="29">
        <v>2059830</v>
      </c>
      <c r="N528" s="30">
        <v>0</v>
      </c>
      <c r="O528" s="30">
        <v>0</v>
      </c>
      <c r="P528" s="30">
        <v>0</v>
      </c>
      <c r="Q528" s="29">
        <v>0</v>
      </c>
      <c r="R528" s="29">
        <v>2059830</v>
      </c>
      <c r="S528" s="29">
        <v>3000</v>
      </c>
      <c r="T528" s="29">
        <f t="shared" si="31"/>
        <v>2062830</v>
      </c>
    </row>
    <row r="529" spans="1:20" ht="21" customHeight="1" x14ac:dyDescent="0.25">
      <c r="A529" s="21">
        <v>158</v>
      </c>
      <c r="B529" s="7" t="s">
        <v>1542</v>
      </c>
      <c r="C529" s="2" t="s">
        <v>1543</v>
      </c>
      <c r="D529" s="23" t="s">
        <v>23</v>
      </c>
      <c r="E529" s="24" t="s">
        <v>1544</v>
      </c>
      <c r="F529" s="25" t="s">
        <v>25</v>
      </c>
      <c r="G529" s="26">
        <v>1300</v>
      </c>
      <c r="H529" s="91" t="s">
        <v>26</v>
      </c>
      <c r="I529" s="25" t="s">
        <v>1545</v>
      </c>
      <c r="J529" s="1">
        <v>99454</v>
      </c>
      <c r="K529" s="1">
        <v>99870</v>
      </c>
      <c r="L529" s="28">
        <v>416</v>
      </c>
      <c r="M529" s="29">
        <v>707004</v>
      </c>
      <c r="N529" s="30">
        <v>0</v>
      </c>
      <c r="O529" s="30">
        <v>0</v>
      </c>
      <c r="P529" s="30">
        <v>0</v>
      </c>
      <c r="Q529" s="29">
        <v>0</v>
      </c>
      <c r="R529" s="29">
        <v>707004</v>
      </c>
      <c r="S529" s="29">
        <v>3000</v>
      </c>
      <c r="T529" s="29">
        <f t="shared" si="31"/>
        <v>710004</v>
      </c>
    </row>
    <row r="530" spans="1:20" ht="21" customHeight="1" x14ac:dyDescent="0.25">
      <c r="A530" s="21">
        <v>159</v>
      </c>
      <c r="B530" s="7" t="s">
        <v>1546</v>
      </c>
      <c r="C530" s="2" t="s">
        <v>1547</v>
      </c>
      <c r="D530" s="23" t="s">
        <v>23</v>
      </c>
      <c r="E530" s="24" t="s">
        <v>1548</v>
      </c>
      <c r="F530" s="25" t="s">
        <v>25</v>
      </c>
      <c r="G530" s="26">
        <v>2200</v>
      </c>
      <c r="H530" s="91" t="s">
        <v>26</v>
      </c>
      <c r="I530" s="25" t="s">
        <v>1549</v>
      </c>
      <c r="J530" s="1">
        <v>50602</v>
      </c>
      <c r="K530" s="1">
        <v>51871</v>
      </c>
      <c r="L530" s="28">
        <v>1269</v>
      </c>
      <c r="M530" s="29">
        <v>2156704</v>
      </c>
      <c r="N530" s="30">
        <v>0</v>
      </c>
      <c r="O530" s="30">
        <v>0</v>
      </c>
      <c r="P530" s="30">
        <v>0</v>
      </c>
      <c r="Q530" s="29">
        <v>0</v>
      </c>
      <c r="R530" s="29">
        <v>2156704</v>
      </c>
      <c r="S530" s="29">
        <v>3000</v>
      </c>
      <c r="T530" s="29">
        <f t="shared" si="31"/>
        <v>2159704</v>
      </c>
    </row>
    <row r="531" spans="1:20" ht="21" customHeight="1" x14ac:dyDescent="0.25">
      <c r="A531" s="21">
        <v>160</v>
      </c>
      <c r="B531" s="7" t="s">
        <v>1550</v>
      </c>
      <c r="C531" s="2" t="s">
        <v>1551</v>
      </c>
      <c r="D531" s="23" t="s">
        <v>23</v>
      </c>
      <c r="E531" s="24" t="s">
        <v>1552</v>
      </c>
      <c r="F531" s="25" t="s">
        <v>25</v>
      </c>
      <c r="G531" s="26">
        <v>3500</v>
      </c>
      <c r="H531" s="91" t="s">
        <v>26</v>
      </c>
      <c r="I531" s="25" t="s">
        <v>1553</v>
      </c>
      <c r="J531" s="1">
        <v>26340</v>
      </c>
      <c r="K531" s="1">
        <v>28636</v>
      </c>
      <c r="L531" s="28">
        <v>2296</v>
      </c>
      <c r="M531" s="29">
        <v>3902121</v>
      </c>
      <c r="N531" s="30">
        <v>0</v>
      </c>
      <c r="O531" s="30">
        <v>0</v>
      </c>
      <c r="P531" s="30">
        <v>0</v>
      </c>
      <c r="Q531" s="29">
        <v>0</v>
      </c>
      <c r="R531" s="29">
        <v>3902121</v>
      </c>
      <c r="S531" s="29">
        <v>3000</v>
      </c>
      <c r="T531" s="29">
        <f t="shared" si="31"/>
        <v>3905121</v>
      </c>
    </row>
    <row r="532" spans="1:20" s="35" customFormat="1" ht="21" customHeight="1" x14ac:dyDescent="0.25">
      <c r="A532" s="24"/>
      <c r="B532" s="25"/>
      <c r="C532" s="24"/>
      <c r="D532" s="24"/>
      <c r="E532" s="24"/>
      <c r="F532" s="25"/>
      <c r="G532" s="25"/>
      <c r="H532" s="25"/>
      <c r="I532" s="25" t="s">
        <v>0</v>
      </c>
      <c r="J532" s="25"/>
      <c r="K532" s="25"/>
      <c r="L532" s="28" t="s">
        <v>0</v>
      </c>
      <c r="M532" s="29"/>
      <c r="N532" s="48"/>
      <c r="O532" s="48"/>
      <c r="P532" s="48"/>
      <c r="Q532" s="47"/>
      <c r="R532" s="29"/>
      <c r="S532" s="29"/>
      <c r="T532" s="29"/>
    </row>
    <row r="533" spans="1:20" ht="36" customHeight="1" x14ac:dyDescent="0.25">
      <c r="A533" s="44" t="s">
        <v>179</v>
      </c>
      <c r="B533" s="20"/>
      <c r="C533" s="20"/>
      <c r="D533" s="20"/>
      <c r="E533" s="20"/>
      <c r="F533" s="20"/>
      <c r="G533" s="70">
        <v>726000</v>
      </c>
      <c r="H533" s="70">
        <v>0</v>
      </c>
      <c r="I533" s="70">
        <v>0</v>
      </c>
      <c r="J533" s="70"/>
      <c r="K533" s="70"/>
      <c r="L533" s="70">
        <v>146126</v>
      </c>
      <c r="M533" s="70">
        <v>248345517</v>
      </c>
      <c r="N533" s="70">
        <v>0</v>
      </c>
      <c r="O533" s="70">
        <v>0</v>
      </c>
      <c r="P533" s="70">
        <v>0</v>
      </c>
      <c r="Q533" s="152">
        <f>SUM(Q490:Q532)</f>
        <v>0</v>
      </c>
      <c r="R533" s="152">
        <f t="shared" ref="R533:T533" si="32">SUM(R490:R532)</f>
        <v>248345517</v>
      </c>
      <c r="S533" s="152">
        <f t="shared" si="32"/>
        <v>480000</v>
      </c>
      <c r="T533" s="152">
        <f t="shared" si="32"/>
        <v>248825517</v>
      </c>
    </row>
    <row r="534" spans="1:20" ht="21" customHeight="1" x14ac:dyDescent="0.25">
      <c r="L534" s="41"/>
    </row>
    <row r="535" spans="1:20" ht="21" customHeight="1" x14ac:dyDescent="0.25">
      <c r="A535" s="14"/>
      <c r="C535" s="14" t="s">
        <v>180</v>
      </c>
      <c r="D535" s="14"/>
      <c r="E535" s="14" t="s">
        <v>180</v>
      </c>
      <c r="L535" s="41"/>
    </row>
    <row r="536" spans="1:20" s="93" customFormat="1" ht="42" customHeight="1" x14ac:dyDescent="0.25">
      <c r="A536" s="31" t="s">
        <v>4</v>
      </c>
      <c r="B536" s="31" t="s">
        <v>5</v>
      </c>
      <c r="C536" s="31" t="s">
        <v>6</v>
      </c>
      <c r="D536" s="22"/>
      <c r="E536" s="31" t="s">
        <v>7</v>
      </c>
      <c r="F536" s="31" t="s">
        <v>8</v>
      </c>
      <c r="G536" s="31" t="s">
        <v>9</v>
      </c>
      <c r="H536" s="31" t="s">
        <v>10</v>
      </c>
      <c r="I536" s="31" t="s">
        <v>11</v>
      </c>
      <c r="J536" s="31" t="s">
        <v>12</v>
      </c>
      <c r="K536" s="31" t="s">
        <v>13</v>
      </c>
      <c r="L536" s="31" t="s">
        <v>14</v>
      </c>
      <c r="M536" s="141" t="s">
        <v>15</v>
      </c>
      <c r="N536" s="142" t="s">
        <v>16</v>
      </c>
      <c r="O536" s="142" t="s">
        <v>17</v>
      </c>
      <c r="P536" s="142" t="s">
        <v>18</v>
      </c>
      <c r="Q536" s="141" t="s">
        <v>19</v>
      </c>
      <c r="R536" s="141" t="s">
        <v>20</v>
      </c>
      <c r="S536" s="141" t="s">
        <v>3655</v>
      </c>
      <c r="T536" s="141" t="s">
        <v>3656</v>
      </c>
    </row>
    <row r="537" spans="1:20" ht="21" customHeight="1" x14ac:dyDescent="0.25">
      <c r="A537" s="44"/>
      <c r="B537" s="20"/>
      <c r="C537" s="20"/>
      <c r="D537" s="20"/>
      <c r="E537" s="20"/>
      <c r="F537" s="20"/>
      <c r="G537" s="20"/>
      <c r="H537" s="20"/>
      <c r="I537" s="25" t="s">
        <v>0</v>
      </c>
      <c r="J537" s="25"/>
      <c r="K537" s="25"/>
      <c r="L537" s="28" t="s">
        <v>0</v>
      </c>
      <c r="M537" s="29"/>
      <c r="N537" s="30"/>
      <c r="O537" s="30"/>
      <c r="P537" s="30"/>
      <c r="Q537" s="29"/>
      <c r="R537" s="29"/>
      <c r="S537" s="29"/>
      <c r="T537" s="29"/>
    </row>
    <row r="538" spans="1:20" ht="21" customHeight="1" x14ac:dyDescent="0.25">
      <c r="A538" s="44"/>
      <c r="B538" s="20"/>
      <c r="C538" s="25"/>
      <c r="D538" s="25"/>
      <c r="E538" s="45" t="s">
        <v>181</v>
      </c>
      <c r="F538" s="25"/>
      <c r="G538" s="70">
        <v>726000</v>
      </c>
      <c r="H538" s="70">
        <v>0</v>
      </c>
      <c r="I538" s="70">
        <v>0</v>
      </c>
      <c r="J538" s="70"/>
      <c r="K538" s="70"/>
      <c r="L538" s="70">
        <v>146126</v>
      </c>
      <c r="M538" s="72">
        <v>248345517</v>
      </c>
      <c r="N538" s="73">
        <v>0</v>
      </c>
      <c r="O538" s="73">
        <v>0</v>
      </c>
      <c r="P538" s="73">
        <v>0</v>
      </c>
      <c r="Q538" s="72">
        <f>Q533</f>
        <v>0</v>
      </c>
      <c r="R538" s="72">
        <f t="shared" ref="R538:T538" si="33">R533</f>
        <v>248345517</v>
      </c>
      <c r="S538" s="72">
        <f t="shared" si="33"/>
        <v>480000</v>
      </c>
      <c r="T538" s="72">
        <f t="shared" si="33"/>
        <v>248825517</v>
      </c>
    </row>
    <row r="539" spans="1:20" ht="21" customHeight="1" x14ac:dyDescent="0.25">
      <c r="A539" s="21">
        <v>161</v>
      </c>
      <c r="B539" s="7" t="s">
        <v>1554</v>
      </c>
      <c r="C539" s="2" t="s">
        <v>1555</v>
      </c>
      <c r="D539" s="23" t="s">
        <v>23</v>
      </c>
      <c r="E539" s="24" t="s">
        <v>1556</v>
      </c>
      <c r="F539" s="25" t="s">
        <v>25</v>
      </c>
      <c r="G539" s="26">
        <v>2200</v>
      </c>
      <c r="H539" s="91" t="s">
        <v>26</v>
      </c>
      <c r="I539" s="25" t="s">
        <v>1557</v>
      </c>
      <c r="J539" s="25">
        <v>7147</v>
      </c>
      <c r="K539" s="25">
        <v>7755</v>
      </c>
      <c r="L539" s="28">
        <v>608</v>
      </c>
      <c r="M539" s="29">
        <v>1033314</v>
      </c>
      <c r="N539" s="30">
        <v>0</v>
      </c>
      <c r="O539" s="30">
        <v>0</v>
      </c>
      <c r="P539" s="30">
        <v>0</v>
      </c>
      <c r="Q539" s="29">
        <v>0</v>
      </c>
      <c r="R539" s="29">
        <v>1033314</v>
      </c>
      <c r="S539" s="29">
        <v>3000</v>
      </c>
      <c r="T539" s="29">
        <f t="shared" ref="T539:T578" si="34">R539+S539</f>
        <v>1036314</v>
      </c>
    </row>
    <row r="540" spans="1:20" ht="21" customHeight="1" x14ac:dyDescent="0.25">
      <c r="A540" s="21">
        <v>162</v>
      </c>
      <c r="B540" s="7" t="s">
        <v>1558</v>
      </c>
      <c r="C540" s="2" t="s">
        <v>1559</v>
      </c>
      <c r="D540" s="23" t="s">
        <v>84</v>
      </c>
      <c r="E540" s="24" t="s">
        <v>1560</v>
      </c>
      <c r="F540" s="25" t="s">
        <v>25</v>
      </c>
      <c r="G540" s="26">
        <v>5500</v>
      </c>
      <c r="H540" s="91" t="s">
        <v>26</v>
      </c>
      <c r="I540" s="25" t="s">
        <v>1561</v>
      </c>
      <c r="J540" s="25">
        <v>62628</v>
      </c>
      <c r="K540" s="25">
        <v>63925</v>
      </c>
      <c r="L540" s="28">
        <v>1297</v>
      </c>
      <c r="M540" s="29">
        <v>2204290</v>
      </c>
      <c r="N540" s="30">
        <v>0</v>
      </c>
      <c r="O540" s="30">
        <v>0</v>
      </c>
      <c r="P540" s="30">
        <v>0</v>
      </c>
      <c r="Q540" s="29">
        <v>0</v>
      </c>
      <c r="R540" s="29">
        <v>2204290</v>
      </c>
      <c r="S540" s="29">
        <v>3000</v>
      </c>
      <c r="T540" s="29">
        <f t="shared" si="34"/>
        <v>2207290</v>
      </c>
    </row>
    <row r="541" spans="1:20" ht="21" customHeight="1" x14ac:dyDescent="0.25">
      <c r="A541" s="21">
        <v>163</v>
      </c>
      <c r="B541" s="7" t="s">
        <v>1562</v>
      </c>
      <c r="C541" s="2" t="s">
        <v>1563</v>
      </c>
      <c r="D541" s="23" t="s">
        <v>84</v>
      </c>
      <c r="E541" s="24" t="s">
        <v>1564</v>
      </c>
      <c r="F541" s="25" t="s">
        <v>25</v>
      </c>
      <c r="G541" s="26">
        <v>5500</v>
      </c>
      <c r="H541" s="91" t="s">
        <v>26</v>
      </c>
      <c r="I541" s="25" t="s">
        <v>1565</v>
      </c>
      <c r="J541" s="25">
        <v>93206</v>
      </c>
      <c r="K541" s="25">
        <v>93589</v>
      </c>
      <c r="L541" s="28">
        <v>383</v>
      </c>
      <c r="M541" s="29">
        <v>650920</v>
      </c>
      <c r="N541" s="30">
        <v>0</v>
      </c>
      <c r="O541" s="30">
        <v>0</v>
      </c>
      <c r="P541" s="30">
        <v>0</v>
      </c>
      <c r="Q541" s="29">
        <v>0</v>
      </c>
      <c r="R541" s="29">
        <v>650920</v>
      </c>
      <c r="S541" s="29">
        <v>3000</v>
      </c>
      <c r="T541" s="29">
        <f t="shared" si="34"/>
        <v>653920</v>
      </c>
    </row>
    <row r="542" spans="1:20" ht="21" customHeight="1" x14ac:dyDescent="0.25">
      <c r="A542" s="21">
        <v>164</v>
      </c>
      <c r="B542" s="7" t="s">
        <v>1566</v>
      </c>
      <c r="C542" s="2" t="s">
        <v>1567</v>
      </c>
      <c r="D542" s="23" t="s">
        <v>23</v>
      </c>
      <c r="E542" s="24" t="s">
        <v>1528</v>
      </c>
      <c r="F542" s="25" t="s">
        <v>25</v>
      </c>
      <c r="G542" s="26">
        <v>3500</v>
      </c>
      <c r="H542" s="91" t="s">
        <v>26</v>
      </c>
      <c r="I542" s="25" t="s">
        <v>1568</v>
      </c>
      <c r="J542" s="25">
        <v>16283</v>
      </c>
      <c r="K542" s="25">
        <v>18705</v>
      </c>
      <c r="L542" s="28">
        <v>2422</v>
      </c>
      <c r="M542" s="29">
        <v>4116262</v>
      </c>
      <c r="N542" s="30">
        <v>0</v>
      </c>
      <c r="O542" s="30">
        <v>0</v>
      </c>
      <c r="P542" s="30">
        <v>0</v>
      </c>
      <c r="Q542" s="29">
        <v>0</v>
      </c>
      <c r="R542" s="29">
        <v>4116262</v>
      </c>
      <c r="S542" s="29">
        <v>3000</v>
      </c>
      <c r="T542" s="29">
        <f t="shared" si="34"/>
        <v>4119262</v>
      </c>
    </row>
    <row r="543" spans="1:20" ht="21" customHeight="1" x14ac:dyDescent="0.25">
      <c r="A543" s="21">
        <v>165</v>
      </c>
      <c r="B543" s="7" t="s">
        <v>1569</v>
      </c>
      <c r="C543" s="2" t="s">
        <v>1570</v>
      </c>
      <c r="D543" s="23" t="s">
        <v>23</v>
      </c>
      <c r="E543" s="24" t="s">
        <v>1571</v>
      </c>
      <c r="F543" s="25" t="s">
        <v>25</v>
      </c>
      <c r="G543" s="26">
        <v>2200</v>
      </c>
      <c r="H543" s="91" t="s">
        <v>26</v>
      </c>
      <c r="I543" s="25" t="s">
        <v>1572</v>
      </c>
      <c r="J543" s="25">
        <v>9173</v>
      </c>
      <c r="K543" s="25">
        <v>9904</v>
      </c>
      <c r="L543" s="28">
        <v>731</v>
      </c>
      <c r="M543" s="29">
        <v>1242356</v>
      </c>
      <c r="N543" s="30">
        <v>0</v>
      </c>
      <c r="O543" s="30">
        <v>0</v>
      </c>
      <c r="P543" s="30">
        <v>0</v>
      </c>
      <c r="Q543" s="29">
        <v>0</v>
      </c>
      <c r="R543" s="29">
        <v>1242356</v>
      </c>
      <c r="S543" s="29">
        <v>3000</v>
      </c>
      <c r="T543" s="29">
        <f t="shared" si="34"/>
        <v>1245356</v>
      </c>
    </row>
    <row r="544" spans="1:20" ht="21" customHeight="1" x14ac:dyDescent="0.25">
      <c r="A544" s="21">
        <v>166</v>
      </c>
      <c r="B544" s="7" t="s">
        <v>1573</v>
      </c>
      <c r="C544" s="2" t="s">
        <v>1574</v>
      </c>
      <c r="D544" s="23" t="s">
        <v>23</v>
      </c>
      <c r="E544" s="24" t="s">
        <v>1575</v>
      </c>
      <c r="F544" s="25" t="s">
        <v>25</v>
      </c>
      <c r="G544" s="26">
        <v>2200</v>
      </c>
      <c r="H544" s="91" t="s">
        <v>26</v>
      </c>
      <c r="I544" s="25" t="s">
        <v>1576</v>
      </c>
      <c r="J544" s="25">
        <v>52737</v>
      </c>
      <c r="K544" s="25">
        <v>53970</v>
      </c>
      <c r="L544" s="28">
        <v>1233</v>
      </c>
      <c r="M544" s="29">
        <v>2095520</v>
      </c>
      <c r="N544" s="30">
        <v>0</v>
      </c>
      <c r="O544" s="30">
        <v>0</v>
      </c>
      <c r="P544" s="30">
        <v>0</v>
      </c>
      <c r="Q544" s="29">
        <v>0</v>
      </c>
      <c r="R544" s="29">
        <v>2095520</v>
      </c>
      <c r="S544" s="29">
        <v>3000</v>
      </c>
      <c r="T544" s="29">
        <f t="shared" si="34"/>
        <v>2098520</v>
      </c>
    </row>
    <row r="545" spans="1:20" ht="21" customHeight="1" x14ac:dyDescent="0.25">
      <c r="A545" s="21">
        <v>167</v>
      </c>
      <c r="B545" s="7" t="s">
        <v>1577</v>
      </c>
      <c r="C545" s="2" t="s">
        <v>1578</v>
      </c>
      <c r="D545" s="23" t="s">
        <v>23</v>
      </c>
      <c r="E545" s="24" t="s">
        <v>1470</v>
      </c>
      <c r="F545" s="25" t="s">
        <v>25</v>
      </c>
      <c r="G545" s="26">
        <v>4400</v>
      </c>
      <c r="H545" s="91" t="s">
        <v>26</v>
      </c>
      <c r="I545" s="25" t="s">
        <v>1579</v>
      </c>
      <c r="J545" s="25">
        <v>78260</v>
      </c>
      <c r="K545" s="25">
        <v>79822</v>
      </c>
      <c r="L545" s="28">
        <v>1562</v>
      </c>
      <c r="M545" s="29">
        <v>2654666</v>
      </c>
      <c r="N545" s="30">
        <v>0</v>
      </c>
      <c r="O545" s="30">
        <v>0</v>
      </c>
      <c r="P545" s="30">
        <v>0</v>
      </c>
      <c r="Q545" s="29">
        <v>0</v>
      </c>
      <c r="R545" s="29">
        <v>2654666</v>
      </c>
      <c r="S545" s="29">
        <v>3000</v>
      </c>
      <c r="T545" s="29">
        <f t="shared" si="34"/>
        <v>2657666</v>
      </c>
    </row>
    <row r="546" spans="1:20" ht="21" customHeight="1" x14ac:dyDescent="0.25">
      <c r="A546" s="21">
        <v>168</v>
      </c>
      <c r="B546" s="7" t="s">
        <v>1580</v>
      </c>
      <c r="C546" s="2" t="s">
        <v>1581</v>
      </c>
      <c r="D546" s="23" t="s">
        <v>23</v>
      </c>
      <c r="E546" s="24" t="s">
        <v>1582</v>
      </c>
      <c r="F546" s="25" t="s">
        <v>25</v>
      </c>
      <c r="G546" s="26">
        <v>4400</v>
      </c>
      <c r="H546" s="91" t="s">
        <v>26</v>
      </c>
      <c r="I546" s="25" t="s">
        <v>1583</v>
      </c>
      <c r="J546" s="25">
        <v>68798</v>
      </c>
      <c r="K546" s="25">
        <v>70084</v>
      </c>
      <c r="L546" s="28">
        <v>1286</v>
      </c>
      <c r="M546" s="29">
        <v>2185596</v>
      </c>
      <c r="N546" s="30">
        <v>0</v>
      </c>
      <c r="O546" s="30">
        <v>0</v>
      </c>
      <c r="P546" s="30">
        <v>0</v>
      </c>
      <c r="Q546" s="29">
        <v>0</v>
      </c>
      <c r="R546" s="29">
        <v>2185596</v>
      </c>
      <c r="S546" s="29">
        <v>3000</v>
      </c>
      <c r="T546" s="29">
        <f t="shared" si="34"/>
        <v>2188596</v>
      </c>
    </row>
    <row r="547" spans="1:20" ht="21" customHeight="1" x14ac:dyDescent="0.25">
      <c r="A547" s="21">
        <v>169</v>
      </c>
      <c r="B547" s="7" t="s">
        <v>1584</v>
      </c>
      <c r="C547" s="2" t="s">
        <v>1585</v>
      </c>
      <c r="D547" s="23" t="s">
        <v>84</v>
      </c>
      <c r="E547" s="24" t="s">
        <v>1586</v>
      </c>
      <c r="F547" s="25" t="s">
        <v>25</v>
      </c>
      <c r="G547" s="26">
        <v>4400</v>
      </c>
      <c r="H547" s="91" t="s">
        <v>26</v>
      </c>
      <c r="I547" s="25" t="s">
        <v>1587</v>
      </c>
      <c r="J547" s="25">
        <v>10246</v>
      </c>
      <c r="K547" s="25">
        <v>11185</v>
      </c>
      <c r="L547" s="28">
        <v>939</v>
      </c>
      <c r="M547" s="29">
        <v>1595859</v>
      </c>
      <c r="N547" s="30">
        <v>0</v>
      </c>
      <c r="O547" s="30">
        <v>0</v>
      </c>
      <c r="P547" s="30">
        <v>0</v>
      </c>
      <c r="Q547" s="29">
        <v>0</v>
      </c>
      <c r="R547" s="29">
        <v>1595859</v>
      </c>
      <c r="S547" s="29">
        <v>3000</v>
      </c>
      <c r="T547" s="29">
        <f t="shared" si="34"/>
        <v>1598859</v>
      </c>
    </row>
    <row r="548" spans="1:20" ht="21" customHeight="1" x14ac:dyDescent="0.25">
      <c r="A548" s="21">
        <v>170</v>
      </c>
      <c r="B548" s="7" t="s">
        <v>1588</v>
      </c>
      <c r="C548" s="2" t="s">
        <v>1589</v>
      </c>
      <c r="D548" s="23" t="s">
        <v>23</v>
      </c>
      <c r="E548" s="24" t="s">
        <v>1305</v>
      </c>
      <c r="F548" s="25" t="s">
        <v>25</v>
      </c>
      <c r="G548" s="26">
        <v>2200</v>
      </c>
      <c r="H548" s="91" t="s">
        <v>26</v>
      </c>
      <c r="I548" s="25" t="s">
        <v>1590</v>
      </c>
      <c r="J548" s="25">
        <v>1529</v>
      </c>
      <c r="K548" s="25">
        <v>2156</v>
      </c>
      <c r="L548" s="28">
        <v>627</v>
      </c>
      <c r="M548" s="29">
        <v>1065605</v>
      </c>
      <c r="N548" s="30">
        <v>0</v>
      </c>
      <c r="O548" s="30">
        <v>0</v>
      </c>
      <c r="P548" s="30">
        <v>0</v>
      </c>
      <c r="Q548" s="29">
        <v>0</v>
      </c>
      <c r="R548" s="29">
        <v>1065605</v>
      </c>
      <c r="S548" s="29">
        <v>3000</v>
      </c>
      <c r="T548" s="29">
        <f t="shared" si="34"/>
        <v>1068605</v>
      </c>
    </row>
    <row r="549" spans="1:20" ht="21" customHeight="1" x14ac:dyDescent="0.25">
      <c r="A549" s="21">
        <v>171</v>
      </c>
      <c r="B549" s="7" t="s">
        <v>1591</v>
      </c>
      <c r="C549" s="2" t="s">
        <v>1592</v>
      </c>
      <c r="D549" s="23" t="s">
        <v>84</v>
      </c>
      <c r="E549" s="24" t="s">
        <v>1593</v>
      </c>
      <c r="F549" s="25" t="s">
        <v>25</v>
      </c>
      <c r="G549" s="26">
        <v>4400</v>
      </c>
      <c r="H549" s="91" t="s">
        <v>26</v>
      </c>
      <c r="I549" s="25" t="s">
        <v>1594</v>
      </c>
      <c r="J549" s="25">
        <v>415</v>
      </c>
      <c r="K549" s="25">
        <v>2877</v>
      </c>
      <c r="L549" s="28">
        <v>2462</v>
      </c>
      <c r="M549" s="29">
        <v>4184243</v>
      </c>
      <c r="N549" s="30">
        <v>0</v>
      </c>
      <c r="O549" s="30">
        <v>0</v>
      </c>
      <c r="P549" s="30">
        <v>0</v>
      </c>
      <c r="Q549" s="29">
        <v>0</v>
      </c>
      <c r="R549" s="29">
        <v>4184243</v>
      </c>
      <c r="S549" s="29">
        <v>3000</v>
      </c>
      <c r="T549" s="29">
        <f t="shared" si="34"/>
        <v>4187243</v>
      </c>
    </row>
    <row r="550" spans="1:20" ht="21" customHeight="1" x14ac:dyDescent="0.25">
      <c r="A550" s="21">
        <v>172</v>
      </c>
      <c r="B550" s="7" t="s">
        <v>1595</v>
      </c>
      <c r="C550" s="2" t="s">
        <v>1596</v>
      </c>
      <c r="D550" s="23" t="s">
        <v>30</v>
      </c>
      <c r="E550" s="24" t="s">
        <v>1597</v>
      </c>
      <c r="F550" s="25" t="s">
        <v>25</v>
      </c>
      <c r="G550" s="26">
        <v>3500</v>
      </c>
      <c r="H550" s="91" t="s">
        <v>26</v>
      </c>
      <c r="I550" s="25" t="s">
        <v>1598</v>
      </c>
      <c r="J550" s="25">
        <v>207815</v>
      </c>
      <c r="K550" s="25">
        <v>209811</v>
      </c>
      <c r="L550" s="28">
        <v>1996</v>
      </c>
      <c r="M550" s="29">
        <v>3392262</v>
      </c>
      <c r="N550" s="30">
        <v>0</v>
      </c>
      <c r="O550" s="30">
        <v>0</v>
      </c>
      <c r="P550" s="30">
        <v>0</v>
      </c>
      <c r="Q550" s="29">
        <v>0</v>
      </c>
      <c r="R550" s="29">
        <v>3392262</v>
      </c>
      <c r="S550" s="29">
        <v>3000</v>
      </c>
      <c r="T550" s="29">
        <f t="shared" si="34"/>
        <v>3395262</v>
      </c>
    </row>
    <row r="551" spans="1:20" ht="21" customHeight="1" x14ac:dyDescent="0.25">
      <c r="A551" s="21">
        <v>173</v>
      </c>
      <c r="B551" s="7" t="s">
        <v>1599</v>
      </c>
      <c r="C551" s="2" t="s">
        <v>1600</v>
      </c>
      <c r="D551" s="23" t="s">
        <v>23</v>
      </c>
      <c r="E551" s="24" t="s">
        <v>1601</v>
      </c>
      <c r="F551" s="25" t="s">
        <v>25</v>
      </c>
      <c r="G551" s="26">
        <v>3500</v>
      </c>
      <c r="H551" s="91" t="s">
        <v>26</v>
      </c>
      <c r="I551" s="25" t="s">
        <v>1602</v>
      </c>
      <c r="J551" s="25">
        <v>20801</v>
      </c>
      <c r="K551" s="25">
        <v>22453</v>
      </c>
      <c r="L551" s="28">
        <v>1652</v>
      </c>
      <c r="M551" s="29">
        <v>2807624</v>
      </c>
      <c r="N551" s="30">
        <v>0</v>
      </c>
      <c r="O551" s="30">
        <v>0</v>
      </c>
      <c r="P551" s="30">
        <v>0</v>
      </c>
      <c r="Q551" s="29">
        <v>0</v>
      </c>
      <c r="R551" s="29">
        <v>2807624</v>
      </c>
      <c r="S551" s="29">
        <v>3000</v>
      </c>
      <c r="T551" s="29">
        <f t="shared" si="34"/>
        <v>2810624</v>
      </c>
    </row>
    <row r="552" spans="1:20" ht="21" customHeight="1" x14ac:dyDescent="0.25">
      <c r="A552" s="21">
        <v>174</v>
      </c>
      <c r="B552" s="7" t="s">
        <v>1603</v>
      </c>
      <c r="C552" s="2" t="s">
        <v>1604</v>
      </c>
      <c r="D552" s="23" t="s">
        <v>23</v>
      </c>
      <c r="E552" s="24" t="s">
        <v>1605</v>
      </c>
      <c r="F552" s="25" t="s">
        <v>25</v>
      </c>
      <c r="G552" s="26">
        <v>3500</v>
      </c>
      <c r="H552" s="91" t="s">
        <v>26</v>
      </c>
      <c r="I552" s="25" t="s">
        <v>1606</v>
      </c>
      <c r="J552" s="25">
        <v>77262</v>
      </c>
      <c r="K552" s="25">
        <v>78020</v>
      </c>
      <c r="L552" s="28">
        <v>758</v>
      </c>
      <c r="M552" s="29">
        <v>1288244</v>
      </c>
      <c r="N552" s="30">
        <v>0</v>
      </c>
      <c r="O552" s="30">
        <v>0</v>
      </c>
      <c r="P552" s="30">
        <v>0</v>
      </c>
      <c r="Q552" s="29">
        <v>0</v>
      </c>
      <c r="R552" s="29">
        <v>1288244</v>
      </c>
      <c r="S552" s="29">
        <v>3000</v>
      </c>
      <c r="T552" s="29">
        <f t="shared" si="34"/>
        <v>1291244</v>
      </c>
    </row>
    <row r="553" spans="1:20" ht="21" customHeight="1" x14ac:dyDescent="0.25">
      <c r="A553" s="21">
        <v>175</v>
      </c>
      <c r="B553" s="7" t="s">
        <v>1607</v>
      </c>
      <c r="C553" s="2" t="s">
        <v>1608</v>
      </c>
      <c r="D553" s="23" t="s">
        <v>23</v>
      </c>
      <c r="E553" s="24" t="s">
        <v>1609</v>
      </c>
      <c r="F553" s="25" t="s">
        <v>25</v>
      </c>
      <c r="G553" s="26">
        <v>3500</v>
      </c>
      <c r="H553" s="91" t="s">
        <v>26</v>
      </c>
      <c r="I553" s="25" t="s">
        <v>1610</v>
      </c>
      <c r="J553" s="25">
        <v>141681</v>
      </c>
      <c r="K553" s="25">
        <v>143323</v>
      </c>
      <c r="L553" s="28">
        <v>1642</v>
      </c>
      <c r="M553" s="29">
        <v>2790628</v>
      </c>
      <c r="N553" s="30">
        <v>0</v>
      </c>
      <c r="O553" s="30">
        <v>0</v>
      </c>
      <c r="P553" s="30">
        <v>0</v>
      </c>
      <c r="Q553" s="29">
        <v>0</v>
      </c>
      <c r="R553" s="29">
        <v>2790628</v>
      </c>
      <c r="S553" s="29">
        <v>3000</v>
      </c>
      <c r="T553" s="29">
        <f t="shared" si="34"/>
        <v>2793628</v>
      </c>
    </row>
    <row r="554" spans="1:20" ht="21" customHeight="1" x14ac:dyDescent="0.25">
      <c r="A554" s="21">
        <v>176</v>
      </c>
      <c r="B554" s="7" t="s">
        <v>1611</v>
      </c>
      <c r="C554" s="2" t="s">
        <v>1612</v>
      </c>
      <c r="D554" s="23" t="s">
        <v>23</v>
      </c>
      <c r="E554" s="24" t="s">
        <v>1613</v>
      </c>
      <c r="F554" s="25" t="s">
        <v>25</v>
      </c>
      <c r="G554" s="26">
        <v>2200</v>
      </c>
      <c r="H554" s="91" t="s">
        <v>26</v>
      </c>
      <c r="I554" s="25" t="s">
        <v>1614</v>
      </c>
      <c r="J554" s="25">
        <v>9332</v>
      </c>
      <c r="K554" s="25">
        <v>10381</v>
      </c>
      <c r="L554" s="28">
        <v>1049</v>
      </c>
      <c r="M554" s="29">
        <v>1782807</v>
      </c>
      <c r="N554" s="30">
        <v>0</v>
      </c>
      <c r="O554" s="30">
        <v>0</v>
      </c>
      <c r="P554" s="30">
        <v>0</v>
      </c>
      <c r="Q554" s="29">
        <v>0</v>
      </c>
      <c r="R554" s="29">
        <v>1782807</v>
      </c>
      <c r="S554" s="29">
        <v>3000</v>
      </c>
      <c r="T554" s="29">
        <f t="shared" si="34"/>
        <v>1785807</v>
      </c>
    </row>
    <row r="555" spans="1:20" ht="21" customHeight="1" x14ac:dyDescent="0.25">
      <c r="A555" s="21">
        <v>177</v>
      </c>
      <c r="B555" s="7" t="s">
        <v>1615</v>
      </c>
      <c r="C555" s="2" t="s">
        <v>1616</v>
      </c>
      <c r="D555" s="23" t="s">
        <v>23</v>
      </c>
      <c r="E555" s="24" t="s">
        <v>1617</v>
      </c>
      <c r="F555" s="25" t="s">
        <v>25</v>
      </c>
      <c r="G555" s="26">
        <v>2200</v>
      </c>
      <c r="H555" s="91" t="s">
        <v>26</v>
      </c>
      <c r="I555" s="25" t="s">
        <v>1618</v>
      </c>
      <c r="J555" s="25">
        <v>30155</v>
      </c>
      <c r="K555" s="25">
        <v>30454</v>
      </c>
      <c r="L555" s="28">
        <v>299</v>
      </c>
      <c r="M555" s="29">
        <v>508159</v>
      </c>
      <c r="N555" s="30">
        <v>0</v>
      </c>
      <c r="O555" s="30">
        <v>0</v>
      </c>
      <c r="P555" s="30">
        <v>0</v>
      </c>
      <c r="Q555" s="29">
        <v>0</v>
      </c>
      <c r="R555" s="29">
        <v>508159</v>
      </c>
      <c r="S555" s="29">
        <v>3000</v>
      </c>
      <c r="T555" s="29">
        <f t="shared" si="34"/>
        <v>511159</v>
      </c>
    </row>
    <row r="556" spans="1:20" ht="21" customHeight="1" x14ac:dyDescent="0.25">
      <c r="A556" s="21">
        <v>178</v>
      </c>
      <c r="B556" s="7" t="s">
        <v>1619</v>
      </c>
      <c r="C556" s="2" t="s">
        <v>1620</v>
      </c>
      <c r="D556" s="23" t="s">
        <v>23</v>
      </c>
      <c r="E556" s="24" t="s">
        <v>1621</v>
      </c>
      <c r="F556" s="25" t="s">
        <v>25</v>
      </c>
      <c r="G556" s="26">
        <v>3500</v>
      </c>
      <c r="H556" s="91" t="s">
        <v>26</v>
      </c>
      <c r="I556" s="25" t="s">
        <v>1622</v>
      </c>
      <c r="J556" s="25">
        <v>49886</v>
      </c>
      <c r="K556" s="25">
        <v>51233</v>
      </c>
      <c r="L556" s="28">
        <v>1347</v>
      </c>
      <c r="M556" s="29">
        <v>2289267</v>
      </c>
      <c r="N556" s="30">
        <v>0</v>
      </c>
      <c r="O556" s="30">
        <v>0</v>
      </c>
      <c r="P556" s="30">
        <v>0</v>
      </c>
      <c r="Q556" s="29">
        <v>0</v>
      </c>
      <c r="R556" s="29">
        <v>2289267</v>
      </c>
      <c r="S556" s="29">
        <v>3000</v>
      </c>
      <c r="T556" s="29">
        <f t="shared" si="34"/>
        <v>2292267</v>
      </c>
    </row>
    <row r="557" spans="1:20" ht="21" customHeight="1" x14ac:dyDescent="0.25">
      <c r="A557" s="21">
        <v>179</v>
      </c>
      <c r="B557" s="7" t="s">
        <v>1623</v>
      </c>
      <c r="C557" s="2" t="s">
        <v>1624</v>
      </c>
      <c r="D557" s="23" t="s">
        <v>23</v>
      </c>
      <c r="E557" s="24" t="s">
        <v>1625</v>
      </c>
      <c r="F557" s="25" t="s">
        <v>25</v>
      </c>
      <c r="G557" s="26">
        <v>7700</v>
      </c>
      <c r="H557" s="91" t="s">
        <v>26</v>
      </c>
      <c r="I557" s="25" t="s">
        <v>1626</v>
      </c>
      <c r="J557" s="25">
        <v>46815</v>
      </c>
      <c r="K557" s="25">
        <v>48663</v>
      </c>
      <c r="L557" s="28">
        <v>1848</v>
      </c>
      <c r="M557" s="29">
        <v>3140731</v>
      </c>
      <c r="N557" s="30">
        <v>0</v>
      </c>
      <c r="O557" s="30">
        <v>0</v>
      </c>
      <c r="P557" s="30">
        <v>0</v>
      </c>
      <c r="Q557" s="29">
        <v>0</v>
      </c>
      <c r="R557" s="29">
        <v>3140731</v>
      </c>
      <c r="S557" s="29">
        <v>3000</v>
      </c>
      <c r="T557" s="29">
        <f t="shared" si="34"/>
        <v>3143731</v>
      </c>
    </row>
    <row r="558" spans="1:20" ht="21" customHeight="1" x14ac:dyDescent="0.25">
      <c r="A558" s="21">
        <v>180</v>
      </c>
      <c r="B558" s="7" t="s">
        <v>1627</v>
      </c>
      <c r="C558" s="2" t="s">
        <v>1628</v>
      </c>
      <c r="D558" s="23" t="s">
        <v>84</v>
      </c>
      <c r="E558" s="24" t="s">
        <v>1629</v>
      </c>
      <c r="F558" s="25" t="s">
        <v>25</v>
      </c>
      <c r="G558" s="26">
        <v>2200</v>
      </c>
      <c r="H558" s="91" t="s">
        <v>26</v>
      </c>
      <c r="I558" s="25" t="s">
        <v>1630</v>
      </c>
      <c r="J558" s="25">
        <v>394</v>
      </c>
      <c r="K558" s="25">
        <v>394</v>
      </c>
      <c r="L558" s="28">
        <v>88</v>
      </c>
      <c r="M558" s="29">
        <v>149559</v>
      </c>
      <c r="N558" s="30">
        <v>0</v>
      </c>
      <c r="O558" s="30">
        <v>0</v>
      </c>
      <c r="P558" s="30">
        <v>0</v>
      </c>
      <c r="Q558" s="29">
        <v>0</v>
      </c>
      <c r="R558" s="29">
        <v>149559</v>
      </c>
      <c r="S558" s="29">
        <v>3000</v>
      </c>
      <c r="T558" s="29">
        <f t="shared" si="34"/>
        <v>152559</v>
      </c>
    </row>
    <row r="559" spans="1:20" ht="21" customHeight="1" x14ac:dyDescent="0.25">
      <c r="A559" s="21">
        <v>181</v>
      </c>
      <c r="B559" s="7" t="s">
        <v>1631</v>
      </c>
      <c r="C559" s="2" t="s">
        <v>1632</v>
      </c>
      <c r="D559" s="23" t="s">
        <v>23</v>
      </c>
      <c r="E559" s="24" t="s">
        <v>1633</v>
      </c>
      <c r="F559" s="25" t="s">
        <v>25</v>
      </c>
      <c r="G559" s="26">
        <v>3500</v>
      </c>
      <c r="H559" s="91" t="s">
        <v>26</v>
      </c>
      <c r="I559" s="25" t="s">
        <v>1634</v>
      </c>
      <c r="J559" s="25">
        <v>65411</v>
      </c>
      <c r="K559" s="25">
        <v>66272</v>
      </c>
      <c r="L559" s="28">
        <v>861</v>
      </c>
      <c r="M559" s="29">
        <v>1463295</v>
      </c>
      <c r="N559" s="30">
        <v>0</v>
      </c>
      <c r="O559" s="30">
        <v>0</v>
      </c>
      <c r="P559" s="30">
        <v>0</v>
      </c>
      <c r="Q559" s="29">
        <v>0</v>
      </c>
      <c r="R559" s="29">
        <v>1463295</v>
      </c>
      <c r="S559" s="29">
        <v>3000</v>
      </c>
      <c r="T559" s="29">
        <f t="shared" si="34"/>
        <v>1466295</v>
      </c>
    </row>
    <row r="560" spans="1:20" ht="21" customHeight="1" x14ac:dyDescent="0.25">
      <c r="A560" s="21">
        <v>182</v>
      </c>
      <c r="B560" s="7" t="s">
        <v>1635</v>
      </c>
      <c r="C560" s="2" t="s">
        <v>1636</v>
      </c>
      <c r="D560" s="23" t="s">
        <v>84</v>
      </c>
      <c r="E560" s="24" t="s">
        <v>1637</v>
      </c>
      <c r="F560" s="25" t="s">
        <v>25</v>
      </c>
      <c r="G560" s="26">
        <v>4400</v>
      </c>
      <c r="H560" s="91" t="s">
        <v>26</v>
      </c>
      <c r="I560" s="25" t="s">
        <v>1638</v>
      </c>
      <c r="J560" s="25">
        <v>2578</v>
      </c>
      <c r="K560" s="25">
        <v>2578</v>
      </c>
      <c r="L560" s="28">
        <v>176</v>
      </c>
      <c r="M560" s="29">
        <v>299117</v>
      </c>
      <c r="N560" s="30">
        <v>0</v>
      </c>
      <c r="O560" s="30">
        <v>0</v>
      </c>
      <c r="P560" s="30">
        <v>0</v>
      </c>
      <c r="Q560" s="29">
        <v>0</v>
      </c>
      <c r="R560" s="29">
        <v>299117</v>
      </c>
      <c r="S560" s="29">
        <v>3000</v>
      </c>
      <c r="T560" s="29">
        <f t="shared" si="34"/>
        <v>302117</v>
      </c>
    </row>
    <row r="561" spans="1:20" ht="21" customHeight="1" x14ac:dyDescent="0.25">
      <c r="A561" s="21">
        <v>183</v>
      </c>
      <c r="B561" s="7" t="s">
        <v>1639</v>
      </c>
      <c r="C561" s="2" t="s">
        <v>1640</v>
      </c>
      <c r="D561" s="23" t="s">
        <v>23</v>
      </c>
      <c r="E561" s="24" t="s">
        <v>1641</v>
      </c>
      <c r="F561" s="25" t="s">
        <v>25</v>
      </c>
      <c r="G561" s="26">
        <v>4400</v>
      </c>
      <c r="H561" s="91" t="s">
        <v>26</v>
      </c>
      <c r="I561" s="25" t="s">
        <v>1642</v>
      </c>
      <c r="J561" s="25">
        <v>92549</v>
      </c>
      <c r="K561" s="25">
        <v>93812</v>
      </c>
      <c r="L561" s="28">
        <v>1263</v>
      </c>
      <c r="M561" s="29">
        <v>2146506</v>
      </c>
      <c r="N561" s="30">
        <v>0</v>
      </c>
      <c r="O561" s="30">
        <v>0</v>
      </c>
      <c r="P561" s="30">
        <v>0</v>
      </c>
      <c r="Q561" s="29">
        <v>0</v>
      </c>
      <c r="R561" s="29">
        <v>2146506</v>
      </c>
      <c r="S561" s="29">
        <v>3000</v>
      </c>
      <c r="T561" s="29">
        <f t="shared" si="34"/>
        <v>2149506</v>
      </c>
    </row>
    <row r="562" spans="1:20" ht="21" customHeight="1" x14ac:dyDescent="0.25">
      <c r="A562" s="21">
        <v>184</v>
      </c>
      <c r="B562" s="7" t="s">
        <v>1643</v>
      </c>
      <c r="C562" s="2" t="s">
        <v>1644</v>
      </c>
      <c r="D562" s="23" t="s">
        <v>84</v>
      </c>
      <c r="E562" s="24" t="s">
        <v>1645</v>
      </c>
      <c r="F562" s="25" t="s">
        <v>25</v>
      </c>
      <c r="G562" s="26">
        <v>3500</v>
      </c>
      <c r="H562" s="91" t="s">
        <v>26</v>
      </c>
      <c r="I562" s="25" t="s">
        <v>1646</v>
      </c>
      <c r="J562" s="25">
        <v>12400</v>
      </c>
      <c r="K562" s="25">
        <v>14306</v>
      </c>
      <c r="L562" s="28">
        <v>1906</v>
      </c>
      <c r="M562" s="29">
        <v>3239304</v>
      </c>
      <c r="N562" s="30">
        <v>0</v>
      </c>
      <c r="O562" s="30">
        <v>0</v>
      </c>
      <c r="P562" s="30">
        <v>0</v>
      </c>
      <c r="Q562" s="29">
        <v>0</v>
      </c>
      <c r="R562" s="29">
        <v>3239304</v>
      </c>
      <c r="S562" s="29">
        <v>3000</v>
      </c>
      <c r="T562" s="29">
        <f t="shared" si="34"/>
        <v>3242304</v>
      </c>
    </row>
    <row r="563" spans="1:20" ht="21" customHeight="1" x14ac:dyDescent="0.25">
      <c r="A563" s="21">
        <v>185</v>
      </c>
      <c r="B563" s="7" t="s">
        <v>1647</v>
      </c>
      <c r="C563" s="2" t="s">
        <v>1648</v>
      </c>
      <c r="D563" s="23" t="s">
        <v>23</v>
      </c>
      <c r="E563" s="24" t="s">
        <v>1649</v>
      </c>
      <c r="F563" s="25" t="s">
        <v>25</v>
      </c>
      <c r="G563" s="26">
        <v>3500</v>
      </c>
      <c r="H563" s="91" t="s">
        <v>26</v>
      </c>
      <c r="I563" s="25" t="s">
        <v>1650</v>
      </c>
      <c r="J563" s="25">
        <v>159103</v>
      </c>
      <c r="K563" s="25">
        <v>161006</v>
      </c>
      <c r="L563" s="28">
        <v>1903</v>
      </c>
      <c r="M563" s="29">
        <v>3234206</v>
      </c>
      <c r="N563" s="30">
        <v>0</v>
      </c>
      <c r="O563" s="30">
        <v>0</v>
      </c>
      <c r="P563" s="30">
        <v>0</v>
      </c>
      <c r="Q563" s="29">
        <v>0</v>
      </c>
      <c r="R563" s="29">
        <v>3234206</v>
      </c>
      <c r="S563" s="29">
        <v>3000</v>
      </c>
      <c r="T563" s="29">
        <f t="shared" si="34"/>
        <v>3237206</v>
      </c>
    </row>
    <row r="564" spans="1:20" ht="21" customHeight="1" x14ac:dyDescent="0.25">
      <c r="A564" s="21">
        <v>186</v>
      </c>
      <c r="B564" s="7" t="s">
        <v>1651</v>
      </c>
      <c r="C564" s="2" t="s">
        <v>1652</v>
      </c>
      <c r="D564" s="23" t="s">
        <v>23</v>
      </c>
      <c r="E564" s="24" t="s">
        <v>1653</v>
      </c>
      <c r="F564" s="25" t="s">
        <v>25</v>
      </c>
      <c r="G564" s="26">
        <v>2200</v>
      </c>
      <c r="H564" s="91" t="s">
        <v>26</v>
      </c>
      <c r="I564" s="25" t="s">
        <v>1654</v>
      </c>
      <c r="J564" s="25">
        <v>1110</v>
      </c>
      <c r="K564" s="25">
        <v>1110</v>
      </c>
      <c r="L564" s="28">
        <v>88</v>
      </c>
      <c r="M564" s="29">
        <v>149559</v>
      </c>
      <c r="N564" s="30">
        <v>0</v>
      </c>
      <c r="O564" s="30">
        <v>0</v>
      </c>
      <c r="P564" s="30">
        <v>0</v>
      </c>
      <c r="Q564" s="29">
        <v>0</v>
      </c>
      <c r="R564" s="29">
        <v>149559</v>
      </c>
      <c r="S564" s="29">
        <v>3000</v>
      </c>
      <c r="T564" s="29">
        <f t="shared" si="34"/>
        <v>152559</v>
      </c>
    </row>
    <row r="565" spans="1:20" ht="21" customHeight="1" x14ac:dyDescent="0.25">
      <c r="A565" s="21">
        <v>187</v>
      </c>
      <c r="B565" s="7" t="s">
        <v>1655</v>
      </c>
      <c r="C565" s="2" t="s">
        <v>1656</v>
      </c>
      <c r="D565" s="23" t="s">
        <v>84</v>
      </c>
      <c r="E565" s="24" t="s">
        <v>1657</v>
      </c>
      <c r="F565" s="25" t="s">
        <v>25</v>
      </c>
      <c r="G565" s="26">
        <v>7700</v>
      </c>
      <c r="H565" s="91" t="s">
        <v>26</v>
      </c>
      <c r="I565" s="25" t="s">
        <v>1658</v>
      </c>
      <c r="J565" s="25">
        <v>87602</v>
      </c>
      <c r="K565" s="25">
        <v>88266</v>
      </c>
      <c r="L565" s="28">
        <v>664</v>
      </c>
      <c r="M565" s="29">
        <v>1128488</v>
      </c>
      <c r="N565" s="30">
        <v>0</v>
      </c>
      <c r="O565" s="30">
        <v>0</v>
      </c>
      <c r="P565" s="30">
        <v>0</v>
      </c>
      <c r="Q565" s="29">
        <v>0</v>
      </c>
      <c r="R565" s="29">
        <v>1128488</v>
      </c>
      <c r="S565" s="29">
        <v>3000</v>
      </c>
      <c r="T565" s="29">
        <f t="shared" si="34"/>
        <v>1131488</v>
      </c>
    </row>
    <row r="566" spans="1:20" ht="21" customHeight="1" x14ac:dyDescent="0.25">
      <c r="A566" s="21">
        <v>188</v>
      </c>
      <c r="B566" s="7" t="s">
        <v>1659</v>
      </c>
      <c r="C566" s="2" t="s">
        <v>1660</v>
      </c>
      <c r="D566" s="23" t="s">
        <v>23</v>
      </c>
      <c r="E566" s="24" t="s">
        <v>1661</v>
      </c>
      <c r="F566" s="25" t="s">
        <v>25</v>
      </c>
      <c r="G566" s="26">
        <v>4400</v>
      </c>
      <c r="H566" s="91" t="s">
        <v>26</v>
      </c>
      <c r="I566" s="25" t="s">
        <v>1662</v>
      </c>
      <c r="J566" s="25">
        <v>51520</v>
      </c>
      <c r="K566" s="25">
        <v>52520</v>
      </c>
      <c r="L566" s="28">
        <v>1000</v>
      </c>
      <c r="M566" s="29">
        <v>1699530</v>
      </c>
      <c r="N566" s="30">
        <v>0</v>
      </c>
      <c r="O566" s="30">
        <v>0</v>
      </c>
      <c r="P566" s="30">
        <v>0</v>
      </c>
      <c r="Q566" s="29">
        <v>0</v>
      </c>
      <c r="R566" s="29">
        <v>1699530</v>
      </c>
      <c r="S566" s="29">
        <v>3000</v>
      </c>
      <c r="T566" s="29">
        <f t="shared" si="34"/>
        <v>1702530</v>
      </c>
    </row>
    <row r="567" spans="1:20" ht="21" customHeight="1" x14ac:dyDescent="0.25">
      <c r="A567" s="21">
        <v>189</v>
      </c>
      <c r="B567" s="7" t="s">
        <v>1663</v>
      </c>
      <c r="C567" s="2" t="s">
        <v>1664</v>
      </c>
      <c r="D567" s="23" t="s">
        <v>23</v>
      </c>
      <c r="E567" s="24" t="s">
        <v>1665</v>
      </c>
      <c r="F567" s="25" t="s">
        <v>25</v>
      </c>
      <c r="G567" s="26">
        <v>3500</v>
      </c>
      <c r="H567" s="91" t="s">
        <v>26</v>
      </c>
      <c r="I567" s="25" t="s">
        <v>1666</v>
      </c>
      <c r="J567" s="25">
        <v>63780</v>
      </c>
      <c r="K567" s="25">
        <v>64687</v>
      </c>
      <c r="L567" s="28">
        <v>907</v>
      </c>
      <c r="M567" s="29">
        <v>1541474</v>
      </c>
      <c r="N567" s="30">
        <v>0</v>
      </c>
      <c r="O567" s="30">
        <v>0</v>
      </c>
      <c r="P567" s="30">
        <v>0</v>
      </c>
      <c r="Q567" s="29">
        <v>0</v>
      </c>
      <c r="R567" s="29">
        <v>1541474</v>
      </c>
      <c r="S567" s="29">
        <v>3000</v>
      </c>
      <c r="T567" s="29">
        <f t="shared" si="34"/>
        <v>1544474</v>
      </c>
    </row>
    <row r="568" spans="1:20" ht="21" customHeight="1" x14ac:dyDescent="0.25">
      <c r="A568" s="21">
        <v>190</v>
      </c>
      <c r="B568" s="7" t="s">
        <v>1667</v>
      </c>
      <c r="C568" s="2" t="s">
        <v>1668</v>
      </c>
      <c r="D568" s="23" t="s">
        <v>23</v>
      </c>
      <c r="E568" s="24" t="s">
        <v>1669</v>
      </c>
      <c r="F568" s="25" t="s">
        <v>25</v>
      </c>
      <c r="G568" s="26">
        <v>3500</v>
      </c>
      <c r="H568" s="91" t="s">
        <v>26</v>
      </c>
      <c r="I568" s="25" t="s">
        <v>1670</v>
      </c>
      <c r="J568" s="25">
        <v>80727</v>
      </c>
      <c r="K568" s="25">
        <v>81355</v>
      </c>
      <c r="L568" s="28">
        <v>628</v>
      </c>
      <c r="M568" s="29">
        <v>1067305</v>
      </c>
      <c r="N568" s="30">
        <v>0</v>
      </c>
      <c r="O568" s="30">
        <v>0</v>
      </c>
      <c r="P568" s="30">
        <v>0</v>
      </c>
      <c r="Q568" s="29">
        <v>0</v>
      </c>
      <c r="R568" s="29">
        <v>1067305</v>
      </c>
      <c r="S568" s="29">
        <v>3000</v>
      </c>
      <c r="T568" s="29">
        <f t="shared" si="34"/>
        <v>1070305</v>
      </c>
    </row>
    <row r="569" spans="1:20" ht="21" customHeight="1" x14ac:dyDescent="0.25">
      <c r="A569" s="21">
        <v>191</v>
      </c>
      <c r="B569" s="7" t="s">
        <v>1671</v>
      </c>
      <c r="C569" s="2" t="s">
        <v>1672</v>
      </c>
      <c r="D569" s="23" t="s">
        <v>23</v>
      </c>
      <c r="E569" s="24" t="s">
        <v>1673</v>
      </c>
      <c r="F569" s="25" t="s">
        <v>25</v>
      </c>
      <c r="G569" s="26">
        <v>2200</v>
      </c>
      <c r="H569" s="91" t="s">
        <v>26</v>
      </c>
      <c r="I569" s="25" t="s">
        <v>1674</v>
      </c>
      <c r="J569" s="25">
        <v>27507</v>
      </c>
      <c r="K569" s="25">
        <v>27659</v>
      </c>
      <c r="L569" s="28">
        <v>152</v>
      </c>
      <c r="M569" s="29">
        <v>258329</v>
      </c>
      <c r="N569" s="30">
        <v>0</v>
      </c>
      <c r="O569" s="30">
        <v>0</v>
      </c>
      <c r="P569" s="30">
        <v>0</v>
      </c>
      <c r="Q569" s="29">
        <v>0</v>
      </c>
      <c r="R569" s="29">
        <v>258329</v>
      </c>
      <c r="S569" s="29">
        <v>3000</v>
      </c>
      <c r="T569" s="29">
        <f t="shared" si="34"/>
        <v>261329</v>
      </c>
    </row>
    <row r="570" spans="1:20" ht="21" customHeight="1" x14ac:dyDescent="0.25">
      <c r="A570" s="21">
        <v>192</v>
      </c>
      <c r="B570" s="7" t="s">
        <v>1675</v>
      </c>
      <c r="C570" s="2" t="s">
        <v>1676</v>
      </c>
      <c r="D570" s="23" t="s">
        <v>23</v>
      </c>
      <c r="E570" s="24" t="s">
        <v>1677</v>
      </c>
      <c r="F570" s="25" t="s">
        <v>25</v>
      </c>
      <c r="G570" s="26">
        <v>5500</v>
      </c>
      <c r="H570" s="91" t="s">
        <v>26</v>
      </c>
      <c r="I570" s="25" t="s">
        <v>1678</v>
      </c>
      <c r="J570" s="25">
        <v>2528</v>
      </c>
      <c r="K570" s="25">
        <v>4368</v>
      </c>
      <c r="L570" s="28">
        <v>1840</v>
      </c>
      <c r="M570" s="29">
        <v>3127135</v>
      </c>
      <c r="N570" s="30">
        <v>0</v>
      </c>
      <c r="O570" s="30">
        <v>0</v>
      </c>
      <c r="P570" s="30">
        <v>0</v>
      </c>
      <c r="Q570" s="29">
        <v>0</v>
      </c>
      <c r="R570" s="29">
        <v>3127135</v>
      </c>
      <c r="S570" s="29">
        <v>3000</v>
      </c>
      <c r="T570" s="29">
        <f t="shared" si="34"/>
        <v>3130135</v>
      </c>
    </row>
    <row r="571" spans="1:20" ht="21" customHeight="1" x14ac:dyDescent="0.25">
      <c r="A571" s="21">
        <v>193</v>
      </c>
      <c r="B571" s="7" t="s">
        <v>1679</v>
      </c>
      <c r="C571" s="2" t="s">
        <v>1680</v>
      </c>
      <c r="D571" s="23" t="s">
        <v>23</v>
      </c>
      <c r="E571" s="24" t="s">
        <v>1681</v>
      </c>
      <c r="F571" s="25" t="s">
        <v>25</v>
      </c>
      <c r="G571" s="26">
        <v>4400</v>
      </c>
      <c r="H571" s="91" t="s">
        <v>26</v>
      </c>
      <c r="I571" s="25" t="s">
        <v>1682</v>
      </c>
      <c r="J571" s="25">
        <v>71327</v>
      </c>
      <c r="K571" s="25">
        <v>72782</v>
      </c>
      <c r="L571" s="28">
        <v>1455</v>
      </c>
      <c r="M571" s="29">
        <v>2472816</v>
      </c>
      <c r="N571" s="30">
        <v>0</v>
      </c>
      <c r="O571" s="30">
        <v>0</v>
      </c>
      <c r="P571" s="30">
        <v>0</v>
      </c>
      <c r="Q571" s="29">
        <v>0</v>
      </c>
      <c r="R571" s="29">
        <v>2472816</v>
      </c>
      <c r="S571" s="29">
        <v>3000</v>
      </c>
      <c r="T571" s="29">
        <f t="shared" si="34"/>
        <v>2475816</v>
      </c>
    </row>
    <row r="572" spans="1:20" ht="21" customHeight="1" x14ac:dyDescent="0.25">
      <c r="A572" s="21">
        <v>194</v>
      </c>
      <c r="B572" s="7" t="s">
        <v>1683</v>
      </c>
      <c r="C572" s="2" t="s">
        <v>1684</v>
      </c>
      <c r="D572" s="23" t="s">
        <v>23</v>
      </c>
      <c r="E572" s="24" t="s">
        <v>1609</v>
      </c>
      <c r="F572" s="25" t="s">
        <v>25</v>
      </c>
      <c r="G572" s="26">
        <v>7700</v>
      </c>
      <c r="H572" s="91" t="s">
        <v>26</v>
      </c>
      <c r="I572" s="25" t="s">
        <v>1685</v>
      </c>
      <c r="J572" s="25">
        <v>68067</v>
      </c>
      <c r="K572" s="25">
        <v>69022</v>
      </c>
      <c r="L572" s="28">
        <v>955</v>
      </c>
      <c r="M572" s="29">
        <v>1623051</v>
      </c>
      <c r="N572" s="30">
        <v>0</v>
      </c>
      <c r="O572" s="30">
        <v>0</v>
      </c>
      <c r="P572" s="30">
        <v>0</v>
      </c>
      <c r="Q572" s="29">
        <v>0</v>
      </c>
      <c r="R572" s="29">
        <v>1623051</v>
      </c>
      <c r="S572" s="29">
        <v>3000</v>
      </c>
      <c r="T572" s="29">
        <f t="shared" si="34"/>
        <v>1626051</v>
      </c>
    </row>
    <row r="573" spans="1:20" ht="21" customHeight="1" x14ac:dyDescent="0.25">
      <c r="A573" s="21">
        <v>195</v>
      </c>
      <c r="B573" s="7" t="s">
        <v>1686</v>
      </c>
      <c r="C573" s="2" t="s">
        <v>1687</v>
      </c>
      <c r="D573" s="23" t="s">
        <v>23</v>
      </c>
      <c r="E573" s="24" t="s">
        <v>1688</v>
      </c>
      <c r="F573" s="25" t="s">
        <v>25</v>
      </c>
      <c r="G573" s="26">
        <v>4400</v>
      </c>
      <c r="H573" s="91" t="s">
        <v>26</v>
      </c>
      <c r="I573" s="25" t="s">
        <v>1689</v>
      </c>
      <c r="J573" s="25">
        <v>62042</v>
      </c>
      <c r="K573" s="25">
        <v>63329</v>
      </c>
      <c r="L573" s="28">
        <v>1287</v>
      </c>
      <c r="M573" s="29">
        <v>2187295</v>
      </c>
      <c r="N573" s="30">
        <v>0</v>
      </c>
      <c r="O573" s="30">
        <v>0</v>
      </c>
      <c r="P573" s="30">
        <v>0</v>
      </c>
      <c r="Q573" s="29">
        <v>0</v>
      </c>
      <c r="R573" s="29">
        <v>2187295</v>
      </c>
      <c r="S573" s="29">
        <v>3000</v>
      </c>
      <c r="T573" s="29">
        <f t="shared" si="34"/>
        <v>2190295</v>
      </c>
    </row>
    <row r="574" spans="1:20" ht="21" customHeight="1" x14ac:dyDescent="0.25">
      <c r="A574" s="21">
        <v>196</v>
      </c>
      <c r="B574" s="7" t="s">
        <v>1690</v>
      </c>
      <c r="C574" s="2" t="s">
        <v>1691</v>
      </c>
      <c r="D574" s="23" t="s">
        <v>23</v>
      </c>
      <c r="E574" s="24" t="s">
        <v>1692</v>
      </c>
      <c r="F574" s="25" t="s">
        <v>25</v>
      </c>
      <c r="G574" s="26">
        <v>5500</v>
      </c>
      <c r="H574" s="91" t="s">
        <v>26</v>
      </c>
      <c r="I574" s="25" t="s">
        <v>1693</v>
      </c>
      <c r="J574" s="25">
        <v>30418</v>
      </c>
      <c r="K574" s="25">
        <v>30809</v>
      </c>
      <c r="L574" s="28">
        <v>391</v>
      </c>
      <c r="M574" s="29">
        <v>664516</v>
      </c>
      <c r="N574" s="30">
        <v>0</v>
      </c>
      <c r="O574" s="30">
        <v>0</v>
      </c>
      <c r="P574" s="30">
        <v>0</v>
      </c>
      <c r="Q574" s="29">
        <v>0</v>
      </c>
      <c r="R574" s="29">
        <v>664516</v>
      </c>
      <c r="S574" s="29">
        <v>3000</v>
      </c>
      <c r="T574" s="29">
        <f t="shared" si="34"/>
        <v>667516</v>
      </c>
    </row>
    <row r="575" spans="1:20" ht="21" customHeight="1" x14ac:dyDescent="0.25">
      <c r="A575" s="21">
        <v>197</v>
      </c>
      <c r="B575" s="7" t="s">
        <v>1694</v>
      </c>
      <c r="C575" s="2" t="s">
        <v>1695</v>
      </c>
      <c r="D575" s="23" t="s">
        <v>84</v>
      </c>
      <c r="E575" s="24" t="s">
        <v>1696</v>
      </c>
      <c r="F575" s="25" t="s">
        <v>25</v>
      </c>
      <c r="G575" s="25">
        <v>3500</v>
      </c>
      <c r="H575" s="91" t="s">
        <v>26</v>
      </c>
      <c r="I575" s="25" t="s">
        <v>1697</v>
      </c>
      <c r="J575" s="25">
        <v>128647</v>
      </c>
      <c r="K575" s="25">
        <v>129567</v>
      </c>
      <c r="L575" s="28">
        <v>920</v>
      </c>
      <c r="M575" s="29">
        <v>1563568</v>
      </c>
      <c r="N575" s="30">
        <v>0</v>
      </c>
      <c r="O575" s="30">
        <v>0</v>
      </c>
      <c r="P575" s="30">
        <v>0</v>
      </c>
      <c r="Q575" s="29">
        <v>0</v>
      </c>
      <c r="R575" s="29">
        <v>1563568</v>
      </c>
      <c r="S575" s="29">
        <v>3000</v>
      </c>
      <c r="T575" s="29">
        <f t="shared" si="34"/>
        <v>1566568</v>
      </c>
    </row>
    <row r="576" spans="1:20" ht="21" customHeight="1" x14ac:dyDescent="0.25">
      <c r="A576" s="21">
        <v>198</v>
      </c>
      <c r="B576" s="7" t="s">
        <v>1698</v>
      </c>
      <c r="C576" s="2" t="s">
        <v>1699</v>
      </c>
      <c r="D576" s="23" t="s">
        <v>84</v>
      </c>
      <c r="E576" s="24" t="s">
        <v>1700</v>
      </c>
      <c r="F576" s="25" t="s">
        <v>25</v>
      </c>
      <c r="G576" s="25">
        <v>4400</v>
      </c>
      <c r="H576" s="91" t="s">
        <v>26</v>
      </c>
      <c r="I576" s="25" t="s">
        <v>1701</v>
      </c>
      <c r="J576" s="25">
        <v>47115</v>
      </c>
      <c r="K576" s="25">
        <v>47115</v>
      </c>
      <c r="L576" s="28">
        <v>176</v>
      </c>
      <c r="M576" s="29">
        <v>299117</v>
      </c>
      <c r="N576" s="30">
        <v>0</v>
      </c>
      <c r="O576" s="30">
        <v>0</v>
      </c>
      <c r="P576" s="30">
        <v>0</v>
      </c>
      <c r="Q576" s="29">
        <v>0</v>
      </c>
      <c r="R576" s="29">
        <v>299117</v>
      </c>
      <c r="S576" s="29">
        <v>3000</v>
      </c>
      <c r="T576" s="29">
        <f t="shared" si="34"/>
        <v>302117</v>
      </c>
    </row>
    <row r="577" spans="1:20" ht="21" customHeight="1" x14ac:dyDescent="0.25">
      <c r="A577" s="21">
        <v>199</v>
      </c>
      <c r="B577" s="7" t="s">
        <v>1702</v>
      </c>
      <c r="C577" s="2" t="s">
        <v>1703</v>
      </c>
      <c r="D577" s="23" t="s">
        <v>23</v>
      </c>
      <c r="E577" s="24" t="s">
        <v>1704</v>
      </c>
      <c r="F577" s="25" t="s">
        <v>25</v>
      </c>
      <c r="G577" s="25">
        <v>4400</v>
      </c>
      <c r="H577" s="91" t="s">
        <v>26</v>
      </c>
      <c r="I577" s="25" t="s">
        <v>1705</v>
      </c>
      <c r="J577" s="25">
        <v>50070</v>
      </c>
      <c r="K577" s="25">
        <v>50991</v>
      </c>
      <c r="L577" s="28">
        <v>921</v>
      </c>
      <c r="M577" s="29">
        <v>1565267</v>
      </c>
      <c r="N577" s="30">
        <v>0</v>
      </c>
      <c r="O577" s="30">
        <v>0</v>
      </c>
      <c r="P577" s="30">
        <v>0</v>
      </c>
      <c r="Q577" s="29">
        <v>0</v>
      </c>
      <c r="R577" s="29">
        <v>1565267</v>
      </c>
      <c r="S577" s="29">
        <v>3000</v>
      </c>
      <c r="T577" s="29">
        <f t="shared" si="34"/>
        <v>1568267</v>
      </c>
    </row>
    <row r="578" spans="1:20" ht="21" customHeight="1" x14ac:dyDescent="0.25">
      <c r="A578" s="21">
        <v>200</v>
      </c>
      <c r="B578" s="7" t="s">
        <v>1706</v>
      </c>
      <c r="C578" s="2" t="s">
        <v>1707</v>
      </c>
      <c r="D578" s="23" t="s">
        <v>84</v>
      </c>
      <c r="E578" s="24" t="s">
        <v>1708</v>
      </c>
      <c r="F578" s="25" t="s">
        <v>25</v>
      </c>
      <c r="G578" s="25">
        <v>5500</v>
      </c>
      <c r="H578" s="91" t="s">
        <v>26</v>
      </c>
      <c r="I578" s="25" t="s">
        <v>1709</v>
      </c>
      <c r="J578" s="25">
        <v>56781</v>
      </c>
      <c r="K578" s="25">
        <v>57632</v>
      </c>
      <c r="L578" s="28">
        <v>851</v>
      </c>
      <c r="M578" s="29">
        <v>1446300</v>
      </c>
      <c r="N578" s="30">
        <v>0</v>
      </c>
      <c r="O578" s="30">
        <v>0</v>
      </c>
      <c r="P578" s="30">
        <v>0</v>
      </c>
      <c r="Q578" s="29">
        <v>0</v>
      </c>
      <c r="R578" s="29">
        <v>1446300</v>
      </c>
      <c r="S578" s="29">
        <v>3000</v>
      </c>
      <c r="T578" s="29">
        <f t="shared" si="34"/>
        <v>1449300</v>
      </c>
    </row>
    <row r="579" spans="1:20" s="35" customFormat="1" ht="21" customHeight="1" x14ac:dyDescent="0.25">
      <c r="A579" s="21"/>
      <c r="B579" s="22"/>
      <c r="C579" s="23"/>
      <c r="D579" s="23"/>
      <c r="E579" s="23"/>
      <c r="F579" s="22"/>
      <c r="G579" s="22"/>
      <c r="H579" s="91"/>
      <c r="I579" s="25" t="s">
        <v>0</v>
      </c>
      <c r="J579" s="25"/>
      <c r="K579" s="25"/>
      <c r="L579" s="28" t="s">
        <v>0</v>
      </c>
      <c r="M579" s="29"/>
      <c r="N579" s="48"/>
      <c r="O579" s="48"/>
      <c r="P579" s="48"/>
      <c r="Q579" s="47"/>
      <c r="R579" s="29"/>
      <c r="S579" s="29"/>
      <c r="T579" s="29"/>
    </row>
    <row r="580" spans="1:20" ht="36.75" customHeight="1" x14ac:dyDescent="0.25">
      <c r="A580" s="44" t="s">
        <v>179</v>
      </c>
      <c r="B580" s="20"/>
      <c r="C580" s="20"/>
      <c r="D580" s="20"/>
      <c r="E580" s="20"/>
      <c r="F580" s="20"/>
      <c r="G580" s="70">
        <v>886800</v>
      </c>
      <c r="H580" s="70"/>
      <c r="I580" s="70"/>
      <c r="J580" s="70"/>
      <c r="K580" s="70"/>
      <c r="L580" s="70">
        <v>188699</v>
      </c>
      <c r="M580" s="70">
        <v>320699607</v>
      </c>
      <c r="N580" s="70">
        <v>0</v>
      </c>
      <c r="O580" s="70">
        <v>0</v>
      </c>
      <c r="P580" s="70">
        <v>0</v>
      </c>
      <c r="Q580" s="152">
        <f>SUM(Q537:Q579)</f>
        <v>0</v>
      </c>
      <c r="R580" s="152">
        <f t="shared" ref="R580:T580" si="35">SUM(R537:R579)</f>
        <v>320699607</v>
      </c>
      <c r="S580" s="152">
        <f t="shared" si="35"/>
        <v>600000</v>
      </c>
      <c r="T580" s="152">
        <f t="shared" si="35"/>
        <v>321299607</v>
      </c>
    </row>
    <row r="581" spans="1:20" ht="21" customHeight="1" x14ac:dyDescent="0.25">
      <c r="L581" s="41"/>
    </row>
    <row r="582" spans="1:20" ht="21" customHeight="1" x14ac:dyDescent="0.25">
      <c r="E582" s="15"/>
      <c r="G582" s="53"/>
      <c r="H582" s="53"/>
      <c r="L582" s="41"/>
    </row>
    <row r="583" spans="1:20" ht="21" customHeight="1" x14ac:dyDescent="0.25">
      <c r="E583" s="15"/>
      <c r="G583" s="53"/>
      <c r="L583" s="41"/>
    </row>
    <row r="584" spans="1:20" s="93" customFormat="1" ht="42" customHeight="1" x14ac:dyDescent="0.25">
      <c r="A584" s="31" t="s">
        <v>4</v>
      </c>
      <c r="B584" s="31" t="s">
        <v>5</v>
      </c>
      <c r="C584" s="31" t="s">
        <v>6</v>
      </c>
      <c r="D584" s="22"/>
      <c r="E584" s="31" t="s">
        <v>7</v>
      </c>
      <c r="F584" s="31" t="s">
        <v>8</v>
      </c>
      <c r="G584" s="31" t="s">
        <v>9</v>
      </c>
      <c r="H584" s="31" t="s">
        <v>10</v>
      </c>
      <c r="I584" s="31" t="s">
        <v>11</v>
      </c>
      <c r="J584" s="31" t="s">
        <v>12</v>
      </c>
      <c r="K584" s="31" t="s">
        <v>13</v>
      </c>
      <c r="L584" s="31" t="s">
        <v>14</v>
      </c>
      <c r="M584" s="141" t="s">
        <v>15</v>
      </c>
      <c r="N584" s="142" t="s">
        <v>16</v>
      </c>
      <c r="O584" s="142" t="s">
        <v>17</v>
      </c>
      <c r="P584" s="142" t="s">
        <v>18</v>
      </c>
      <c r="Q584" s="141" t="s">
        <v>19</v>
      </c>
      <c r="R584" s="141" t="s">
        <v>20</v>
      </c>
      <c r="S584" s="141" t="s">
        <v>3655</v>
      </c>
      <c r="T584" s="141" t="s">
        <v>3656</v>
      </c>
    </row>
    <row r="585" spans="1:20" ht="21" customHeight="1" x14ac:dyDescent="0.25">
      <c r="A585" s="44"/>
      <c r="B585" s="20"/>
      <c r="C585" s="20"/>
      <c r="D585" s="20"/>
      <c r="E585" s="20"/>
      <c r="F585" s="20"/>
      <c r="G585" s="20"/>
      <c r="H585" s="20"/>
      <c r="I585" s="25" t="s">
        <v>0</v>
      </c>
      <c r="J585" s="25"/>
      <c r="K585" s="25"/>
      <c r="L585" s="28" t="s">
        <v>0</v>
      </c>
      <c r="M585" s="29"/>
      <c r="N585" s="30"/>
      <c r="O585" s="30"/>
      <c r="P585" s="30"/>
      <c r="Q585" s="29"/>
      <c r="R585" s="29"/>
      <c r="S585" s="29"/>
      <c r="T585" s="29"/>
    </row>
    <row r="586" spans="1:20" ht="21" customHeight="1" x14ac:dyDescent="0.25">
      <c r="A586" s="44"/>
      <c r="B586" s="20"/>
      <c r="C586" s="25"/>
      <c r="D586" s="25"/>
      <c r="E586" s="45" t="s">
        <v>181</v>
      </c>
      <c r="F586" s="25"/>
      <c r="G586" s="70">
        <v>886800</v>
      </c>
      <c r="H586" s="70">
        <v>0</v>
      </c>
      <c r="I586" s="70">
        <v>0</v>
      </c>
      <c r="J586" s="70"/>
      <c r="K586" s="70"/>
      <c r="L586" s="70">
        <v>188699</v>
      </c>
      <c r="M586" s="70">
        <v>320699607</v>
      </c>
      <c r="N586" s="70">
        <v>0</v>
      </c>
      <c r="O586" s="70">
        <v>0</v>
      </c>
      <c r="P586" s="70">
        <v>0</v>
      </c>
      <c r="Q586" s="152">
        <f>Q580</f>
        <v>0</v>
      </c>
      <c r="R586" s="152">
        <f t="shared" ref="R586:T586" si="36">R580</f>
        <v>320699607</v>
      </c>
      <c r="S586" s="152">
        <f t="shared" si="36"/>
        <v>600000</v>
      </c>
      <c r="T586" s="152">
        <f t="shared" si="36"/>
        <v>321299607</v>
      </c>
    </row>
    <row r="587" spans="1:20" ht="21" customHeight="1" x14ac:dyDescent="0.25">
      <c r="A587" s="21">
        <v>201</v>
      </c>
      <c r="B587" s="7" t="s">
        <v>1710</v>
      </c>
      <c r="C587" s="2" t="s">
        <v>1711</v>
      </c>
      <c r="D587" s="23" t="s">
        <v>84</v>
      </c>
      <c r="E587" s="24" t="s">
        <v>1712</v>
      </c>
      <c r="F587" s="25" t="s">
        <v>25</v>
      </c>
      <c r="G587" s="25">
        <v>3500</v>
      </c>
      <c r="H587" s="91" t="s">
        <v>26</v>
      </c>
      <c r="I587" s="25" t="s">
        <v>1713</v>
      </c>
      <c r="J587" s="25">
        <v>78911</v>
      </c>
      <c r="K587" s="25">
        <v>79963</v>
      </c>
      <c r="L587" s="28">
        <v>1052</v>
      </c>
      <c r="M587" s="29">
        <v>1787906</v>
      </c>
      <c r="N587" s="30">
        <v>0</v>
      </c>
      <c r="O587" s="30">
        <v>0</v>
      </c>
      <c r="P587" s="30">
        <v>0</v>
      </c>
      <c r="Q587" s="29">
        <v>0</v>
      </c>
      <c r="R587" s="29">
        <v>1787906</v>
      </c>
      <c r="S587" s="29">
        <v>3000</v>
      </c>
      <c r="T587" s="29">
        <f t="shared" ref="T587:T626" si="37">R587+S587</f>
        <v>1790906</v>
      </c>
    </row>
    <row r="588" spans="1:20" ht="21" customHeight="1" x14ac:dyDescent="0.25">
      <c r="A588" s="21">
        <v>202</v>
      </c>
      <c r="B588" s="7" t="s">
        <v>1714</v>
      </c>
      <c r="C588" s="2" t="s">
        <v>1715</v>
      </c>
      <c r="D588" s="23" t="s">
        <v>23</v>
      </c>
      <c r="E588" s="24" t="s">
        <v>1716</v>
      </c>
      <c r="F588" s="25" t="s">
        <v>25</v>
      </c>
      <c r="G588" s="25">
        <v>2200</v>
      </c>
      <c r="H588" s="91" t="s">
        <v>26</v>
      </c>
      <c r="I588" s="25" t="s">
        <v>1717</v>
      </c>
      <c r="J588" s="25">
        <v>88280</v>
      </c>
      <c r="K588" s="25">
        <v>88910</v>
      </c>
      <c r="L588" s="28">
        <v>630</v>
      </c>
      <c r="M588" s="29">
        <v>1070704</v>
      </c>
      <c r="N588" s="30">
        <v>0</v>
      </c>
      <c r="O588" s="30">
        <v>0</v>
      </c>
      <c r="P588" s="30">
        <v>0</v>
      </c>
      <c r="Q588" s="29">
        <v>0</v>
      </c>
      <c r="R588" s="29">
        <v>1070704</v>
      </c>
      <c r="S588" s="29">
        <v>3000</v>
      </c>
      <c r="T588" s="29">
        <f t="shared" si="37"/>
        <v>1073704</v>
      </c>
    </row>
    <row r="589" spans="1:20" ht="21" customHeight="1" x14ac:dyDescent="0.25">
      <c r="A589" s="21">
        <v>203</v>
      </c>
      <c r="B589" s="7" t="s">
        <v>1718</v>
      </c>
      <c r="C589" s="2" t="s">
        <v>1719</v>
      </c>
      <c r="D589" s="23" t="s">
        <v>23</v>
      </c>
      <c r="E589" s="24" t="s">
        <v>1720</v>
      </c>
      <c r="F589" s="25" t="s">
        <v>25</v>
      </c>
      <c r="G589" s="25">
        <v>2200</v>
      </c>
      <c r="H589" s="91" t="s">
        <v>26</v>
      </c>
      <c r="I589" s="25" t="s">
        <v>1721</v>
      </c>
      <c r="J589" s="25">
        <v>52904</v>
      </c>
      <c r="K589" s="25">
        <v>54328</v>
      </c>
      <c r="L589" s="28">
        <v>1424</v>
      </c>
      <c r="M589" s="29">
        <v>2420131</v>
      </c>
      <c r="N589" s="30">
        <v>0</v>
      </c>
      <c r="O589" s="30">
        <v>0</v>
      </c>
      <c r="P589" s="30">
        <v>0</v>
      </c>
      <c r="Q589" s="29">
        <v>0</v>
      </c>
      <c r="R589" s="29">
        <v>2420131</v>
      </c>
      <c r="S589" s="29">
        <v>3000</v>
      </c>
      <c r="T589" s="29">
        <f t="shared" si="37"/>
        <v>2423131</v>
      </c>
    </row>
    <row r="590" spans="1:20" ht="21" customHeight="1" x14ac:dyDescent="0.25">
      <c r="A590" s="21">
        <v>204</v>
      </c>
      <c r="B590" s="7" t="s">
        <v>1722</v>
      </c>
      <c r="C590" s="2" t="s">
        <v>1723</v>
      </c>
      <c r="D590" s="23" t="s">
        <v>23</v>
      </c>
      <c r="E590" s="24" t="s">
        <v>1313</v>
      </c>
      <c r="F590" s="25" t="s">
        <v>25</v>
      </c>
      <c r="G590" s="25">
        <v>2200</v>
      </c>
      <c r="H590" s="91" t="s">
        <v>26</v>
      </c>
      <c r="I590" s="25" t="s">
        <v>1724</v>
      </c>
      <c r="J590" s="25">
        <v>47380</v>
      </c>
      <c r="K590" s="25">
        <v>47816</v>
      </c>
      <c r="L590" s="28">
        <v>436</v>
      </c>
      <c r="M590" s="29">
        <v>740995</v>
      </c>
      <c r="N590" s="30">
        <v>0</v>
      </c>
      <c r="O590" s="30">
        <v>0</v>
      </c>
      <c r="P590" s="30">
        <v>0</v>
      </c>
      <c r="Q590" s="29">
        <v>0</v>
      </c>
      <c r="R590" s="29">
        <v>740995</v>
      </c>
      <c r="S590" s="29">
        <v>3000</v>
      </c>
      <c r="T590" s="29">
        <f t="shared" si="37"/>
        <v>743995</v>
      </c>
    </row>
    <row r="591" spans="1:20" ht="21" customHeight="1" x14ac:dyDescent="0.25">
      <c r="A591" s="21">
        <v>205</v>
      </c>
      <c r="B591" s="7" t="s">
        <v>1725</v>
      </c>
      <c r="C591" s="2" t="s">
        <v>1726</v>
      </c>
      <c r="D591" s="23" t="s">
        <v>23</v>
      </c>
      <c r="E591" s="24" t="s">
        <v>1313</v>
      </c>
      <c r="F591" s="25" t="s">
        <v>25</v>
      </c>
      <c r="G591" s="25">
        <v>3500</v>
      </c>
      <c r="H591" s="91" t="s">
        <v>26</v>
      </c>
      <c r="I591" s="25" t="s">
        <v>1727</v>
      </c>
      <c r="J591" s="25">
        <v>34390</v>
      </c>
      <c r="K591" s="25">
        <v>34991</v>
      </c>
      <c r="L591" s="28">
        <v>601</v>
      </c>
      <c r="M591" s="29">
        <v>1021418</v>
      </c>
      <c r="N591" s="30">
        <v>0</v>
      </c>
      <c r="O591" s="30">
        <v>0</v>
      </c>
      <c r="P591" s="30">
        <v>0</v>
      </c>
      <c r="Q591" s="29">
        <v>0</v>
      </c>
      <c r="R591" s="29">
        <v>1021418</v>
      </c>
      <c r="S591" s="29">
        <v>3000</v>
      </c>
      <c r="T591" s="29">
        <f t="shared" si="37"/>
        <v>1024418</v>
      </c>
    </row>
    <row r="592" spans="1:20" ht="21" customHeight="1" x14ac:dyDescent="0.25">
      <c r="A592" s="21">
        <v>206</v>
      </c>
      <c r="B592" s="7" t="s">
        <v>1728</v>
      </c>
      <c r="C592" s="2" t="s">
        <v>1729</v>
      </c>
      <c r="D592" s="23" t="s">
        <v>23</v>
      </c>
      <c r="E592" s="24" t="s">
        <v>1730</v>
      </c>
      <c r="F592" s="25" t="s">
        <v>25</v>
      </c>
      <c r="G592" s="25">
        <v>3500</v>
      </c>
      <c r="H592" s="91" t="s">
        <v>26</v>
      </c>
      <c r="I592" s="25" t="s">
        <v>1731</v>
      </c>
      <c r="J592" s="25">
        <v>88390</v>
      </c>
      <c r="K592" s="25">
        <v>89008</v>
      </c>
      <c r="L592" s="28">
        <v>618</v>
      </c>
      <c r="M592" s="29">
        <v>1050310</v>
      </c>
      <c r="N592" s="30">
        <v>0</v>
      </c>
      <c r="O592" s="30">
        <v>0</v>
      </c>
      <c r="P592" s="30">
        <v>0</v>
      </c>
      <c r="Q592" s="29">
        <v>0</v>
      </c>
      <c r="R592" s="29">
        <v>1050310</v>
      </c>
      <c r="S592" s="29">
        <v>3000</v>
      </c>
      <c r="T592" s="29">
        <f t="shared" si="37"/>
        <v>1053310</v>
      </c>
    </row>
    <row r="593" spans="1:20" ht="21" customHeight="1" x14ac:dyDescent="0.25">
      <c r="A593" s="21">
        <v>207</v>
      </c>
      <c r="B593" s="7" t="s">
        <v>1732</v>
      </c>
      <c r="C593" s="2" t="s">
        <v>1733</v>
      </c>
      <c r="D593" s="23" t="s">
        <v>84</v>
      </c>
      <c r="E593" s="24" t="s">
        <v>1734</v>
      </c>
      <c r="F593" s="25" t="s">
        <v>25</v>
      </c>
      <c r="G593" s="25">
        <v>5500</v>
      </c>
      <c r="H593" s="91" t="s">
        <v>26</v>
      </c>
      <c r="I593" s="25" t="s">
        <v>1735</v>
      </c>
      <c r="J593" s="25">
        <v>81827</v>
      </c>
      <c r="K593" s="25">
        <v>82674</v>
      </c>
      <c r="L593" s="28">
        <v>847</v>
      </c>
      <c r="M593" s="29">
        <v>1439502</v>
      </c>
      <c r="N593" s="30">
        <v>0</v>
      </c>
      <c r="O593" s="30">
        <v>0</v>
      </c>
      <c r="P593" s="30">
        <v>0</v>
      </c>
      <c r="Q593" s="29">
        <v>0</v>
      </c>
      <c r="R593" s="29">
        <v>1439502</v>
      </c>
      <c r="S593" s="29">
        <v>3000</v>
      </c>
      <c r="T593" s="29">
        <f t="shared" si="37"/>
        <v>1442502</v>
      </c>
    </row>
    <row r="594" spans="1:20" ht="21" customHeight="1" x14ac:dyDescent="0.25">
      <c r="A594" s="21">
        <v>208</v>
      </c>
      <c r="B594" s="7" t="s">
        <v>1736</v>
      </c>
      <c r="C594" s="2" t="s">
        <v>1737</v>
      </c>
      <c r="D594" s="23" t="s">
        <v>84</v>
      </c>
      <c r="E594" s="24" t="s">
        <v>1738</v>
      </c>
      <c r="F594" s="25" t="s">
        <v>25</v>
      </c>
      <c r="G594" s="25">
        <v>2200</v>
      </c>
      <c r="H594" s="91" t="s">
        <v>26</v>
      </c>
      <c r="I594" s="25" t="s">
        <v>1739</v>
      </c>
      <c r="J594" s="25">
        <v>70186</v>
      </c>
      <c r="K594" s="25">
        <v>70694</v>
      </c>
      <c r="L594" s="28">
        <v>508</v>
      </c>
      <c r="M594" s="29">
        <v>863361</v>
      </c>
      <c r="N594" s="30">
        <v>0</v>
      </c>
      <c r="O594" s="30">
        <v>0</v>
      </c>
      <c r="P594" s="30">
        <v>0</v>
      </c>
      <c r="Q594" s="29">
        <v>0</v>
      </c>
      <c r="R594" s="29">
        <v>863361</v>
      </c>
      <c r="S594" s="29">
        <v>3000</v>
      </c>
      <c r="T594" s="29">
        <f t="shared" si="37"/>
        <v>866361</v>
      </c>
    </row>
    <row r="595" spans="1:20" ht="21" customHeight="1" x14ac:dyDescent="0.25">
      <c r="A595" s="21">
        <v>209</v>
      </c>
      <c r="B595" s="7" t="s">
        <v>1740</v>
      </c>
      <c r="C595" s="2" t="s">
        <v>1741</v>
      </c>
      <c r="D595" s="23" t="s">
        <v>23</v>
      </c>
      <c r="E595" s="24" t="s">
        <v>1742</v>
      </c>
      <c r="F595" s="25" t="s">
        <v>25</v>
      </c>
      <c r="G595" s="25">
        <v>3500</v>
      </c>
      <c r="H595" s="91" t="s">
        <v>26</v>
      </c>
      <c r="I595" s="25" t="s">
        <v>1743</v>
      </c>
      <c r="J595" s="25">
        <v>9771</v>
      </c>
      <c r="K595" s="25">
        <v>9852</v>
      </c>
      <c r="L595" s="28">
        <v>140</v>
      </c>
      <c r="M595" s="29">
        <v>237934</v>
      </c>
      <c r="N595" s="30">
        <v>0</v>
      </c>
      <c r="O595" s="30">
        <v>0</v>
      </c>
      <c r="P595" s="30">
        <v>0</v>
      </c>
      <c r="Q595" s="29">
        <v>0</v>
      </c>
      <c r="R595" s="29">
        <v>237934</v>
      </c>
      <c r="S595" s="29">
        <v>3000</v>
      </c>
      <c r="T595" s="29">
        <f t="shared" si="37"/>
        <v>240934</v>
      </c>
    </row>
    <row r="596" spans="1:20" ht="21" customHeight="1" x14ac:dyDescent="0.25">
      <c r="A596" s="21">
        <v>210</v>
      </c>
      <c r="B596" s="7" t="s">
        <v>1744</v>
      </c>
      <c r="C596" s="2" t="s">
        <v>1745</v>
      </c>
      <c r="D596" s="23" t="s">
        <v>23</v>
      </c>
      <c r="E596" s="24" t="s">
        <v>1746</v>
      </c>
      <c r="F596" s="25" t="s">
        <v>25</v>
      </c>
      <c r="G596" s="25">
        <v>4400</v>
      </c>
      <c r="H596" s="91" t="s">
        <v>26</v>
      </c>
      <c r="I596" s="25" t="s">
        <v>1747</v>
      </c>
      <c r="J596" s="25">
        <v>27875</v>
      </c>
      <c r="K596" s="25">
        <v>29188</v>
      </c>
      <c r="L596" s="28">
        <v>1313</v>
      </c>
      <c r="M596" s="29">
        <v>2231483</v>
      </c>
      <c r="N596" s="30">
        <v>0</v>
      </c>
      <c r="O596" s="30">
        <v>0</v>
      </c>
      <c r="P596" s="30">
        <v>0</v>
      </c>
      <c r="Q596" s="29">
        <v>0</v>
      </c>
      <c r="R596" s="29">
        <v>2231483</v>
      </c>
      <c r="S596" s="29">
        <v>3000</v>
      </c>
      <c r="T596" s="29">
        <f t="shared" si="37"/>
        <v>2234483</v>
      </c>
    </row>
    <row r="597" spans="1:20" ht="21" customHeight="1" x14ac:dyDescent="0.25">
      <c r="A597" s="21">
        <v>211</v>
      </c>
      <c r="B597" s="7" t="s">
        <v>1748</v>
      </c>
      <c r="C597" s="2" t="s">
        <v>1749</v>
      </c>
      <c r="D597" s="23" t="s">
        <v>23</v>
      </c>
      <c r="E597" s="24" t="s">
        <v>1750</v>
      </c>
      <c r="F597" s="25" t="s">
        <v>25</v>
      </c>
      <c r="G597" s="25">
        <v>5500</v>
      </c>
      <c r="H597" s="91" t="s">
        <v>26</v>
      </c>
      <c r="I597" s="25" t="s">
        <v>1751</v>
      </c>
      <c r="J597" s="25">
        <v>47320</v>
      </c>
      <c r="K597" s="25">
        <v>48685</v>
      </c>
      <c r="L597" s="28">
        <v>1365</v>
      </c>
      <c r="M597" s="29">
        <v>2319858</v>
      </c>
      <c r="N597" s="30">
        <v>0</v>
      </c>
      <c r="O597" s="30">
        <v>0</v>
      </c>
      <c r="P597" s="30">
        <v>0</v>
      </c>
      <c r="Q597" s="29">
        <v>0</v>
      </c>
      <c r="R597" s="29">
        <v>2319858</v>
      </c>
      <c r="S597" s="29">
        <v>3000</v>
      </c>
      <c r="T597" s="29">
        <f t="shared" si="37"/>
        <v>2322858</v>
      </c>
    </row>
    <row r="598" spans="1:20" ht="21" customHeight="1" x14ac:dyDescent="0.25">
      <c r="A598" s="21">
        <v>212</v>
      </c>
      <c r="B598" s="7" t="s">
        <v>1752</v>
      </c>
      <c r="C598" s="2" t="s">
        <v>1753</v>
      </c>
      <c r="D598" s="23" t="s">
        <v>23</v>
      </c>
      <c r="E598" s="24" t="s">
        <v>1754</v>
      </c>
      <c r="F598" s="25" t="s">
        <v>25</v>
      </c>
      <c r="G598" s="25">
        <v>3500</v>
      </c>
      <c r="H598" s="91" t="s">
        <v>26</v>
      </c>
      <c r="I598" s="25" t="s">
        <v>1755</v>
      </c>
      <c r="J598" s="25">
        <v>140369</v>
      </c>
      <c r="K598" s="25">
        <v>141748</v>
      </c>
      <c r="L598" s="28">
        <v>1379</v>
      </c>
      <c r="M598" s="29">
        <v>2343652</v>
      </c>
      <c r="N598" s="30">
        <v>0</v>
      </c>
      <c r="O598" s="30">
        <v>0</v>
      </c>
      <c r="P598" s="30">
        <v>0</v>
      </c>
      <c r="Q598" s="29">
        <v>0</v>
      </c>
      <c r="R598" s="29">
        <v>2343652</v>
      </c>
      <c r="S598" s="29">
        <v>3000</v>
      </c>
      <c r="T598" s="29">
        <f t="shared" si="37"/>
        <v>2346652</v>
      </c>
    </row>
    <row r="599" spans="1:20" ht="21" customHeight="1" x14ac:dyDescent="0.25">
      <c r="A599" s="21">
        <v>213</v>
      </c>
      <c r="B599" s="7" t="s">
        <v>1756</v>
      </c>
      <c r="C599" s="2" t="s">
        <v>1757</v>
      </c>
      <c r="D599" s="23" t="s">
        <v>84</v>
      </c>
      <c r="E599" s="24" t="s">
        <v>1758</v>
      </c>
      <c r="F599" s="25" t="s">
        <v>25</v>
      </c>
      <c r="G599" s="25">
        <v>3500</v>
      </c>
      <c r="H599" s="91" t="s">
        <v>26</v>
      </c>
      <c r="I599" s="25" t="s">
        <v>1759</v>
      </c>
      <c r="J599" s="25">
        <v>17100</v>
      </c>
      <c r="K599" s="25">
        <v>17100</v>
      </c>
      <c r="L599" s="28">
        <v>140</v>
      </c>
      <c r="M599" s="29">
        <v>237934</v>
      </c>
      <c r="N599" s="30">
        <v>0</v>
      </c>
      <c r="O599" s="30">
        <v>0</v>
      </c>
      <c r="P599" s="30">
        <v>0</v>
      </c>
      <c r="Q599" s="29">
        <v>0</v>
      </c>
      <c r="R599" s="29">
        <v>237934</v>
      </c>
      <c r="S599" s="29">
        <v>3000</v>
      </c>
      <c r="T599" s="29">
        <f t="shared" si="37"/>
        <v>240934</v>
      </c>
    </row>
    <row r="600" spans="1:20" ht="21" customHeight="1" x14ac:dyDescent="0.25">
      <c r="A600" s="21">
        <v>214</v>
      </c>
      <c r="B600" s="7" t="s">
        <v>1760</v>
      </c>
      <c r="C600" s="2" t="s">
        <v>1664</v>
      </c>
      <c r="D600" s="23" t="s">
        <v>84</v>
      </c>
      <c r="E600" s="24" t="s">
        <v>1761</v>
      </c>
      <c r="F600" s="25" t="s">
        <v>25</v>
      </c>
      <c r="G600" s="25">
        <v>5500</v>
      </c>
      <c r="H600" s="91" t="s">
        <v>26</v>
      </c>
      <c r="I600" s="25" t="s">
        <v>1762</v>
      </c>
      <c r="J600" s="25">
        <v>198651</v>
      </c>
      <c r="K600" s="25">
        <v>200382</v>
      </c>
      <c r="L600" s="28">
        <v>1731</v>
      </c>
      <c r="M600" s="29">
        <v>2941886</v>
      </c>
      <c r="N600" s="30">
        <v>0</v>
      </c>
      <c r="O600" s="30">
        <v>0</v>
      </c>
      <c r="P600" s="30">
        <v>0</v>
      </c>
      <c r="Q600" s="29">
        <v>0</v>
      </c>
      <c r="R600" s="29">
        <v>2941886</v>
      </c>
      <c r="S600" s="29">
        <v>3000</v>
      </c>
      <c r="T600" s="29">
        <f t="shared" si="37"/>
        <v>2944886</v>
      </c>
    </row>
    <row r="601" spans="1:20" ht="21" customHeight="1" x14ac:dyDescent="0.25">
      <c r="A601" s="21">
        <v>215</v>
      </c>
      <c r="B601" s="7" t="s">
        <v>1763</v>
      </c>
      <c r="C601" s="2" t="s">
        <v>1764</v>
      </c>
      <c r="D601" s="23" t="s">
        <v>23</v>
      </c>
      <c r="E601" s="24" t="s">
        <v>1765</v>
      </c>
      <c r="F601" s="25" t="s">
        <v>25</v>
      </c>
      <c r="G601" s="25">
        <v>2200</v>
      </c>
      <c r="H601" s="91" t="s">
        <v>26</v>
      </c>
      <c r="I601" s="25" t="s">
        <v>1766</v>
      </c>
      <c r="J601" s="25">
        <v>103386</v>
      </c>
      <c r="K601" s="25">
        <v>104286</v>
      </c>
      <c r="L601" s="28">
        <v>900</v>
      </c>
      <c r="M601" s="29">
        <v>1529577</v>
      </c>
      <c r="N601" s="30">
        <v>0</v>
      </c>
      <c r="O601" s="30">
        <v>0</v>
      </c>
      <c r="P601" s="30">
        <v>0</v>
      </c>
      <c r="Q601" s="29">
        <v>0</v>
      </c>
      <c r="R601" s="29">
        <v>1529577</v>
      </c>
      <c r="S601" s="29">
        <v>3000</v>
      </c>
      <c r="T601" s="29">
        <f t="shared" si="37"/>
        <v>1532577</v>
      </c>
    </row>
    <row r="602" spans="1:20" ht="21" customHeight="1" x14ac:dyDescent="0.25">
      <c r="A602" s="21">
        <v>216</v>
      </c>
      <c r="B602" s="7" t="s">
        <v>1767</v>
      </c>
      <c r="C602" s="2" t="s">
        <v>1768</v>
      </c>
      <c r="D602" s="23" t="s">
        <v>23</v>
      </c>
      <c r="E602" s="24" t="s">
        <v>1769</v>
      </c>
      <c r="F602" s="25" t="s">
        <v>25</v>
      </c>
      <c r="G602" s="25">
        <v>3500</v>
      </c>
      <c r="H602" s="91" t="s">
        <v>26</v>
      </c>
      <c r="I602" s="25" t="s">
        <v>1770</v>
      </c>
      <c r="J602" s="25">
        <v>46405</v>
      </c>
      <c r="K602" s="25">
        <v>46405</v>
      </c>
      <c r="L602" s="28">
        <v>140</v>
      </c>
      <c r="M602" s="29">
        <v>237934</v>
      </c>
      <c r="N602" s="30">
        <v>0</v>
      </c>
      <c r="O602" s="30">
        <v>0</v>
      </c>
      <c r="P602" s="30">
        <v>0</v>
      </c>
      <c r="Q602" s="29">
        <v>0</v>
      </c>
      <c r="R602" s="29">
        <v>237934</v>
      </c>
      <c r="S602" s="29">
        <v>3000</v>
      </c>
      <c r="T602" s="29">
        <f t="shared" si="37"/>
        <v>240934</v>
      </c>
    </row>
    <row r="603" spans="1:20" ht="21" customHeight="1" x14ac:dyDescent="0.25">
      <c r="A603" s="21">
        <v>217</v>
      </c>
      <c r="B603" s="7" t="s">
        <v>1771</v>
      </c>
      <c r="C603" s="2" t="s">
        <v>1772</v>
      </c>
      <c r="D603" s="23" t="s">
        <v>23</v>
      </c>
      <c r="E603" s="24" t="s">
        <v>1773</v>
      </c>
      <c r="F603" s="25" t="s">
        <v>25</v>
      </c>
      <c r="G603" s="25">
        <v>5500</v>
      </c>
      <c r="H603" s="91" t="s">
        <v>26</v>
      </c>
      <c r="I603" s="25" t="s">
        <v>1774</v>
      </c>
      <c r="J603" s="25">
        <v>30544</v>
      </c>
      <c r="K603" s="25">
        <v>31883</v>
      </c>
      <c r="L603" s="28">
        <v>1339</v>
      </c>
      <c r="M603" s="29">
        <v>2275671</v>
      </c>
      <c r="N603" s="30">
        <v>0</v>
      </c>
      <c r="O603" s="30">
        <v>0</v>
      </c>
      <c r="P603" s="30">
        <v>0</v>
      </c>
      <c r="Q603" s="29">
        <v>0</v>
      </c>
      <c r="R603" s="29">
        <v>2275671</v>
      </c>
      <c r="S603" s="29">
        <v>3000</v>
      </c>
      <c r="T603" s="29">
        <f t="shared" si="37"/>
        <v>2278671</v>
      </c>
    </row>
    <row r="604" spans="1:20" ht="21" customHeight="1" x14ac:dyDescent="0.25">
      <c r="A604" s="21">
        <v>218</v>
      </c>
      <c r="B604" s="7" t="s">
        <v>1775</v>
      </c>
      <c r="C604" s="2" t="s">
        <v>1776</v>
      </c>
      <c r="D604" s="23" t="s">
        <v>23</v>
      </c>
      <c r="E604" s="24" t="s">
        <v>1777</v>
      </c>
      <c r="F604" s="25" t="s">
        <v>25</v>
      </c>
      <c r="G604" s="25">
        <v>4400</v>
      </c>
      <c r="H604" s="91" t="s">
        <v>26</v>
      </c>
      <c r="I604" s="25" t="s">
        <v>1778</v>
      </c>
      <c r="J604" s="25">
        <v>47680</v>
      </c>
      <c r="K604" s="25">
        <v>49397</v>
      </c>
      <c r="L604" s="28">
        <v>1717</v>
      </c>
      <c r="M604" s="29">
        <v>2918093</v>
      </c>
      <c r="N604" s="30">
        <v>0</v>
      </c>
      <c r="O604" s="30">
        <v>0</v>
      </c>
      <c r="P604" s="30">
        <v>0</v>
      </c>
      <c r="Q604" s="29">
        <v>0</v>
      </c>
      <c r="R604" s="29">
        <v>2918093</v>
      </c>
      <c r="S604" s="29">
        <v>3000</v>
      </c>
      <c r="T604" s="29">
        <f t="shared" si="37"/>
        <v>2921093</v>
      </c>
    </row>
    <row r="605" spans="1:20" ht="21" customHeight="1" x14ac:dyDescent="0.25">
      <c r="A605" s="21">
        <v>219</v>
      </c>
      <c r="B605" s="7" t="s">
        <v>1779</v>
      </c>
      <c r="C605" s="2" t="s">
        <v>1780</v>
      </c>
      <c r="D605" s="23" t="s">
        <v>23</v>
      </c>
      <c r="E605" s="24" t="s">
        <v>1781</v>
      </c>
      <c r="F605" s="25" t="s">
        <v>25</v>
      </c>
      <c r="G605" s="25">
        <v>5500</v>
      </c>
      <c r="H605" s="91" t="s">
        <v>26</v>
      </c>
      <c r="I605" s="25" t="s">
        <v>1782</v>
      </c>
      <c r="J605" s="25">
        <v>84038</v>
      </c>
      <c r="K605" s="25">
        <v>85000</v>
      </c>
      <c r="L605" s="28">
        <v>962</v>
      </c>
      <c r="M605" s="29">
        <v>1634948</v>
      </c>
      <c r="N605" s="30">
        <v>0</v>
      </c>
      <c r="O605" s="30">
        <v>0</v>
      </c>
      <c r="P605" s="30">
        <v>0</v>
      </c>
      <c r="Q605" s="29">
        <v>0</v>
      </c>
      <c r="R605" s="29">
        <v>1634948</v>
      </c>
      <c r="S605" s="29">
        <v>3000</v>
      </c>
      <c r="T605" s="29">
        <f t="shared" si="37"/>
        <v>1637948</v>
      </c>
    </row>
    <row r="606" spans="1:20" ht="21" customHeight="1" x14ac:dyDescent="0.25">
      <c r="A606" s="21">
        <v>220</v>
      </c>
      <c r="B606" s="7" t="s">
        <v>1783</v>
      </c>
      <c r="C606" s="2" t="s">
        <v>1784</v>
      </c>
      <c r="D606" s="23" t="s">
        <v>23</v>
      </c>
      <c r="E606" s="24" t="s">
        <v>1785</v>
      </c>
      <c r="F606" s="25" t="s">
        <v>25</v>
      </c>
      <c r="G606" s="25">
        <v>4400</v>
      </c>
      <c r="H606" s="91" t="s">
        <v>26</v>
      </c>
      <c r="I606" s="25" t="s">
        <v>1786</v>
      </c>
      <c r="J606" s="25">
        <v>84560</v>
      </c>
      <c r="K606" s="25">
        <v>87033</v>
      </c>
      <c r="L606" s="28">
        <v>2473</v>
      </c>
      <c r="M606" s="29">
        <v>4202938</v>
      </c>
      <c r="N606" s="30">
        <v>0</v>
      </c>
      <c r="O606" s="30">
        <v>0</v>
      </c>
      <c r="P606" s="30">
        <v>0</v>
      </c>
      <c r="Q606" s="29">
        <v>0</v>
      </c>
      <c r="R606" s="29">
        <v>4202938</v>
      </c>
      <c r="S606" s="29">
        <v>3000</v>
      </c>
      <c r="T606" s="29">
        <f t="shared" si="37"/>
        <v>4205938</v>
      </c>
    </row>
    <row r="607" spans="1:20" ht="21" customHeight="1" x14ac:dyDescent="0.25">
      <c r="A607" s="21">
        <v>221</v>
      </c>
      <c r="B607" s="7" t="s">
        <v>1787</v>
      </c>
      <c r="C607" s="2" t="s">
        <v>1788</v>
      </c>
      <c r="D607" s="23" t="s">
        <v>23</v>
      </c>
      <c r="E607" s="24" t="s">
        <v>1789</v>
      </c>
      <c r="F607" s="25" t="s">
        <v>25</v>
      </c>
      <c r="G607" s="25">
        <v>3500</v>
      </c>
      <c r="H607" s="91" t="s">
        <v>26</v>
      </c>
      <c r="I607" s="25" t="s">
        <v>1790</v>
      </c>
      <c r="J607" s="25">
        <v>17720</v>
      </c>
      <c r="K607" s="25">
        <v>19908</v>
      </c>
      <c r="L607" s="28">
        <v>2188</v>
      </c>
      <c r="M607" s="29">
        <v>3718572</v>
      </c>
      <c r="N607" s="30">
        <v>0</v>
      </c>
      <c r="O607" s="30">
        <v>0</v>
      </c>
      <c r="P607" s="30">
        <v>0</v>
      </c>
      <c r="Q607" s="29">
        <v>0</v>
      </c>
      <c r="R607" s="29">
        <v>3718572</v>
      </c>
      <c r="S607" s="29">
        <v>3000</v>
      </c>
      <c r="T607" s="29">
        <f t="shared" si="37"/>
        <v>3721572</v>
      </c>
    </row>
    <row r="608" spans="1:20" ht="21" customHeight="1" x14ac:dyDescent="0.25">
      <c r="A608" s="21">
        <v>222</v>
      </c>
      <c r="B608" s="7" t="s">
        <v>1791</v>
      </c>
      <c r="C608" s="2" t="s">
        <v>1792</v>
      </c>
      <c r="D608" s="23" t="s">
        <v>23</v>
      </c>
      <c r="E608" s="24" t="s">
        <v>1793</v>
      </c>
      <c r="F608" s="25" t="s">
        <v>25</v>
      </c>
      <c r="G608" s="25">
        <v>7700</v>
      </c>
      <c r="H608" s="91" t="s">
        <v>26</v>
      </c>
      <c r="I608" s="25" t="s">
        <v>1794</v>
      </c>
      <c r="J608" s="25">
        <v>1</v>
      </c>
      <c r="K608" s="25">
        <v>1</v>
      </c>
      <c r="L608" s="28">
        <v>308</v>
      </c>
      <c r="M608" s="29">
        <v>523455</v>
      </c>
      <c r="N608" s="30">
        <v>0</v>
      </c>
      <c r="O608" s="30">
        <v>0</v>
      </c>
      <c r="P608" s="30">
        <v>0</v>
      </c>
      <c r="Q608" s="29">
        <v>0</v>
      </c>
      <c r="R608" s="29">
        <v>523455</v>
      </c>
      <c r="S608" s="29">
        <v>3000</v>
      </c>
      <c r="T608" s="29">
        <f t="shared" si="37"/>
        <v>526455</v>
      </c>
    </row>
    <row r="609" spans="1:20" ht="21" customHeight="1" x14ac:dyDescent="0.25">
      <c r="A609" s="21">
        <v>223</v>
      </c>
      <c r="B609" s="7" t="s">
        <v>1795</v>
      </c>
      <c r="C609" s="2" t="s">
        <v>1796</v>
      </c>
      <c r="D609" s="23" t="s">
        <v>23</v>
      </c>
      <c r="E609" s="24" t="s">
        <v>1504</v>
      </c>
      <c r="F609" s="25" t="s">
        <v>25</v>
      </c>
      <c r="G609" s="25">
        <v>3500</v>
      </c>
      <c r="H609" s="91" t="s">
        <v>26</v>
      </c>
      <c r="I609" s="25" t="s">
        <v>1797</v>
      </c>
      <c r="J609" s="25">
        <v>63911</v>
      </c>
      <c r="K609" s="25">
        <v>65512</v>
      </c>
      <c r="L609" s="28">
        <v>1601</v>
      </c>
      <c r="M609" s="29">
        <v>2720948</v>
      </c>
      <c r="N609" s="30">
        <v>0</v>
      </c>
      <c r="O609" s="30">
        <v>0</v>
      </c>
      <c r="P609" s="30">
        <v>0</v>
      </c>
      <c r="Q609" s="29">
        <v>0</v>
      </c>
      <c r="R609" s="29">
        <v>2720948</v>
      </c>
      <c r="S609" s="29">
        <v>3000</v>
      </c>
      <c r="T609" s="29">
        <f t="shared" si="37"/>
        <v>2723948</v>
      </c>
    </row>
    <row r="610" spans="1:20" ht="21" customHeight="1" x14ac:dyDescent="0.25">
      <c r="A610" s="21">
        <v>224</v>
      </c>
      <c r="B610" s="7" t="s">
        <v>1798</v>
      </c>
      <c r="C610" s="2" t="s">
        <v>1799</v>
      </c>
      <c r="D610" s="23" t="s">
        <v>84</v>
      </c>
      <c r="E610" s="24" t="s">
        <v>1800</v>
      </c>
      <c r="F610" s="25" t="s">
        <v>25</v>
      </c>
      <c r="G610" s="25">
        <v>4400</v>
      </c>
      <c r="H610" s="91" t="s">
        <v>26</v>
      </c>
      <c r="I610" s="25" t="s">
        <v>1801</v>
      </c>
      <c r="J610" s="25">
        <v>890</v>
      </c>
      <c r="K610" s="25">
        <v>890</v>
      </c>
      <c r="L610" s="28">
        <v>176</v>
      </c>
      <c r="M610" s="29">
        <v>299117</v>
      </c>
      <c r="N610" s="30">
        <v>0</v>
      </c>
      <c r="O610" s="30">
        <v>0</v>
      </c>
      <c r="P610" s="30">
        <v>0</v>
      </c>
      <c r="Q610" s="29">
        <v>0</v>
      </c>
      <c r="R610" s="29">
        <v>299117</v>
      </c>
      <c r="S610" s="29">
        <v>3000</v>
      </c>
      <c r="T610" s="29">
        <f t="shared" si="37"/>
        <v>302117</v>
      </c>
    </row>
    <row r="611" spans="1:20" ht="21" customHeight="1" x14ac:dyDescent="0.25">
      <c r="A611" s="21">
        <v>225</v>
      </c>
      <c r="B611" s="7" t="s">
        <v>1802</v>
      </c>
      <c r="C611" s="2" t="s">
        <v>1803</v>
      </c>
      <c r="D611" s="23" t="s">
        <v>23</v>
      </c>
      <c r="E611" s="24" t="s">
        <v>1804</v>
      </c>
      <c r="F611" s="25" t="s">
        <v>25</v>
      </c>
      <c r="G611" s="25">
        <v>3500</v>
      </c>
      <c r="H611" s="91" t="s">
        <v>26</v>
      </c>
      <c r="I611" s="25" t="s">
        <v>1805</v>
      </c>
      <c r="J611" s="25">
        <v>127862</v>
      </c>
      <c r="K611" s="25">
        <v>128630</v>
      </c>
      <c r="L611" s="28">
        <v>768</v>
      </c>
      <c r="M611" s="29">
        <v>1305239</v>
      </c>
      <c r="N611" s="30">
        <v>0</v>
      </c>
      <c r="O611" s="30">
        <v>0</v>
      </c>
      <c r="P611" s="30">
        <v>0</v>
      </c>
      <c r="Q611" s="29">
        <v>0</v>
      </c>
      <c r="R611" s="29">
        <v>1305239</v>
      </c>
      <c r="S611" s="29">
        <v>3000</v>
      </c>
      <c r="T611" s="29">
        <f t="shared" si="37"/>
        <v>1308239</v>
      </c>
    </row>
    <row r="612" spans="1:20" ht="21" customHeight="1" x14ac:dyDescent="0.25">
      <c r="A612" s="21">
        <v>226</v>
      </c>
      <c r="B612" s="7" t="s">
        <v>1806</v>
      </c>
      <c r="C612" s="2" t="s">
        <v>1807</v>
      </c>
      <c r="D612" s="23" t="s">
        <v>23</v>
      </c>
      <c r="E612" s="24" t="s">
        <v>1808</v>
      </c>
      <c r="F612" s="25" t="s">
        <v>25</v>
      </c>
      <c r="G612" s="25">
        <v>3500</v>
      </c>
      <c r="H612" s="91" t="s">
        <v>26</v>
      </c>
      <c r="I612" s="25" t="s">
        <v>1809</v>
      </c>
      <c r="J612" s="25">
        <v>139605</v>
      </c>
      <c r="K612" s="25">
        <v>140804</v>
      </c>
      <c r="L612" s="28">
        <v>1199</v>
      </c>
      <c r="M612" s="29">
        <v>2037736</v>
      </c>
      <c r="N612" s="30">
        <v>0</v>
      </c>
      <c r="O612" s="30">
        <v>0</v>
      </c>
      <c r="P612" s="30">
        <v>0</v>
      </c>
      <c r="Q612" s="29">
        <v>0</v>
      </c>
      <c r="R612" s="29">
        <v>2037736</v>
      </c>
      <c r="S612" s="29">
        <v>3000</v>
      </c>
      <c r="T612" s="29">
        <f t="shared" si="37"/>
        <v>2040736</v>
      </c>
    </row>
    <row r="613" spans="1:20" ht="21" customHeight="1" x14ac:dyDescent="0.25">
      <c r="A613" s="21">
        <v>227</v>
      </c>
      <c r="B613" s="7" t="s">
        <v>1810</v>
      </c>
      <c r="C613" s="2" t="s">
        <v>1811</v>
      </c>
      <c r="D613" s="23" t="s">
        <v>84</v>
      </c>
      <c r="E613" s="24" t="s">
        <v>1812</v>
      </c>
      <c r="F613" s="25" t="s">
        <v>25</v>
      </c>
      <c r="G613" s="25">
        <v>3500</v>
      </c>
      <c r="H613" s="91" t="s">
        <v>26</v>
      </c>
      <c r="I613" s="25" t="s">
        <v>1813</v>
      </c>
      <c r="J613" s="25">
        <v>85427</v>
      </c>
      <c r="K613" s="25">
        <v>86588</v>
      </c>
      <c r="L613" s="28">
        <v>1161</v>
      </c>
      <c r="M613" s="29">
        <v>1973154</v>
      </c>
      <c r="N613" s="30">
        <v>0</v>
      </c>
      <c r="O613" s="30">
        <v>0</v>
      </c>
      <c r="P613" s="30">
        <v>0</v>
      </c>
      <c r="Q613" s="29">
        <v>0</v>
      </c>
      <c r="R613" s="29">
        <v>1973154</v>
      </c>
      <c r="S613" s="29">
        <v>3000</v>
      </c>
      <c r="T613" s="29">
        <f t="shared" si="37"/>
        <v>1976154</v>
      </c>
    </row>
    <row r="614" spans="1:20" ht="21" customHeight="1" x14ac:dyDescent="0.25">
      <c r="A614" s="21">
        <v>228</v>
      </c>
      <c r="B614" s="7" t="s">
        <v>1814</v>
      </c>
      <c r="C614" s="2" t="s">
        <v>1815</v>
      </c>
      <c r="D614" s="23" t="s">
        <v>23</v>
      </c>
      <c r="E614" s="24" t="s">
        <v>1720</v>
      </c>
      <c r="F614" s="25" t="s">
        <v>25</v>
      </c>
      <c r="G614" s="25">
        <v>2200</v>
      </c>
      <c r="H614" s="91" t="s">
        <v>26</v>
      </c>
      <c r="I614" s="25" t="s">
        <v>1816</v>
      </c>
      <c r="J614" s="25">
        <v>45669</v>
      </c>
      <c r="K614" s="25">
        <v>46780</v>
      </c>
      <c r="L614" s="28">
        <v>1111</v>
      </c>
      <c r="M614" s="29">
        <v>1888178</v>
      </c>
      <c r="N614" s="30">
        <v>0</v>
      </c>
      <c r="O614" s="30">
        <v>0</v>
      </c>
      <c r="P614" s="30">
        <v>0</v>
      </c>
      <c r="Q614" s="29">
        <v>0</v>
      </c>
      <c r="R614" s="29">
        <v>1888178</v>
      </c>
      <c r="S614" s="29">
        <v>3000</v>
      </c>
      <c r="T614" s="29">
        <f t="shared" si="37"/>
        <v>1891178</v>
      </c>
    </row>
    <row r="615" spans="1:20" ht="21" customHeight="1" x14ac:dyDescent="0.25">
      <c r="A615" s="21">
        <v>229</v>
      </c>
      <c r="B615" s="7" t="s">
        <v>1817</v>
      </c>
      <c r="C615" s="2" t="s">
        <v>1818</v>
      </c>
      <c r="D615" s="23" t="s">
        <v>84</v>
      </c>
      <c r="E615" s="24" t="s">
        <v>1819</v>
      </c>
      <c r="F615" s="25" t="s">
        <v>25</v>
      </c>
      <c r="G615" s="25">
        <v>2200</v>
      </c>
      <c r="H615" s="91" t="s">
        <v>26</v>
      </c>
      <c r="I615" s="25" t="s">
        <v>1820</v>
      </c>
      <c r="J615" s="25">
        <v>106290</v>
      </c>
      <c r="K615" s="25">
        <v>107071</v>
      </c>
      <c r="L615" s="28">
        <v>781</v>
      </c>
      <c r="M615" s="29">
        <v>1327333</v>
      </c>
      <c r="N615" s="30">
        <v>0</v>
      </c>
      <c r="O615" s="30">
        <v>0</v>
      </c>
      <c r="P615" s="30">
        <v>0</v>
      </c>
      <c r="Q615" s="29">
        <v>0</v>
      </c>
      <c r="R615" s="29">
        <v>1327333</v>
      </c>
      <c r="S615" s="29">
        <v>3000</v>
      </c>
      <c r="T615" s="29">
        <f t="shared" si="37"/>
        <v>1330333</v>
      </c>
    </row>
    <row r="616" spans="1:20" ht="21" customHeight="1" x14ac:dyDescent="0.25">
      <c r="A616" s="21">
        <v>230</v>
      </c>
      <c r="B616" s="7" t="s">
        <v>1821</v>
      </c>
      <c r="C616" s="2" t="s">
        <v>1822</v>
      </c>
      <c r="D616" s="23" t="s">
        <v>23</v>
      </c>
      <c r="E616" s="24" t="s">
        <v>1688</v>
      </c>
      <c r="F616" s="25" t="s">
        <v>25</v>
      </c>
      <c r="G616" s="25">
        <v>4400</v>
      </c>
      <c r="H616" s="91" t="s">
        <v>26</v>
      </c>
      <c r="I616" s="25" t="s">
        <v>1823</v>
      </c>
      <c r="J616" s="25">
        <v>63310</v>
      </c>
      <c r="K616" s="25">
        <v>64981</v>
      </c>
      <c r="L616" s="28">
        <v>1671</v>
      </c>
      <c r="M616" s="29">
        <v>2839915</v>
      </c>
      <c r="N616" s="30">
        <v>0</v>
      </c>
      <c r="O616" s="30">
        <v>0</v>
      </c>
      <c r="P616" s="30">
        <v>0</v>
      </c>
      <c r="Q616" s="29">
        <v>0</v>
      </c>
      <c r="R616" s="29">
        <v>2839915</v>
      </c>
      <c r="S616" s="29">
        <v>3000</v>
      </c>
      <c r="T616" s="29">
        <f t="shared" si="37"/>
        <v>2842915</v>
      </c>
    </row>
    <row r="617" spans="1:20" ht="21" customHeight="1" x14ac:dyDescent="0.25">
      <c r="A617" s="21">
        <v>231</v>
      </c>
      <c r="B617" s="7" t="s">
        <v>1824</v>
      </c>
      <c r="C617" s="2" t="s">
        <v>1825</v>
      </c>
      <c r="D617" s="23" t="s">
        <v>23</v>
      </c>
      <c r="E617" s="24" t="s">
        <v>1826</v>
      </c>
      <c r="F617" s="25" t="s">
        <v>25</v>
      </c>
      <c r="G617" s="25">
        <v>23000</v>
      </c>
      <c r="H617" s="91" t="s">
        <v>26</v>
      </c>
      <c r="I617" s="25" t="s">
        <v>1827</v>
      </c>
      <c r="J617" s="25">
        <v>2050</v>
      </c>
      <c r="K617" s="25">
        <v>2050</v>
      </c>
      <c r="L617" s="28">
        <v>920</v>
      </c>
      <c r="M617" s="29">
        <v>1563568</v>
      </c>
      <c r="N617" s="30">
        <v>0</v>
      </c>
      <c r="O617" s="30">
        <v>0</v>
      </c>
      <c r="P617" s="30">
        <v>0</v>
      </c>
      <c r="Q617" s="29">
        <v>0</v>
      </c>
      <c r="R617" s="29">
        <v>1563568</v>
      </c>
      <c r="S617" s="29">
        <v>3000</v>
      </c>
      <c r="T617" s="29">
        <f t="shared" si="37"/>
        <v>1566568</v>
      </c>
    </row>
    <row r="618" spans="1:20" ht="21" customHeight="1" x14ac:dyDescent="0.25">
      <c r="A618" s="21">
        <v>232</v>
      </c>
      <c r="B618" s="7" t="s">
        <v>1828</v>
      </c>
      <c r="C618" s="2" t="s">
        <v>1829</v>
      </c>
      <c r="D618" s="23" t="s">
        <v>23</v>
      </c>
      <c r="E618" s="24" t="s">
        <v>1826</v>
      </c>
      <c r="F618" s="25" t="s">
        <v>25</v>
      </c>
      <c r="G618" s="25">
        <v>23000</v>
      </c>
      <c r="H618" s="91" t="s">
        <v>26</v>
      </c>
      <c r="I618" s="25" t="s">
        <v>1830</v>
      </c>
      <c r="J618" s="25">
        <v>1860</v>
      </c>
      <c r="K618" s="25">
        <v>1860</v>
      </c>
      <c r="L618" s="28">
        <v>920</v>
      </c>
      <c r="M618" s="29">
        <v>1563568</v>
      </c>
      <c r="N618" s="30">
        <v>0</v>
      </c>
      <c r="O618" s="30">
        <v>0</v>
      </c>
      <c r="P618" s="30">
        <v>0</v>
      </c>
      <c r="Q618" s="29">
        <v>0</v>
      </c>
      <c r="R618" s="29">
        <v>1563568</v>
      </c>
      <c r="S618" s="29">
        <v>3000</v>
      </c>
      <c r="T618" s="29">
        <f t="shared" si="37"/>
        <v>1566568</v>
      </c>
    </row>
    <row r="619" spans="1:20" ht="21" customHeight="1" x14ac:dyDescent="0.25">
      <c r="A619" s="21">
        <v>233</v>
      </c>
      <c r="B619" s="7" t="s">
        <v>1831</v>
      </c>
      <c r="C619" s="2" t="s">
        <v>1832</v>
      </c>
      <c r="D619" s="23" t="s">
        <v>84</v>
      </c>
      <c r="E619" s="24" t="s">
        <v>1833</v>
      </c>
      <c r="F619" s="25" t="s">
        <v>25</v>
      </c>
      <c r="G619" s="25">
        <v>10600</v>
      </c>
      <c r="H619" s="91" t="s">
        <v>26</v>
      </c>
      <c r="I619" s="25" t="s">
        <v>1834</v>
      </c>
      <c r="J619" s="25">
        <v>92810</v>
      </c>
      <c r="K619" s="25">
        <v>93434</v>
      </c>
      <c r="L619" s="28">
        <v>624</v>
      </c>
      <c r="M619" s="29">
        <v>1060507</v>
      </c>
      <c r="N619" s="30">
        <v>0</v>
      </c>
      <c r="O619" s="30">
        <v>0</v>
      </c>
      <c r="P619" s="30">
        <v>0</v>
      </c>
      <c r="Q619" s="29">
        <v>0</v>
      </c>
      <c r="R619" s="29">
        <v>1060507</v>
      </c>
      <c r="S619" s="29">
        <v>3000</v>
      </c>
      <c r="T619" s="29">
        <f t="shared" si="37"/>
        <v>1063507</v>
      </c>
    </row>
    <row r="620" spans="1:20" ht="21" customHeight="1" x14ac:dyDescent="0.25">
      <c r="A620" s="21">
        <v>234</v>
      </c>
      <c r="B620" s="7" t="s">
        <v>1835</v>
      </c>
      <c r="C620" s="2" t="s">
        <v>1836</v>
      </c>
      <c r="D620" s="23" t="s">
        <v>30</v>
      </c>
      <c r="E620" s="24" t="s">
        <v>1837</v>
      </c>
      <c r="F620" s="25" t="s">
        <v>25</v>
      </c>
      <c r="G620" s="25">
        <v>3500</v>
      </c>
      <c r="H620" s="91" t="s">
        <v>26</v>
      </c>
      <c r="I620" s="25" t="s">
        <v>1838</v>
      </c>
      <c r="J620" s="25">
        <v>54506</v>
      </c>
      <c r="K620" s="25">
        <v>55003</v>
      </c>
      <c r="L620" s="28">
        <v>497</v>
      </c>
      <c r="M620" s="29">
        <v>844666</v>
      </c>
      <c r="N620" s="30">
        <v>0</v>
      </c>
      <c r="O620" s="30">
        <v>0</v>
      </c>
      <c r="P620" s="30">
        <v>0</v>
      </c>
      <c r="Q620" s="29">
        <v>0</v>
      </c>
      <c r="R620" s="29">
        <v>844666</v>
      </c>
      <c r="S620" s="29">
        <v>3000</v>
      </c>
      <c r="T620" s="29">
        <f t="shared" si="37"/>
        <v>847666</v>
      </c>
    </row>
    <row r="621" spans="1:20" ht="21" customHeight="1" x14ac:dyDescent="0.25">
      <c r="A621" s="21">
        <v>235</v>
      </c>
      <c r="B621" s="7" t="s">
        <v>1839</v>
      </c>
      <c r="C621" s="2" t="s">
        <v>1840</v>
      </c>
      <c r="D621" s="23" t="s">
        <v>30</v>
      </c>
      <c r="E621" s="24" t="s">
        <v>1841</v>
      </c>
      <c r="F621" s="25" t="s">
        <v>25</v>
      </c>
      <c r="G621" s="25">
        <v>3500</v>
      </c>
      <c r="H621" s="91" t="s">
        <v>26</v>
      </c>
      <c r="I621" s="25" t="s">
        <v>1842</v>
      </c>
      <c r="J621" s="25">
        <v>88232</v>
      </c>
      <c r="K621" s="25">
        <v>88765</v>
      </c>
      <c r="L621" s="28">
        <v>533</v>
      </c>
      <c r="M621" s="29">
        <v>905849</v>
      </c>
      <c r="N621" s="30">
        <v>0</v>
      </c>
      <c r="O621" s="30">
        <v>0</v>
      </c>
      <c r="P621" s="30">
        <v>0</v>
      </c>
      <c r="Q621" s="29">
        <v>0</v>
      </c>
      <c r="R621" s="29">
        <v>905849</v>
      </c>
      <c r="S621" s="29">
        <v>3000</v>
      </c>
      <c r="T621" s="29">
        <f t="shared" si="37"/>
        <v>908849</v>
      </c>
    </row>
    <row r="622" spans="1:20" ht="21" customHeight="1" x14ac:dyDescent="0.25">
      <c r="A622" s="21">
        <v>236</v>
      </c>
      <c r="B622" s="7" t="s">
        <v>1843</v>
      </c>
      <c r="C622" s="2" t="s">
        <v>1844</v>
      </c>
      <c r="D622" s="23" t="s">
        <v>30</v>
      </c>
      <c r="E622" s="24" t="s">
        <v>1845</v>
      </c>
      <c r="F622" s="25" t="s">
        <v>25</v>
      </c>
      <c r="G622" s="26">
        <v>2200</v>
      </c>
      <c r="H622" s="91" t="s">
        <v>26</v>
      </c>
      <c r="I622" s="25" t="s">
        <v>1846</v>
      </c>
      <c r="J622" s="25">
        <v>16522</v>
      </c>
      <c r="K622" s="25">
        <v>16807</v>
      </c>
      <c r="L622" s="28">
        <v>285</v>
      </c>
      <c r="M622" s="29">
        <v>484366</v>
      </c>
      <c r="N622" s="30">
        <v>0</v>
      </c>
      <c r="O622" s="30">
        <v>0</v>
      </c>
      <c r="P622" s="30">
        <v>0</v>
      </c>
      <c r="Q622" s="29">
        <v>0</v>
      </c>
      <c r="R622" s="29">
        <v>484366</v>
      </c>
      <c r="S622" s="29">
        <v>3000</v>
      </c>
      <c r="T622" s="29">
        <f t="shared" si="37"/>
        <v>487366</v>
      </c>
    </row>
    <row r="623" spans="1:20" ht="21" customHeight="1" x14ac:dyDescent="0.25">
      <c r="A623" s="21">
        <v>237</v>
      </c>
      <c r="B623" s="7" t="s">
        <v>1847</v>
      </c>
      <c r="C623" s="2" t="s">
        <v>1848</v>
      </c>
      <c r="D623" s="23" t="s">
        <v>84</v>
      </c>
      <c r="E623" s="24" t="s">
        <v>1849</v>
      </c>
      <c r="F623" s="25" t="s">
        <v>25</v>
      </c>
      <c r="G623" s="26">
        <v>2200</v>
      </c>
      <c r="H623" s="91" t="s">
        <v>26</v>
      </c>
      <c r="I623" s="25" t="s">
        <v>1850</v>
      </c>
      <c r="J623" s="25">
        <v>43227</v>
      </c>
      <c r="K623" s="25">
        <v>43594</v>
      </c>
      <c r="L623" s="28">
        <v>367</v>
      </c>
      <c r="M623" s="29">
        <v>623728</v>
      </c>
      <c r="N623" s="30">
        <v>0</v>
      </c>
      <c r="O623" s="30">
        <v>0</v>
      </c>
      <c r="P623" s="30">
        <v>0</v>
      </c>
      <c r="Q623" s="29">
        <v>0</v>
      </c>
      <c r="R623" s="29">
        <v>623728</v>
      </c>
      <c r="S623" s="29">
        <v>3000</v>
      </c>
      <c r="T623" s="29">
        <f t="shared" si="37"/>
        <v>626728</v>
      </c>
    </row>
    <row r="624" spans="1:20" ht="21" customHeight="1" x14ac:dyDescent="0.25">
      <c r="A624" s="21">
        <v>238</v>
      </c>
      <c r="B624" s="7" t="s">
        <v>1851</v>
      </c>
      <c r="C624" s="2" t="s">
        <v>1852</v>
      </c>
      <c r="D624" s="23" t="s">
        <v>30</v>
      </c>
      <c r="E624" s="24" t="s">
        <v>1853</v>
      </c>
      <c r="F624" s="25" t="s">
        <v>25</v>
      </c>
      <c r="G624" s="26">
        <v>2200</v>
      </c>
      <c r="H624" s="91" t="s">
        <v>26</v>
      </c>
      <c r="I624" s="25" t="s">
        <v>1854</v>
      </c>
      <c r="J624" s="25">
        <v>19549</v>
      </c>
      <c r="K624" s="25">
        <v>20117</v>
      </c>
      <c r="L624" s="28">
        <v>568</v>
      </c>
      <c r="M624" s="29">
        <v>965333</v>
      </c>
      <c r="N624" s="30">
        <v>0</v>
      </c>
      <c r="O624" s="30">
        <v>0</v>
      </c>
      <c r="P624" s="30">
        <v>0</v>
      </c>
      <c r="Q624" s="29">
        <v>0</v>
      </c>
      <c r="R624" s="29">
        <v>965333</v>
      </c>
      <c r="S624" s="29">
        <v>3000</v>
      </c>
      <c r="T624" s="29">
        <f t="shared" si="37"/>
        <v>968333</v>
      </c>
    </row>
    <row r="625" spans="1:20" ht="21" customHeight="1" x14ac:dyDescent="0.25">
      <c r="A625" s="21">
        <v>239</v>
      </c>
      <c r="B625" s="7" t="s">
        <v>1855</v>
      </c>
      <c r="C625" s="2" t="s">
        <v>1856</v>
      </c>
      <c r="D625" s="23" t="s">
        <v>23</v>
      </c>
      <c r="E625" s="24" t="s">
        <v>1857</v>
      </c>
      <c r="F625" s="25" t="s">
        <v>25</v>
      </c>
      <c r="G625" s="26">
        <v>2200</v>
      </c>
      <c r="H625" s="91" t="s">
        <v>26</v>
      </c>
      <c r="I625" s="25" t="s">
        <v>1858</v>
      </c>
      <c r="J625" s="25">
        <v>47486</v>
      </c>
      <c r="K625" s="25">
        <v>48163</v>
      </c>
      <c r="L625" s="28">
        <v>677</v>
      </c>
      <c r="M625" s="29">
        <v>1150582</v>
      </c>
      <c r="N625" s="30">
        <v>0</v>
      </c>
      <c r="O625" s="30">
        <v>0</v>
      </c>
      <c r="P625" s="30">
        <v>0</v>
      </c>
      <c r="Q625" s="29">
        <v>0</v>
      </c>
      <c r="R625" s="29">
        <v>1150582</v>
      </c>
      <c r="S625" s="29">
        <v>3000</v>
      </c>
      <c r="T625" s="29">
        <f t="shared" si="37"/>
        <v>1153582</v>
      </c>
    </row>
    <row r="626" spans="1:20" ht="21" customHeight="1" x14ac:dyDescent="0.25">
      <c r="A626" s="21">
        <v>240</v>
      </c>
      <c r="B626" s="7" t="s">
        <v>1859</v>
      </c>
      <c r="C626" s="2" t="s">
        <v>1860</v>
      </c>
      <c r="D626" s="23" t="s">
        <v>1861</v>
      </c>
      <c r="E626" s="24" t="s">
        <v>1862</v>
      </c>
      <c r="F626" s="25" t="s">
        <v>25</v>
      </c>
      <c r="G626" s="26">
        <v>2200</v>
      </c>
      <c r="H626" s="91" t="s">
        <v>26</v>
      </c>
      <c r="I626" s="25" t="s">
        <v>1863</v>
      </c>
      <c r="J626" s="25">
        <v>58032</v>
      </c>
      <c r="K626" s="25">
        <v>58892</v>
      </c>
      <c r="L626" s="28">
        <v>860</v>
      </c>
      <c r="M626" s="29">
        <v>1461596</v>
      </c>
      <c r="N626" s="30">
        <v>0</v>
      </c>
      <c r="O626" s="30">
        <v>0</v>
      </c>
      <c r="P626" s="30">
        <v>0</v>
      </c>
      <c r="Q626" s="29">
        <v>0</v>
      </c>
      <c r="R626" s="29">
        <v>1461596</v>
      </c>
      <c r="S626" s="29">
        <v>3000</v>
      </c>
      <c r="T626" s="29">
        <f t="shared" si="37"/>
        <v>1464596</v>
      </c>
    </row>
    <row r="627" spans="1:20" s="35" customFormat="1" ht="21" customHeight="1" x14ac:dyDescent="0.25">
      <c r="A627" s="21"/>
      <c r="B627" s="22"/>
      <c r="C627" s="23"/>
      <c r="D627" s="23"/>
      <c r="E627" s="23"/>
      <c r="F627" s="22"/>
      <c r="G627" s="22"/>
      <c r="H627" s="32"/>
      <c r="I627" s="25"/>
      <c r="J627" s="25"/>
      <c r="K627" s="25"/>
      <c r="L627" s="28"/>
      <c r="M627" s="29"/>
      <c r="N627" s="48"/>
      <c r="O627" s="48"/>
      <c r="P627" s="48"/>
      <c r="Q627" s="47"/>
      <c r="R627" s="47"/>
      <c r="S627" s="47"/>
      <c r="T627" s="47"/>
    </row>
    <row r="628" spans="1:20" ht="36" customHeight="1" x14ac:dyDescent="0.25">
      <c r="A628" s="44" t="s">
        <v>179</v>
      </c>
      <c r="B628" s="20"/>
      <c r="C628" s="20"/>
      <c r="D628" s="20"/>
      <c r="E628" s="20"/>
      <c r="F628" s="20"/>
      <c r="G628" s="32">
        <v>1076000</v>
      </c>
      <c r="H628" s="32">
        <v>0</v>
      </c>
      <c r="I628" s="32">
        <v>0</v>
      </c>
      <c r="J628" s="32"/>
      <c r="K628" s="32"/>
      <c r="L628" s="32">
        <v>225629</v>
      </c>
      <c r="M628" s="32">
        <v>383463252</v>
      </c>
      <c r="N628" s="32">
        <v>0</v>
      </c>
      <c r="O628" s="32">
        <v>0</v>
      </c>
      <c r="P628" s="32">
        <v>0</v>
      </c>
      <c r="Q628" s="156">
        <f>SUM(Q585:Q627)</f>
        <v>0</v>
      </c>
      <c r="R628" s="156">
        <f t="shared" ref="R628:T628" si="38">SUM(R585:R627)</f>
        <v>383463252</v>
      </c>
      <c r="S628" s="156">
        <f t="shared" si="38"/>
        <v>720000</v>
      </c>
      <c r="T628" s="156">
        <f t="shared" si="38"/>
        <v>384183252</v>
      </c>
    </row>
    <row r="629" spans="1:20" ht="21" customHeight="1" x14ac:dyDescent="0.25">
      <c r="A629" s="92"/>
      <c r="B629" s="93"/>
      <c r="C629" s="94"/>
      <c r="D629" s="94"/>
      <c r="E629" s="94"/>
      <c r="F629" s="93"/>
      <c r="G629" s="93"/>
      <c r="H629" s="95"/>
      <c r="L629" s="41"/>
    </row>
    <row r="630" spans="1:20" ht="21" customHeight="1" x14ac:dyDescent="0.25">
      <c r="A630" s="96"/>
      <c r="B630" s="93"/>
      <c r="C630" s="94"/>
      <c r="D630" s="94"/>
      <c r="E630" s="94"/>
      <c r="F630" s="93"/>
      <c r="G630" s="93"/>
      <c r="H630" s="95"/>
      <c r="L630" s="41"/>
    </row>
    <row r="631" spans="1:20" ht="21" customHeight="1" x14ac:dyDescent="0.25">
      <c r="A631" s="96"/>
      <c r="B631" s="93"/>
      <c r="C631" s="94"/>
      <c r="D631" s="94"/>
      <c r="E631" s="94"/>
      <c r="F631" s="93"/>
      <c r="G631" s="93"/>
      <c r="L631" s="41"/>
    </row>
    <row r="632" spans="1:20" s="93" customFormat="1" ht="42" customHeight="1" x14ac:dyDescent="0.25">
      <c r="A632" s="31" t="s">
        <v>4</v>
      </c>
      <c r="B632" s="31" t="s">
        <v>5</v>
      </c>
      <c r="C632" s="31" t="s">
        <v>6</v>
      </c>
      <c r="D632" s="22"/>
      <c r="E632" s="31" t="s">
        <v>7</v>
      </c>
      <c r="F632" s="31" t="s">
        <v>8</v>
      </c>
      <c r="G632" s="31" t="s">
        <v>9</v>
      </c>
      <c r="H632" s="31" t="s">
        <v>10</v>
      </c>
      <c r="I632" s="31" t="s">
        <v>11</v>
      </c>
      <c r="J632" s="31" t="s">
        <v>12</v>
      </c>
      <c r="K632" s="31" t="s">
        <v>13</v>
      </c>
      <c r="L632" s="31" t="s">
        <v>14</v>
      </c>
      <c r="M632" s="141" t="s">
        <v>15</v>
      </c>
      <c r="N632" s="142" t="s">
        <v>16</v>
      </c>
      <c r="O632" s="142" t="s">
        <v>17</v>
      </c>
      <c r="P632" s="142" t="s">
        <v>18</v>
      </c>
      <c r="Q632" s="141" t="s">
        <v>19</v>
      </c>
      <c r="R632" s="141" t="s">
        <v>20</v>
      </c>
      <c r="S632" s="141" t="s">
        <v>3655</v>
      </c>
      <c r="T632" s="141" t="s">
        <v>3656</v>
      </c>
    </row>
    <row r="633" spans="1:20" ht="21" customHeight="1" x14ac:dyDescent="0.25">
      <c r="A633" s="21"/>
      <c r="B633" s="22"/>
      <c r="C633" s="23"/>
      <c r="D633" s="23"/>
      <c r="E633" s="23"/>
      <c r="F633" s="22"/>
      <c r="G633" s="22"/>
      <c r="H633" s="27"/>
      <c r="I633" s="25"/>
      <c r="J633" s="25"/>
      <c r="K633" s="25"/>
      <c r="L633" s="28"/>
      <c r="M633" s="29"/>
      <c r="N633" s="30"/>
      <c r="O633" s="30"/>
      <c r="P633" s="30"/>
      <c r="Q633" s="29"/>
      <c r="R633" s="29"/>
      <c r="S633" s="29"/>
      <c r="T633" s="29"/>
    </row>
    <row r="634" spans="1:20" ht="21" customHeight="1" x14ac:dyDescent="0.25">
      <c r="A634" s="21"/>
      <c r="B634" s="22"/>
      <c r="C634" s="23"/>
      <c r="D634" s="23"/>
      <c r="E634" s="45" t="s">
        <v>181</v>
      </c>
      <c r="F634" s="22"/>
      <c r="G634" s="32">
        <v>1076000</v>
      </c>
      <c r="H634" s="32">
        <v>0</v>
      </c>
      <c r="I634" s="32">
        <v>0</v>
      </c>
      <c r="J634" s="32"/>
      <c r="K634" s="32"/>
      <c r="L634" s="32">
        <v>225629</v>
      </c>
      <c r="M634" s="33">
        <v>383463252</v>
      </c>
      <c r="N634" s="34">
        <v>0</v>
      </c>
      <c r="O634" s="34">
        <v>0</v>
      </c>
      <c r="P634" s="34">
        <v>0</v>
      </c>
      <c r="Q634" s="33">
        <f>Q628</f>
        <v>0</v>
      </c>
      <c r="R634" s="33">
        <f>R628</f>
        <v>383463252</v>
      </c>
      <c r="S634" s="33">
        <f t="shared" ref="S634:T634" si="39">S628</f>
        <v>720000</v>
      </c>
      <c r="T634" s="33">
        <f t="shared" si="39"/>
        <v>384183252</v>
      </c>
    </row>
    <row r="635" spans="1:20" ht="21" customHeight="1" x14ac:dyDescent="0.25">
      <c r="A635" s="21">
        <v>241</v>
      </c>
      <c r="B635" s="75" t="s">
        <v>1864</v>
      </c>
      <c r="C635" s="24" t="s">
        <v>1865</v>
      </c>
      <c r="D635" s="24" t="s">
        <v>23</v>
      </c>
      <c r="E635" s="24" t="s">
        <v>1866</v>
      </c>
      <c r="F635" s="25" t="s">
        <v>25</v>
      </c>
      <c r="G635" s="26">
        <v>2200</v>
      </c>
      <c r="H635" s="91" t="s">
        <v>26</v>
      </c>
      <c r="I635" s="25" t="s">
        <v>1867</v>
      </c>
      <c r="J635" s="25">
        <v>34072</v>
      </c>
      <c r="K635" s="25">
        <v>34783</v>
      </c>
      <c r="L635" s="28">
        <v>711</v>
      </c>
      <c r="M635" s="29">
        <v>1208366</v>
      </c>
      <c r="N635" s="30">
        <v>0</v>
      </c>
      <c r="O635" s="30">
        <v>0</v>
      </c>
      <c r="P635" s="30">
        <v>0</v>
      </c>
      <c r="Q635" s="29">
        <v>0</v>
      </c>
      <c r="R635" s="29">
        <v>1208366</v>
      </c>
      <c r="S635" s="29">
        <v>3000</v>
      </c>
      <c r="T635" s="29">
        <f t="shared" ref="T635:T674" si="40">R635+S635</f>
        <v>1211366</v>
      </c>
    </row>
    <row r="636" spans="1:20" ht="21" customHeight="1" x14ac:dyDescent="0.25">
      <c r="A636" s="21">
        <v>242</v>
      </c>
      <c r="B636" s="75" t="s">
        <v>1868</v>
      </c>
      <c r="C636" s="24" t="s">
        <v>1869</v>
      </c>
      <c r="D636" s="24" t="s">
        <v>23</v>
      </c>
      <c r="E636" s="24" t="s">
        <v>1870</v>
      </c>
      <c r="F636" s="25" t="s">
        <v>25</v>
      </c>
      <c r="G636" s="26">
        <v>2200</v>
      </c>
      <c r="H636" s="91" t="s">
        <v>26</v>
      </c>
      <c r="I636" s="25" t="s">
        <v>1871</v>
      </c>
      <c r="J636" s="25">
        <v>50782</v>
      </c>
      <c r="K636" s="25">
        <v>51437</v>
      </c>
      <c r="L636" s="28">
        <v>655</v>
      </c>
      <c r="M636" s="29">
        <v>1113192</v>
      </c>
      <c r="N636" s="30">
        <v>0</v>
      </c>
      <c r="O636" s="30">
        <v>0</v>
      </c>
      <c r="P636" s="30">
        <v>0</v>
      </c>
      <c r="Q636" s="29">
        <v>0</v>
      </c>
      <c r="R636" s="29">
        <v>1113192</v>
      </c>
      <c r="S636" s="29">
        <v>3000</v>
      </c>
      <c r="T636" s="29">
        <f t="shared" si="40"/>
        <v>1116192</v>
      </c>
    </row>
    <row r="637" spans="1:20" ht="21" customHeight="1" x14ac:dyDescent="0.25">
      <c r="A637" s="21">
        <v>243</v>
      </c>
      <c r="B637" s="75" t="s">
        <v>1872</v>
      </c>
      <c r="C637" s="24" t="s">
        <v>1873</v>
      </c>
      <c r="D637" s="24" t="s">
        <v>23</v>
      </c>
      <c r="E637" s="24" t="s">
        <v>1219</v>
      </c>
      <c r="F637" s="25" t="s">
        <v>25</v>
      </c>
      <c r="G637" s="26">
        <v>2200</v>
      </c>
      <c r="H637" s="91" t="s">
        <v>26</v>
      </c>
      <c r="I637" s="25" t="s">
        <v>1874</v>
      </c>
      <c r="J637" s="25">
        <v>61927</v>
      </c>
      <c r="K637" s="25">
        <v>62729</v>
      </c>
      <c r="L637" s="28">
        <v>802</v>
      </c>
      <c r="M637" s="29">
        <v>1363023</v>
      </c>
      <c r="N637" s="30">
        <v>0</v>
      </c>
      <c r="O637" s="30">
        <v>0</v>
      </c>
      <c r="P637" s="30">
        <v>0</v>
      </c>
      <c r="Q637" s="29">
        <v>0</v>
      </c>
      <c r="R637" s="29">
        <v>1363023</v>
      </c>
      <c r="S637" s="29">
        <v>3000</v>
      </c>
      <c r="T637" s="29">
        <f t="shared" si="40"/>
        <v>1366023</v>
      </c>
    </row>
    <row r="638" spans="1:20" ht="21" customHeight="1" x14ac:dyDescent="0.25">
      <c r="A638" s="21">
        <v>244</v>
      </c>
      <c r="B638" s="75" t="s">
        <v>1875</v>
      </c>
      <c r="C638" s="24" t="s">
        <v>1876</v>
      </c>
      <c r="D638" s="24" t="s">
        <v>23</v>
      </c>
      <c r="E638" s="24" t="s">
        <v>1289</v>
      </c>
      <c r="F638" s="25" t="s">
        <v>25</v>
      </c>
      <c r="G638" s="26">
        <v>2200</v>
      </c>
      <c r="H638" s="91" t="s">
        <v>26</v>
      </c>
      <c r="I638" s="25" t="s">
        <v>1877</v>
      </c>
      <c r="J638" s="25">
        <v>33033</v>
      </c>
      <c r="K638" s="25">
        <v>33630</v>
      </c>
      <c r="L638" s="28">
        <v>597</v>
      </c>
      <c r="M638" s="29">
        <v>1014619</v>
      </c>
      <c r="N638" s="30">
        <v>0</v>
      </c>
      <c r="O638" s="30">
        <v>0</v>
      </c>
      <c r="P638" s="30">
        <v>0</v>
      </c>
      <c r="Q638" s="29">
        <v>0</v>
      </c>
      <c r="R638" s="29">
        <v>1014619</v>
      </c>
      <c r="S638" s="29">
        <v>3000</v>
      </c>
      <c r="T638" s="29">
        <f t="shared" si="40"/>
        <v>1017619</v>
      </c>
    </row>
    <row r="639" spans="1:20" ht="21" customHeight="1" x14ac:dyDescent="0.25">
      <c r="A639" s="21">
        <v>245</v>
      </c>
      <c r="B639" s="75" t="s">
        <v>1878</v>
      </c>
      <c r="C639" s="24" t="s">
        <v>1879</v>
      </c>
      <c r="D639" s="24" t="s">
        <v>23</v>
      </c>
      <c r="E639" s="24" t="s">
        <v>1524</v>
      </c>
      <c r="F639" s="25" t="s">
        <v>25</v>
      </c>
      <c r="G639" s="26">
        <v>2200</v>
      </c>
      <c r="H639" s="91" t="s">
        <v>26</v>
      </c>
      <c r="I639" s="25" t="s">
        <v>1880</v>
      </c>
      <c r="J639" s="25">
        <v>36809</v>
      </c>
      <c r="K639" s="25">
        <v>37272</v>
      </c>
      <c r="L639" s="28">
        <v>463</v>
      </c>
      <c r="M639" s="29">
        <v>786882</v>
      </c>
      <c r="N639" s="30">
        <v>0</v>
      </c>
      <c r="O639" s="30">
        <v>0</v>
      </c>
      <c r="P639" s="30">
        <v>0</v>
      </c>
      <c r="Q639" s="29">
        <v>0</v>
      </c>
      <c r="R639" s="29">
        <v>786882</v>
      </c>
      <c r="S639" s="29">
        <v>3000</v>
      </c>
      <c r="T639" s="29">
        <f t="shared" si="40"/>
        <v>789882</v>
      </c>
    </row>
    <row r="640" spans="1:20" ht="21" customHeight="1" x14ac:dyDescent="0.25">
      <c r="A640" s="21">
        <v>246</v>
      </c>
      <c r="B640" s="75" t="s">
        <v>1881</v>
      </c>
      <c r="C640" s="24" t="s">
        <v>1882</v>
      </c>
      <c r="D640" s="24" t="s">
        <v>1861</v>
      </c>
      <c r="E640" s="24" t="s">
        <v>1313</v>
      </c>
      <c r="F640" s="25" t="s">
        <v>25</v>
      </c>
      <c r="G640" s="26">
        <v>5500</v>
      </c>
      <c r="H640" s="91" t="s">
        <v>26</v>
      </c>
      <c r="I640" s="25" t="s">
        <v>1883</v>
      </c>
      <c r="J640" s="25">
        <v>54226</v>
      </c>
      <c r="K640" s="25">
        <v>55036</v>
      </c>
      <c r="L640" s="28">
        <v>810</v>
      </c>
      <c r="M640" s="29">
        <v>1376619</v>
      </c>
      <c r="N640" s="30">
        <v>0</v>
      </c>
      <c r="O640" s="30">
        <v>0</v>
      </c>
      <c r="P640" s="30">
        <v>0</v>
      </c>
      <c r="Q640" s="29">
        <v>0</v>
      </c>
      <c r="R640" s="29">
        <v>1376619</v>
      </c>
      <c r="S640" s="29">
        <v>3000</v>
      </c>
      <c r="T640" s="29">
        <f t="shared" si="40"/>
        <v>1379619</v>
      </c>
    </row>
    <row r="641" spans="1:20" ht="21" customHeight="1" x14ac:dyDescent="0.25">
      <c r="A641" s="21">
        <v>247</v>
      </c>
      <c r="B641" s="75" t="s">
        <v>1884</v>
      </c>
      <c r="C641" s="24" t="s">
        <v>1885</v>
      </c>
      <c r="D641" s="24" t="s">
        <v>23</v>
      </c>
      <c r="E641" s="24" t="s">
        <v>1886</v>
      </c>
      <c r="F641" s="25" t="s">
        <v>25</v>
      </c>
      <c r="G641" s="26">
        <v>2200</v>
      </c>
      <c r="H641" s="91" t="s">
        <v>26</v>
      </c>
      <c r="I641" s="25" t="s">
        <v>1887</v>
      </c>
      <c r="J641" s="25">
        <v>52502</v>
      </c>
      <c r="K641" s="25">
        <v>53426</v>
      </c>
      <c r="L641" s="28">
        <v>924</v>
      </c>
      <c r="M641" s="29">
        <v>1570366</v>
      </c>
      <c r="N641" s="30">
        <v>0</v>
      </c>
      <c r="O641" s="30">
        <v>0</v>
      </c>
      <c r="P641" s="30">
        <v>0</v>
      </c>
      <c r="Q641" s="29">
        <v>0</v>
      </c>
      <c r="R641" s="29">
        <v>1570366</v>
      </c>
      <c r="S641" s="29">
        <v>3000</v>
      </c>
      <c r="T641" s="29">
        <f t="shared" si="40"/>
        <v>1573366</v>
      </c>
    </row>
    <row r="642" spans="1:20" ht="21" customHeight="1" x14ac:dyDescent="0.25">
      <c r="A642" s="21">
        <v>248</v>
      </c>
      <c r="B642" s="75" t="s">
        <v>1888</v>
      </c>
      <c r="C642" s="24" t="s">
        <v>1889</v>
      </c>
      <c r="D642" s="24" t="s">
        <v>23</v>
      </c>
      <c r="E642" s="24" t="s">
        <v>1890</v>
      </c>
      <c r="F642" s="25" t="s">
        <v>25</v>
      </c>
      <c r="G642" s="26">
        <v>2200</v>
      </c>
      <c r="H642" s="91" t="s">
        <v>26</v>
      </c>
      <c r="I642" s="25" t="s">
        <v>1891</v>
      </c>
      <c r="J642" s="25">
        <v>58690</v>
      </c>
      <c r="K642" s="25">
        <v>59376</v>
      </c>
      <c r="L642" s="28">
        <v>686</v>
      </c>
      <c r="M642" s="29">
        <v>1165878</v>
      </c>
      <c r="N642" s="30">
        <v>0</v>
      </c>
      <c r="O642" s="30">
        <v>0</v>
      </c>
      <c r="P642" s="30">
        <v>0</v>
      </c>
      <c r="Q642" s="29">
        <v>0</v>
      </c>
      <c r="R642" s="29">
        <v>1165878</v>
      </c>
      <c r="S642" s="29">
        <v>3000</v>
      </c>
      <c r="T642" s="29">
        <f t="shared" si="40"/>
        <v>1168878</v>
      </c>
    </row>
    <row r="643" spans="1:20" ht="21" customHeight="1" x14ac:dyDescent="0.25">
      <c r="A643" s="21">
        <v>249</v>
      </c>
      <c r="B643" s="75" t="s">
        <v>1892</v>
      </c>
      <c r="C643" s="24" t="s">
        <v>1893</v>
      </c>
      <c r="D643" s="24" t="s">
        <v>23</v>
      </c>
      <c r="E643" s="24" t="s">
        <v>1219</v>
      </c>
      <c r="F643" s="25" t="s">
        <v>25</v>
      </c>
      <c r="G643" s="26">
        <v>2200</v>
      </c>
      <c r="H643" s="91" t="s">
        <v>26</v>
      </c>
      <c r="I643" s="25" t="s">
        <v>1894</v>
      </c>
      <c r="J643" s="25">
        <v>59910</v>
      </c>
      <c r="K643" s="25">
        <v>60693</v>
      </c>
      <c r="L643" s="28">
        <v>783</v>
      </c>
      <c r="M643" s="29">
        <v>1330732</v>
      </c>
      <c r="N643" s="30">
        <v>0</v>
      </c>
      <c r="O643" s="30">
        <v>0</v>
      </c>
      <c r="P643" s="30">
        <v>0</v>
      </c>
      <c r="Q643" s="29">
        <v>0</v>
      </c>
      <c r="R643" s="29">
        <v>1330732</v>
      </c>
      <c r="S643" s="29">
        <v>3000</v>
      </c>
      <c r="T643" s="29">
        <f t="shared" si="40"/>
        <v>1333732</v>
      </c>
    </row>
    <row r="644" spans="1:20" ht="21" customHeight="1" x14ac:dyDescent="0.25">
      <c r="A644" s="21">
        <v>250</v>
      </c>
      <c r="B644" s="75" t="s">
        <v>1895</v>
      </c>
      <c r="C644" s="24" t="s">
        <v>1896</v>
      </c>
      <c r="D644" s="24" t="s">
        <v>23</v>
      </c>
      <c r="E644" s="24" t="s">
        <v>1897</v>
      </c>
      <c r="F644" s="25" t="s">
        <v>25</v>
      </c>
      <c r="G644" s="26">
        <v>2200</v>
      </c>
      <c r="H644" s="91" t="s">
        <v>26</v>
      </c>
      <c r="I644" s="25" t="s">
        <v>1898</v>
      </c>
      <c r="J644" s="25">
        <v>40261</v>
      </c>
      <c r="K644" s="25">
        <v>40377</v>
      </c>
      <c r="L644" s="28">
        <v>116</v>
      </c>
      <c r="M644" s="29">
        <v>197145</v>
      </c>
      <c r="N644" s="30">
        <v>0</v>
      </c>
      <c r="O644" s="30">
        <v>0</v>
      </c>
      <c r="P644" s="30">
        <v>0</v>
      </c>
      <c r="Q644" s="29">
        <v>0</v>
      </c>
      <c r="R644" s="29">
        <v>197145</v>
      </c>
      <c r="S644" s="29">
        <v>3000</v>
      </c>
      <c r="T644" s="29">
        <f t="shared" si="40"/>
        <v>200145</v>
      </c>
    </row>
    <row r="645" spans="1:20" ht="21" customHeight="1" x14ac:dyDescent="0.25">
      <c r="A645" s="21">
        <v>251</v>
      </c>
      <c r="B645" s="75" t="s">
        <v>1899</v>
      </c>
      <c r="C645" s="24" t="s">
        <v>1873</v>
      </c>
      <c r="D645" s="24" t="s">
        <v>23</v>
      </c>
      <c r="E645" s="24" t="s">
        <v>1219</v>
      </c>
      <c r="F645" s="25" t="s">
        <v>25</v>
      </c>
      <c r="G645" s="26">
        <v>2200</v>
      </c>
      <c r="H645" s="91" t="s">
        <v>26</v>
      </c>
      <c r="I645" s="25" t="s">
        <v>1900</v>
      </c>
      <c r="J645" s="25">
        <v>41373</v>
      </c>
      <c r="K645" s="25">
        <v>42077</v>
      </c>
      <c r="L645" s="28">
        <v>704</v>
      </c>
      <c r="M645" s="29">
        <v>1196469</v>
      </c>
      <c r="N645" s="30">
        <v>0</v>
      </c>
      <c r="O645" s="30">
        <v>0</v>
      </c>
      <c r="P645" s="30">
        <v>0</v>
      </c>
      <c r="Q645" s="29">
        <v>0</v>
      </c>
      <c r="R645" s="29">
        <v>1196469</v>
      </c>
      <c r="S645" s="29">
        <v>3000</v>
      </c>
      <c r="T645" s="29">
        <f t="shared" si="40"/>
        <v>1199469</v>
      </c>
    </row>
    <row r="646" spans="1:20" ht="21" customHeight="1" x14ac:dyDescent="0.25">
      <c r="A646" s="21">
        <v>252</v>
      </c>
      <c r="B646" s="75" t="s">
        <v>1901</v>
      </c>
      <c r="C646" s="24" t="s">
        <v>1902</v>
      </c>
      <c r="D646" s="24" t="s">
        <v>23</v>
      </c>
      <c r="E646" s="24" t="s">
        <v>1903</v>
      </c>
      <c r="F646" s="25" t="s">
        <v>25</v>
      </c>
      <c r="G646" s="26">
        <v>2200</v>
      </c>
      <c r="H646" s="91" t="s">
        <v>26</v>
      </c>
      <c r="I646" s="25" t="s">
        <v>1904</v>
      </c>
      <c r="J646" s="25">
        <v>72663</v>
      </c>
      <c r="K646" s="25">
        <v>73628</v>
      </c>
      <c r="L646" s="28">
        <v>965</v>
      </c>
      <c r="M646" s="29">
        <v>1640046</v>
      </c>
      <c r="N646" s="30">
        <v>0</v>
      </c>
      <c r="O646" s="30">
        <v>0</v>
      </c>
      <c r="P646" s="30">
        <v>0</v>
      </c>
      <c r="Q646" s="29">
        <v>0</v>
      </c>
      <c r="R646" s="29">
        <v>1640046</v>
      </c>
      <c r="S646" s="29">
        <v>3000</v>
      </c>
      <c r="T646" s="29">
        <f t="shared" si="40"/>
        <v>1643046</v>
      </c>
    </row>
    <row r="647" spans="1:20" ht="21" customHeight="1" x14ac:dyDescent="0.25">
      <c r="A647" s="21">
        <v>253</v>
      </c>
      <c r="B647" s="75" t="s">
        <v>1905</v>
      </c>
      <c r="C647" s="24" t="s">
        <v>1906</v>
      </c>
      <c r="D647" s="24" t="s">
        <v>23</v>
      </c>
      <c r="E647" s="24" t="s">
        <v>1907</v>
      </c>
      <c r="F647" s="25" t="s">
        <v>25</v>
      </c>
      <c r="G647" s="26">
        <v>3500</v>
      </c>
      <c r="H647" s="91" t="s">
        <v>26</v>
      </c>
      <c r="I647" s="25" t="s">
        <v>1908</v>
      </c>
      <c r="J647" s="25">
        <v>33856</v>
      </c>
      <c r="K647" s="25">
        <v>36341</v>
      </c>
      <c r="L647" s="28">
        <v>2485</v>
      </c>
      <c r="M647" s="29">
        <v>4223332</v>
      </c>
      <c r="N647" s="30">
        <v>0</v>
      </c>
      <c r="O647" s="30">
        <v>0</v>
      </c>
      <c r="P647" s="30">
        <v>0</v>
      </c>
      <c r="Q647" s="29">
        <v>0</v>
      </c>
      <c r="R647" s="29">
        <v>4223332</v>
      </c>
      <c r="S647" s="29">
        <v>3000</v>
      </c>
      <c r="T647" s="29">
        <f t="shared" si="40"/>
        <v>4226332</v>
      </c>
    </row>
    <row r="648" spans="1:20" ht="21" customHeight="1" x14ac:dyDescent="0.25">
      <c r="A648" s="21">
        <v>254</v>
      </c>
      <c r="B648" s="75" t="s">
        <v>1909</v>
      </c>
      <c r="C648" s="24" t="s">
        <v>1910</v>
      </c>
      <c r="D648" s="24" t="s">
        <v>23</v>
      </c>
      <c r="E648" s="24" t="s">
        <v>1911</v>
      </c>
      <c r="F648" s="25" t="s">
        <v>25</v>
      </c>
      <c r="G648" s="26">
        <v>3500</v>
      </c>
      <c r="H648" s="91" t="s">
        <v>26</v>
      </c>
      <c r="I648" s="25" t="s">
        <v>1912</v>
      </c>
      <c r="J648" s="25">
        <v>56826</v>
      </c>
      <c r="K648" s="25">
        <v>57493</v>
      </c>
      <c r="L648" s="28">
        <v>667</v>
      </c>
      <c r="M648" s="29">
        <v>1133587</v>
      </c>
      <c r="N648" s="30">
        <v>0</v>
      </c>
      <c r="O648" s="30">
        <v>0</v>
      </c>
      <c r="P648" s="30">
        <v>0</v>
      </c>
      <c r="Q648" s="29">
        <v>0</v>
      </c>
      <c r="R648" s="29">
        <v>1133587</v>
      </c>
      <c r="S648" s="29">
        <v>3000</v>
      </c>
      <c r="T648" s="29">
        <f t="shared" si="40"/>
        <v>1136587</v>
      </c>
    </row>
    <row r="649" spans="1:20" ht="21" customHeight="1" x14ac:dyDescent="0.25">
      <c r="A649" s="21">
        <v>255</v>
      </c>
      <c r="B649" s="75" t="s">
        <v>1913</v>
      </c>
      <c r="C649" s="24" t="s">
        <v>1914</v>
      </c>
      <c r="D649" s="24" t="s">
        <v>23</v>
      </c>
      <c r="E649" s="24" t="s">
        <v>1359</v>
      </c>
      <c r="F649" s="25" t="s">
        <v>25</v>
      </c>
      <c r="G649" s="26">
        <v>3500</v>
      </c>
      <c r="H649" s="91" t="s">
        <v>26</v>
      </c>
      <c r="I649" s="25" t="s">
        <v>1915</v>
      </c>
      <c r="J649" s="25">
        <v>4488</v>
      </c>
      <c r="K649" s="25">
        <v>5898</v>
      </c>
      <c r="L649" s="28">
        <v>1410</v>
      </c>
      <c r="M649" s="29">
        <v>2396337</v>
      </c>
      <c r="N649" s="30">
        <v>0</v>
      </c>
      <c r="O649" s="30">
        <v>0</v>
      </c>
      <c r="P649" s="30">
        <v>0</v>
      </c>
      <c r="Q649" s="29">
        <v>0</v>
      </c>
      <c r="R649" s="29">
        <v>2396337</v>
      </c>
      <c r="S649" s="29">
        <v>3000</v>
      </c>
      <c r="T649" s="29">
        <f t="shared" si="40"/>
        <v>2399337</v>
      </c>
    </row>
    <row r="650" spans="1:20" ht="21" customHeight="1" x14ac:dyDescent="0.25">
      <c r="A650" s="21">
        <v>256</v>
      </c>
      <c r="B650" s="75" t="s">
        <v>1916</v>
      </c>
      <c r="C650" s="24" t="s">
        <v>1917</v>
      </c>
      <c r="D650" s="24" t="s">
        <v>23</v>
      </c>
      <c r="E650" s="24" t="s">
        <v>1918</v>
      </c>
      <c r="F650" s="25" t="s">
        <v>25</v>
      </c>
      <c r="G650" s="26">
        <v>3500</v>
      </c>
      <c r="H650" s="91" t="s">
        <v>26</v>
      </c>
      <c r="I650" s="25" t="s">
        <v>1919</v>
      </c>
      <c r="J650" s="25">
        <v>39458</v>
      </c>
      <c r="K650" s="25">
        <v>39897</v>
      </c>
      <c r="L650" s="28">
        <v>439</v>
      </c>
      <c r="M650" s="29">
        <v>746094</v>
      </c>
      <c r="N650" s="30">
        <v>0</v>
      </c>
      <c r="O650" s="30">
        <v>0</v>
      </c>
      <c r="P650" s="30">
        <v>0</v>
      </c>
      <c r="Q650" s="29">
        <v>0</v>
      </c>
      <c r="R650" s="29">
        <v>746094</v>
      </c>
      <c r="S650" s="29">
        <v>3000</v>
      </c>
      <c r="T650" s="29">
        <f t="shared" si="40"/>
        <v>749094</v>
      </c>
    </row>
    <row r="651" spans="1:20" ht="21" customHeight="1" x14ac:dyDescent="0.25">
      <c r="A651" s="21">
        <v>257</v>
      </c>
      <c r="B651" s="75" t="s">
        <v>1920</v>
      </c>
      <c r="C651" s="24" t="s">
        <v>1921</v>
      </c>
      <c r="D651" s="24" t="s">
        <v>23</v>
      </c>
      <c r="E651" s="24" t="s">
        <v>1922</v>
      </c>
      <c r="F651" s="25" t="s">
        <v>25</v>
      </c>
      <c r="G651" s="26">
        <v>3500</v>
      </c>
      <c r="H651" s="91" t="s">
        <v>26</v>
      </c>
      <c r="I651" s="25" t="s">
        <v>1923</v>
      </c>
      <c r="J651" s="25">
        <v>63428</v>
      </c>
      <c r="K651" s="25">
        <v>64354</v>
      </c>
      <c r="L651" s="28">
        <v>926</v>
      </c>
      <c r="M651" s="29">
        <v>1573765</v>
      </c>
      <c r="N651" s="30">
        <v>0</v>
      </c>
      <c r="O651" s="30">
        <v>0</v>
      </c>
      <c r="P651" s="30">
        <v>0</v>
      </c>
      <c r="Q651" s="29">
        <v>0</v>
      </c>
      <c r="R651" s="29">
        <v>1573765</v>
      </c>
      <c r="S651" s="29">
        <v>3000</v>
      </c>
      <c r="T651" s="29">
        <f t="shared" si="40"/>
        <v>1576765</v>
      </c>
    </row>
    <row r="652" spans="1:20" ht="21" customHeight="1" x14ac:dyDescent="0.25">
      <c r="A652" s="21">
        <v>258</v>
      </c>
      <c r="B652" s="75" t="s">
        <v>1924</v>
      </c>
      <c r="C652" s="24" t="s">
        <v>1925</v>
      </c>
      <c r="D652" s="24" t="s">
        <v>23</v>
      </c>
      <c r="E652" s="24" t="s">
        <v>1926</v>
      </c>
      <c r="F652" s="25" t="s">
        <v>25</v>
      </c>
      <c r="G652" s="26">
        <v>3500</v>
      </c>
      <c r="H652" s="91" t="s">
        <v>26</v>
      </c>
      <c r="I652" s="25" t="s">
        <v>1927</v>
      </c>
      <c r="J652" s="25">
        <v>88237</v>
      </c>
      <c r="K652" s="25">
        <v>89795</v>
      </c>
      <c r="L652" s="28">
        <v>1558</v>
      </c>
      <c r="M652" s="29">
        <v>2647868</v>
      </c>
      <c r="N652" s="30">
        <v>0</v>
      </c>
      <c r="O652" s="30">
        <v>0</v>
      </c>
      <c r="P652" s="30">
        <v>0</v>
      </c>
      <c r="Q652" s="29">
        <v>0</v>
      </c>
      <c r="R652" s="29">
        <v>2647868</v>
      </c>
      <c r="S652" s="29">
        <v>3000</v>
      </c>
      <c r="T652" s="29">
        <f t="shared" si="40"/>
        <v>2650868</v>
      </c>
    </row>
    <row r="653" spans="1:20" ht="21" customHeight="1" x14ac:dyDescent="0.25">
      <c r="A653" s="21">
        <v>259</v>
      </c>
      <c r="B653" s="75" t="s">
        <v>1928</v>
      </c>
      <c r="C653" s="24" t="s">
        <v>1929</v>
      </c>
      <c r="D653" s="24" t="s">
        <v>23</v>
      </c>
      <c r="E653" s="24" t="s">
        <v>1536</v>
      </c>
      <c r="F653" s="25" t="s">
        <v>25</v>
      </c>
      <c r="G653" s="26">
        <v>3500</v>
      </c>
      <c r="H653" s="91" t="s">
        <v>26</v>
      </c>
      <c r="I653" s="25" t="s">
        <v>1930</v>
      </c>
      <c r="J653" s="25">
        <v>69986</v>
      </c>
      <c r="K653" s="25">
        <v>72031</v>
      </c>
      <c r="L653" s="28">
        <v>2045</v>
      </c>
      <c r="M653" s="29">
        <v>3475539</v>
      </c>
      <c r="N653" s="30">
        <v>0</v>
      </c>
      <c r="O653" s="30">
        <v>0</v>
      </c>
      <c r="P653" s="30">
        <v>0</v>
      </c>
      <c r="Q653" s="29">
        <v>0</v>
      </c>
      <c r="R653" s="29">
        <v>3475539</v>
      </c>
      <c r="S653" s="29">
        <v>3000</v>
      </c>
      <c r="T653" s="29">
        <f t="shared" si="40"/>
        <v>3478539</v>
      </c>
    </row>
    <row r="654" spans="1:20" ht="21" customHeight="1" x14ac:dyDescent="0.25">
      <c r="A654" s="21">
        <v>260</v>
      </c>
      <c r="B654" s="75" t="s">
        <v>1931</v>
      </c>
      <c r="C654" s="24" t="s">
        <v>1932</v>
      </c>
      <c r="D654" s="24" t="s">
        <v>23</v>
      </c>
      <c r="E654" s="24" t="s">
        <v>1933</v>
      </c>
      <c r="F654" s="25" t="s">
        <v>25</v>
      </c>
      <c r="G654" s="26">
        <v>3500</v>
      </c>
      <c r="H654" s="91" t="s">
        <v>26</v>
      </c>
      <c r="I654" s="25" t="s">
        <v>1934</v>
      </c>
      <c r="J654" s="25">
        <v>12845</v>
      </c>
      <c r="K654" s="25">
        <v>15080</v>
      </c>
      <c r="L654" s="28">
        <v>2235</v>
      </c>
      <c r="M654" s="29">
        <v>3798450</v>
      </c>
      <c r="N654" s="30">
        <v>0</v>
      </c>
      <c r="O654" s="30">
        <v>0</v>
      </c>
      <c r="P654" s="30">
        <v>0</v>
      </c>
      <c r="Q654" s="29">
        <v>0</v>
      </c>
      <c r="R654" s="29">
        <v>3798450</v>
      </c>
      <c r="S654" s="29">
        <v>3000</v>
      </c>
      <c r="T654" s="29">
        <f t="shared" si="40"/>
        <v>3801450</v>
      </c>
    </row>
    <row r="655" spans="1:20" ht="21" customHeight="1" x14ac:dyDescent="0.25">
      <c r="A655" s="21">
        <v>261</v>
      </c>
      <c r="B655" s="75" t="s">
        <v>1935</v>
      </c>
      <c r="C655" s="24" t="s">
        <v>1936</v>
      </c>
      <c r="D655" s="24" t="s">
        <v>23</v>
      </c>
      <c r="E655" s="24" t="s">
        <v>1937</v>
      </c>
      <c r="F655" s="25" t="s">
        <v>25</v>
      </c>
      <c r="G655" s="26">
        <v>3500</v>
      </c>
      <c r="H655" s="91" t="s">
        <v>26</v>
      </c>
      <c r="I655" s="25" t="s">
        <v>1938</v>
      </c>
      <c r="J655" s="25">
        <v>47853</v>
      </c>
      <c r="K655" s="25">
        <v>48600</v>
      </c>
      <c r="L655" s="28">
        <v>747</v>
      </c>
      <c r="M655" s="29">
        <v>1269549</v>
      </c>
      <c r="N655" s="30">
        <v>0</v>
      </c>
      <c r="O655" s="30">
        <v>0</v>
      </c>
      <c r="P655" s="30">
        <v>0</v>
      </c>
      <c r="Q655" s="29">
        <v>0</v>
      </c>
      <c r="R655" s="29">
        <v>1269549</v>
      </c>
      <c r="S655" s="29">
        <v>3000</v>
      </c>
      <c r="T655" s="29">
        <f t="shared" si="40"/>
        <v>1272549</v>
      </c>
    </row>
    <row r="656" spans="1:20" ht="21" customHeight="1" x14ac:dyDescent="0.25">
      <c r="A656" s="21">
        <v>262</v>
      </c>
      <c r="B656" s="75" t="s">
        <v>1939</v>
      </c>
      <c r="C656" s="24" t="s">
        <v>1940</v>
      </c>
      <c r="D656" s="24" t="s">
        <v>23</v>
      </c>
      <c r="E656" s="24" t="s">
        <v>1941</v>
      </c>
      <c r="F656" s="25" t="s">
        <v>25</v>
      </c>
      <c r="G656" s="26">
        <v>3500</v>
      </c>
      <c r="H656" s="91" t="s">
        <v>26</v>
      </c>
      <c r="I656" s="25" t="s">
        <v>1942</v>
      </c>
      <c r="J656" s="25">
        <v>41428</v>
      </c>
      <c r="K656" s="25">
        <v>42059</v>
      </c>
      <c r="L656" s="28">
        <v>631</v>
      </c>
      <c r="M656" s="29">
        <v>1072403</v>
      </c>
      <c r="N656" s="30">
        <v>0</v>
      </c>
      <c r="O656" s="30">
        <v>0</v>
      </c>
      <c r="P656" s="30">
        <v>0</v>
      </c>
      <c r="Q656" s="29">
        <v>0</v>
      </c>
      <c r="R656" s="29">
        <v>1072403</v>
      </c>
      <c r="S656" s="29">
        <v>3000</v>
      </c>
      <c r="T656" s="29">
        <f t="shared" si="40"/>
        <v>1075403</v>
      </c>
    </row>
    <row r="657" spans="1:20" ht="21" customHeight="1" x14ac:dyDescent="0.25">
      <c r="A657" s="21">
        <v>263</v>
      </c>
      <c r="B657" s="75" t="s">
        <v>1943</v>
      </c>
      <c r="C657" s="24" t="s">
        <v>1944</v>
      </c>
      <c r="D657" s="24" t="s">
        <v>23</v>
      </c>
      <c r="E657" s="24" t="s">
        <v>1945</v>
      </c>
      <c r="F657" s="25" t="s">
        <v>25</v>
      </c>
      <c r="G657" s="26">
        <v>3500</v>
      </c>
      <c r="H657" s="91" t="s">
        <v>26</v>
      </c>
      <c r="I657" s="25" t="s">
        <v>1946</v>
      </c>
      <c r="J657" s="25">
        <v>59480</v>
      </c>
      <c r="K657" s="25">
        <v>60191</v>
      </c>
      <c r="L657" s="28">
        <v>711</v>
      </c>
      <c r="M657" s="29">
        <v>1208366</v>
      </c>
      <c r="N657" s="30">
        <v>0</v>
      </c>
      <c r="O657" s="30">
        <v>0</v>
      </c>
      <c r="P657" s="30">
        <v>0</v>
      </c>
      <c r="Q657" s="29">
        <v>0</v>
      </c>
      <c r="R657" s="29">
        <v>1208366</v>
      </c>
      <c r="S657" s="29">
        <v>3000</v>
      </c>
      <c r="T657" s="29">
        <f t="shared" si="40"/>
        <v>1211366</v>
      </c>
    </row>
    <row r="658" spans="1:20" ht="21" customHeight="1" x14ac:dyDescent="0.25">
      <c r="A658" s="21">
        <v>264</v>
      </c>
      <c r="B658" s="75" t="s">
        <v>1947</v>
      </c>
      <c r="C658" s="24" t="s">
        <v>1948</v>
      </c>
      <c r="D658" s="24" t="s">
        <v>23</v>
      </c>
      <c r="E658" s="24" t="s">
        <v>1949</v>
      </c>
      <c r="F658" s="25" t="s">
        <v>25</v>
      </c>
      <c r="G658" s="26">
        <v>3500</v>
      </c>
      <c r="H658" s="91" t="s">
        <v>26</v>
      </c>
      <c r="I658" s="25" t="s">
        <v>1950</v>
      </c>
      <c r="J658" s="25">
        <v>717</v>
      </c>
      <c r="K658" s="25">
        <v>735</v>
      </c>
      <c r="L658" s="28">
        <v>140</v>
      </c>
      <c r="M658" s="29">
        <v>237934</v>
      </c>
      <c r="N658" s="30">
        <v>0</v>
      </c>
      <c r="O658" s="30">
        <v>0</v>
      </c>
      <c r="P658" s="30">
        <v>0</v>
      </c>
      <c r="Q658" s="29">
        <v>0</v>
      </c>
      <c r="R658" s="29">
        <v>237934</v>
      </c>
      <c r="S658" s="29">
        <v>3000</v>
      </c>
      <c r="T658" s="29">
        <f t="shared" si="40"/>
        <v>240934</v>
      </c>
    </row>
    <row r="659" spans="1:20" ht="21" customHeight="1" x14ac:dyDescent="0.25">
      <c r="A659" s="21">
        <v>265</v>
      </c>
      <c r="B659" s="75" t="s">
        <v>1951</v>
      </c>
      <c r="C659" s="24" t="s">
        <v>1952</v>
      </c>
      <c r="D659" s="24" t="s">
        <v>23</v>
      </c>
      <c r="E659" s="24" t="s">
        <v>1179</v>
      </c>
      <c r="F659" s="25" t="s">
        <v>25</v>
      </c>
      <c r="G659" s="26">
        <v>3500</v>
      </c>
      <c r="H659" s="91" t="s">
        <v>26</v>
      </c>
      <c r="I659" s="25" t="s">
        <v>1953</v>
      </c>
      <c r="J659" s="25">
        <v>32967</v>
      </c>
      <c r="K659" s="25">
        <v>33387</v>
      </c>
      <c r="L659" s="28">
        <v>420</v>
      </c>
      <c r="M659" s="29">
        <v>713803</v>
      </c>
      <c r="N659" s="30">
        <v>0</v>
      </c>
      <c r="O659" s="30">
        <v>0</v>
      </c>
      <c r="P659" s="30">
        <v>0</v>
      </c>
      <c r="Q659" s="29">
        <v>0</v>
      </c>
      <c r="R659" s="29">
        <v>713803</v>
      </c>
      <c r="S659" s="29">
        <v>3000</v>
      </c>
      <c r="T659" s="29">
        <f t="shared" si="40"/>
        <v>716803</v>
      </c>
    </row>
    <row r="660" spans="1:20" ht="21" customHeight="1" x14ac:dyDescent="0.25">
      <c r="A660" s="21">
        <v>266</v>
      </c>
      <c r="B660" s="75" t="s">
        <v>1954</v>
      </c>
      <c r="C660" s="24" t="s">
        <v>1955</v>
      </c>
      <c r="D660" s="24" t="s">
        <v>23</v>
      </c>
      <c r="E660" s="24" t="s">
        <v>1359</v>
      </c>
      <c r="F660" s="25" t="s">
        <v>25</v>
      </c>
      <c r="G660" s="26">
        <v>3500</v>
      </c>
      <c r="H660" s="91" t="s">
        <v>26</v>
      </c>
      <c r="I660" s="25" t="s">
        <v>1956</v>
      </c>
      <c r="J660" s="25">
        <v>1707</v>
      </c>
      <c r="K660" s="25">
        <v>2841</v>
      </c>
      <c r="L660" s="28">
        <v>1134</v>
      </c>
      <c r="M660" s="29">
        <v>1927267</v>
      </c>
      <c r="N660" s="30">
        <v>0</v>
      </c>
      <c r="O660" s="30">
        <v>0</v>
      </c>
      <c r="P660" s="30">
        <v>0</v>
      </c>
      <c r="Q660" s="29">
        <v>0</v>
      </c>
      <c r="R660" s="29">
        <v>1927267</v>
      </c>
      <c r="S660" s="29">
        <v>3000</v>
      </c>
      <c r="T660" s="29">
        <f t="shared" si="40"/>
        <v>1930267</v>
      </c>
    </row>
    <row r="661" spans="1:20" ht="21" customHeight="1" x14ac:dyDescent="0.25">
      <c r="A661" s="21">
        <v>267</v>
      </c>
      <c r="B661" s="75" t="s">
        <v>1957</v>
      </c>
      <c r="C661" s="24" t="s">
        <v>1958</v>
      </c>
      <c r="D661" s="24" t="s">
        <v>23</v>
      </c>
      <c r="E661" s="24" t="s">
        <v>1959</v>
      </c>
      <c r="F661" s="25" t="s">
        <v>25</v>
      </c>
      <c r="G661" s="26">
        <v>3500</v>
      </c>
      <c r="H661" s="91" t="s">
        <v>26</v>
      </c>
      <c r="I661" s="25" t="s">
        <v>1960</v>
      </c>
      <c r="J661" s="25">
        <v>3029</v>
      </c>
      <c r="K661" s="25">
        <v>4454</v>
      </c>
      <c r="L661" s="28">
        <v>1425</v>
      </c>
      <c r="M661" s="29">
        <v>2421830</v>
      </c>
      <c r="N661" s="30">
        <v>0</v>
      </c>
      <c r="O661" s="30">
        <v>0</v>
      </c>
      <c r="P661" s="30">
        <v>0</v>
      </c>
      <c r="Q661" s="29">
        <v>0</v>
      </c>
      <c r="R661" s="29">
        <v>2421830</v>
      </c>
      <c r="S661" s="29">
        <v>3000</v>
      </c>
      <c r="T661" s="29">
        <f t="shared" si="40"/>
        <v>2424830</v>
      </c>
    </row>
    <row r="662" spans="1:20" ht="21" customHeight="1" x14ac:dyDescent="0.25">
      <c r="A662" s="21">
        <v>268</v>
      </c>
      <c r="B662" s="75" t="s">
        <v>1961</v>
      </c>
      <c r="C662" s="24" t="s">
        <v>1962</v>
      </c>
      <c r="D662" s="24" t="s">
        <v>23</v>
      </c>
      <c r="E662" s="24" t="s">
        <v>1301</v>
      </c>
      <c r="F662" s="25" t="s">
        <v>25</v>
      </c>
      <c r="G662" s="26">
        <v>3500</v>
      </c>
      <c r="H662" s="91" t="s">
        <v>26</v>
      </c>
      <c r="I662" s="25" t="s">
        <v>1963</v>
      </c>
      <c r="J662" s="25">
        <v>14773</v>
      </c>
      <c r="K662" s="25">
        <v>15114</v>
      </c>
      <c r="L662" s="28">
        <v>341</v>
      </c>
      <c r="M662" s="29">
        <v>579540</v>
      </c>
      <c r="N662" s="30">
        <v>0</v>
      </c>
      <c r="O662" s="30">
        <v>0</v>
      </c>
      <c r="P662" s="30">
        <v>0</v>
      </c>
      <c r="Q662" s="29">
        <v>0</v>
      </c>
      <c r="R662" s="29">
        <v>579540</v>
      </c>
      <c r="S662" s="29">
        <v>3000</v>
      </c>
      <c r="T662" s="29">
        <f t="shared" si="40"/>
        <v>582540</v>
      </c>
    </row>
    <row r="663" spans="1:20" ht="21" customHeight="1" x14ac:dyDescent="0.25">
      <c r="A663" s="21">
        <v>269</v>
      </c>
      <c r="B663" s="75" t="s">
        <v>1964</v>
      </c>
      <c r="C663" s="24" t="s">
        <v>1965</v>
      </c>
      <c r="D663" s="24" t="s">
        <v>23</v>
      </c>
      <c r="E663" s="24" t="s">
        <v>1890</v>
      </c>
      <c r="F663" s="25" t="s">
        <v>25</v>
      </c>
      <c r="G663" s="26">
        <v>3500</v>
      </c>
      <c r="H663" s="91" t="s">
        <v>26</v>
      </c>
      <c r="I663" s="25" t="s">
        <v>1966</v>
      </c>
      <c r="J663" s="25">
        <v>66925</v>
      </c>
      <c r="K663" s="25">
        <v>67750</v>
      </c>
      <c r="L663" s="28">
        <v>825</v>
      </c>
      <c r="M663" s="29">
        <v>1402112</v>
      </c>
      <c r="N663" s="30">
        <v>0</v>
      </c>
      <c r="O663" s="30">
        <v>0</v>
      </c>
      <c r="P663" s="30">
        <v>0</v>
      </c>
      <c r="Q663" s="29">
        <v>0</v>
      </c>
      <c r="R663" s="29">
        <v>1402112</v>
      </c>
      <c r="S663" s="29">
        <v>3000</v>
      </c>
      <c r="T663" s="29">
        <f t="shared" si="40"/>
        <v>1405112</v>
      </c>
    </row>
    <row r="664" spans="1:20" ht="21" customHeight="1" x14ac:dyDescent="0.25">
      <c r="A664" s="21">
        <v>270</v>
      </c>
      <c r="B664" s="75" t="s">
        <v>1967</v>
      </c>
      <c r="C664" s="24" t="s">
        <v>1968</v>
      </c>
      <c r="D664" s="24" t="s">
        <v>23</v>
      </c>
      <c r="E664" s="24" t="s">
        <v>1969</v>
      </c>
      <c r="F664" s="25" t="s">
        <v>25</v>
      </c>
      <c r="G664" s="26">
        <v>2200</v>
      </c>
      <c r="H664" s="91" t="s">
        <v>26</v>
      </c>
      <c r="I664" s="25" t="s">
        <v>1970</v>
      </c>
      <c r="J664" s="25">
        <v>10405</v>
      </c>
      <c r="K664" s="25">
        <v>10680</v>
      </c>
      <c r="L664" s="28">
        <v>275</v>
      </c>
      <c r="M664" s="29">
        <v>467371</v>
      </c>
      <c r="N664" s="30">
        <v>0</v>
      </c>
      <c r="O664" s="30">
        <v>0</v>
      </c>
      <c r="P664" s="30">
        <v>0</v>
      </c>
      <c r="Q664" s="29">
        <v>0</v>
      </c>
      <c r="R664" s="29">
        <v>467371</v>
      </c>
      <c r="S664" s="29">
        <v>3000</v>
      </c>
      <c r="T664" s="29">
        <f t="shared" si="40"/>
        <v>470371</v>
      </c>
    </row>
    <row r="665" spans="1:20" ht="21" customHeight="1" x14ac:dyDescent="0.25">
      <c r="A665" s="21">
        <v>271</v>
      </c>
      <c r="B665" s="75" t="s">
        <v>1971</v>
      </c>
      <c r="C665" s="24" t="s">
        <v>1972</v>
      </c>
      <c r="D665" s="24" t="s">
        <v>23</v>
      </c>
      <c r="E665" s="24" t="s">
        <v>1933</v>
      </c>
      <c r="F665" s="25" t="s">
        <v>25</v>
      </c>
      <c r="G665" s="26">
        <v>3500</v>
      </c>
      <c r="H665" s="91" t="s">
        <v>26</v>
      </c>
      <c r="I665" s="25" t="s">
        <v>1973</v>
      </c>
      <c r="J665" s="25">
        <v>33690</v>
      </c>
      <c r="K665" s="25">
        <v>34147</v>
      </c>
      <c r="L665" s="28">
        <v>457</v>
      </c>
      <c r="M665" s="29">
        <v>776685</v>
      </c>
      <c r="N665" s="30">
        <v>0</v>
      </c>
      <c r="O665" s="30">
        <v>0</v>
      </c>
      <c r="P665" s="30">
        <v>0</v>
      </c>
      <c r="Q665" s="29">
        <v>0</v>
      </c>
      <c r="R665" s="29">
        <v>776685</v>
      </c>
      <c r="S665" s="29">
        <v>3000</v>
      </c>
      <c r="T665" s="29">
        <f t="shared" si="40"/>
        <v>779685</v>
      </c>
    </row>
    <row r="666" spans="1:20" ht="21" customHeight="1" x14ac:dyDescent="0.25">
      <c r="A666" s="21">
        <v>272</v>
      </c>
      <c r="B666" s="75" t="s">
        <v>1974</v>
      </c>
      <c r="C666" s="24" t="s">
        <v>1975</v>
      </c>
      <c r="D666" s="24" t="s">
        <v>23</v>
      </c>
      <c r="E666" s="24" t="s">
        <v>1933</v>
      </c>
      <c r="F666" s="25" t="s">
        <v>25</v>
      </c>
      <c r="G666" s="26">
        <v>3500</v>
      </c>
      <c r="H666" s="91" t="s">
        <v>26</v>
      </c>
      <c r="I666" s="25" t="s">
        <v>1976</v>
      </c>
      <c r="J666" s="25">
        <v>85577</v>
      </c>
      <c r="K666" s="25">
        <v>86842</v>
      </c>
      <c r="L666" s="28">
        <v>1265</v>
      </c>
      <c r="M666" s="29">
        <v>2149905</v>
      </c>
      <c r="N666" s="30">
        <v>0</v>
      </c>
      <c r="O666" s="30">
        <v>0</v>
      </c>
      <c r="P666" s="30">
        <v>0</v>
      </c>
      <c r="Q666" s="29">
        <v>0</v>
      </c>
      <c r="R666" s="29">
        <v>2149905</v>
      </c>
      <c r="S666" s="29">
        <v>3000</v>
      </c>
      <c r="T666" s="29">
        <f t="shared" si="40"/>
        <v>2152905</v>
      </c>
    </row>
    <row r="667" spans="1:20" ht="21" customHeight="1" x14ac:dyDescent="0.25">
      <c r="A667" s="21">
        <v>273</v>
      </c>
      <c r="B667" s="75" t="s">
        <v>1977</v>
      </c>
      <c r="C667" s="24" t="s">
        <v>1064</v>
      </c>
      <c r="D667" s="24" t="s">
        <v>23</v>
      </c>
      <c r="E667" s="24" t="s">
        <v>1978</v>
      </c>
      <c r="F667" s="25" t="s">
        <v>25</v>
      </c>
      <c r="G667" s="26">
        <v>3500</v>
      </c>
      <c r="H667" s="91" t="s">
        <v>26</v>
      </c>
      <c r="I667" s="25" t="s">
        <v>1979</v>
      </c>
      <c r="J667" s="25">
        <v>74953</v>
      </c>
      <c r="K667" s="25">
        <v>75848</v>
      </c>
      <c r="L667" s="28">
        <v>895</v>
      </c>
      <c r="M667" s="29">
        <v>1521079</v>
      </c>
      <c r="N667" s="30">
        <v>0</v>
      </c>
      <c r="O667" s="30">
        <v>0</v>
      </c>
      <c r="P667" s="30">
        <v>0</v>
      </c>
      <c r="Q667" s="29">
        <v>0</v>
      </c>
      <c r="R667" s="29">
        <v>1521079</v>
      </c>
      <c r="S667" s="29">
        <v>3000</v>
      </c>
      <c r="T667" s="29">
        <f t="shared" si="40"/>
        <v>1524079</v>
      </c>
    </row>
    <row r="668" spans="1:20" ht="21" customHeight="1" x14ac:dyDescent="0.25">
      <c r="A668" s="21">
        <v>274</v>
      </c>
      <c r="B668" s="75" t="s">
        <v>1980</v>
      </c>
      <c r="C668" s="24" t="s">
        <v>1981</v>
      </c>
      <c r="D668" s="24" t="s">
        <v>23</v>
      </c>
      <c r="E668" s="24" t="s">
        <v>1982</v>
      </c>
      <c r="F668" s="25" t="s">
        <v>25</v>
      </c>
      <c r="G668" s="26">
        <v>3500</v>
      </c>
      <c r="H668" s="91" t="s">
        <v>26</v>
      </c>
      <c r="I668" s="25" t="s">
        <v>1983</v>
      </c>
      <c r="J668" s="25">
        <v>43651</v>
      </c>
      <c r="K668" s="25">
        <v>44305</v>
      </c>
      <c r="L668" s="28">
        <v>654</v>
      </c>
      <c r="M668" s="29">
        <v>1111493</v>
      </c>
      <c r="N668" s="30">
        <v>0</v>
      </c>
      <c r="O668" s="30">
        <v>0</v>
      </c>
      <c r="P668" s="30">
        <v>0</v>
      </c>
      <c r="Q668" s="29">
        <v>0</v>
      </c>
      <c r="R668" s="29">
        <v>1111493</v>
      </c>
      <c r="S668" s="29">
        <v>3000</v>
      </c>
      <c r="T668" s="29">
        <f t="shared" si="40"/>
        <v>1114493</v>
      </c>
    </row>
    <row r="669" spans="1:20" ht="21" customHeight="1" x14ac:dyDescent="0.25">
      <c r="A669" s="21">
        <v>275</v>
      </c>
      <c r="B669" s="75" t="s">
        <v>1984</v>
      </c>
      <c r="C669" s="24" t="s">
        <v>1985</v>
      </c>
      <c r="D669" s="24" t="s">
        <v>23</v>
      </c>
      <c r="E669" s="24" t="s">
        <v>1986</v>
      </c>
      <c r="F669" s="25" t="s">
        <v>25</v>
      </c>
      <c r="G669" s="26">
        <v>3500</v>
      </c>
      <c r="H669" s="91" t="s">
        <v>26</v>
      </c>
      <c r="I669" s="25" t="s">
        <v>1987</v>
      </c>
      <c r="J669" s="25">
        <v>9451</v>
      </c>
      <c r="K669" s="25">
        <v>10910</v>
      </c>
      <c r="L669" s="28">
        <v>1459</v>
      </c>
      <c r="M669" s="29">
        <v>2479614</v>
      </c>
      <c r="N669" s="30">
        <v>0</v>
      </c>
      <c r="O669" s="30">
        <v>0</v>
      </c>
      <c r="P669" s="30">
        <v>0</v>
      </c>
      <c r="Q669" s="29">
        <v>0</v>
      </c>
      <c r="R669" s="29">
        <v>2479614</v>
      </c>
      <c r="S669" s="29">
        <v>3000</v>
      </c>
      <c r="T669" s="29">
        <f t="shared" si="40"/>
        <v>2482614</v>
      </c>
    </row>
    <row r="670" spans="1:20" ht="21" customHeight="1" x14ac:dyDescent="0.25">
      <c r="A670" s="21">
        <v>276</v>
      </c>
      <c r="B670" s="75" t="s">
        <v>1988</v>
      </c>
      <c r="C670" s="24" t="s">
        <v>1989</v>
      </c>
      <c r="D670" s="24" t="s">
        <v>23</v>
      </c>
      <c r="E670" s="24" t="s">
        <v>1990</v>
      </c>
      <c r="F670" s="25" t="s">
        <v>25</v>
      </c>
      <c r="G670" s="26">
        <v>4400</v>
      </c>
      <c r="H670" s="91" t="s">
        <v>26</v>
      </c>
      <c r="I670" s="25" t="s">
        <v>1991</v>
      </c>
      <c r="J670" s="25">
        <v>77543</v>
      </c>
      <c r="K670" s="25">
        <v>78746</v>
      </c>
      <c r="L670" s="28">
        <v>1203</v>
      </c>
      <c r="M670" s="29">
        <v>2044535</v>
      </c>
      <c r="N670" s="30">
        <v>0</v>
      </c>
      <c r="O670" s="30">
        <v>0</v>
      </c>
      <c r="P670" s="30">
        <v>0</v>
      </c>
      <c r="Q670" s="29">
        <v>0</v>
      </c>
      <c r="R670" s="29">
        <v>2044535</v>
      </c>
      <c r="S670" s="29">
        <v>3000</v>
      </c>
      <c r="T670" s="29">
        <f t="shared" si="40"/>
        <v>2047535</v>
      </c>
    </row>
    <row r="671" spans="1:20" ht="21" customHeight="1" x14ac:dyDescent="0.25">
      <c r="A671" s="21">
        <v>277</v>
      </c>
      <c r="B671" s="75" t="s">
        <v>1992</v>
      </c>
      <c r="C671" s="24" t="s">
        <v>1993</v>
      </c>
      <c r="D671" s="24" t="s">
        <v>23</v>
      </c>
      <c r="E671" s="24" t="s">
        <v>1933</v>
      </c>
      <c r="F671" s="25" t="s">
        <v>25</v>
      </c>
      <c r="G671" s="26">
        <v>4400</v>
      </c>
      <c r="H671" s="91" t="s">
        <v>26</v>
      </c>
      <c r="I671" s="25" t="s">
        <v>1994</v>
      </c>
      <c r="J671" s="25">
        <v>23729</v>
      </c>
      <c r="K671" s="25">
        <v>25464</v>
      </c>
      <c r="L671" s="28">
        <v>1735</v>
      </c>
      <c r="M671" s="29">
        <v>2948685</v>
      </c>
      <c r="N671" s="30">
        <v>0</v>
      </c>
      <c r="O671" s="30">
        <v>0</v>
      </c>
      <c r="P671" s="30">
        <v>0</v>
      </c>
      <c r="Q671" s="29">
        <v>0</v>
      </c>
      <c r="R671" s="29">
        <v>2948685</v>
      </c>
      <c r="S671" s="29">
        <v>3000</v>
      </c>
      <c r="T671" s="29">
        <f t="shared" si="40"/>
        <v>2951685</v>
      </c>
    </row>
    <row r="672" spans="1:20" ht="21" customHeight="1" x14ac:dyDescent="0.25">
      <c r="A672" s="21">
        <v>278</v>
      </c>
      <c r="B672" s="75" t="s">
        <v>1995</v>
      </c>
      <c r="C672" s="24" t="s">
        <v>1996</v>
      </c>
      <c r="D672" s="24" t="s">
        <v>23</v>
      </c>
      <c r="E672" s="24" t="s">
        <v>1922</v>
      </c>
      <c r="F672" s="25" t="s">
        <v>25</v>
      </c>
      <c r="G672" s="26">
        <v>4400</v>
      </c>
      <c r="H672" s="91" t="s">
        <v>26</v>
      </c>
      <c r="I672" s="25" t="s">
        <v>1997</v>
      </c>
      <c r="J672" s="25">
        <v>90891</v>
      </c>
      <c r="K672" s="25">
        <v>92522</v>
      </c>
      <c r="L672" s="28">
        <v>1631</v>
      </c>
      <c r="M672" s="29">
        <v>2771933</v>
      </c>
      <c r="N672" s="30">
        <v>0</v>
      </c>
      <c r="O672" s="30">
        <v>0</v>
      </c>
      <c r="P672" s="30">
        <v>0</v>
      </c>
      <c r="Q672" s="29">
        <v>0</v>
      </c>
      <c r="R672" s="29">
        <v>2771933</v>
      </c>
      <c r="S672" s="29">
        <v>3000</v>
      </c>
      <c r="T672" s="29">
        <f t="shared" si="40"/>
        <v>2774933</v>
      </c>
    </row>
    <row r="673" spans="1:20" ht="21" customHeight="1" x14ac:dyDescent="0.25">
      <c r="A673" s="21">
        <v>279</v>
      </c>
      <c r="B673" s="75" t="s">
        <v>1998</v>
      </c>
      <c r="C673" s="24" t="s">
        <v>1999</v>
      </c>
      <c r="D673" s="24" t="s">
        <v>23</v>
      </c>
      <c r="E673" s="24" t="s">
        <v>1285</v>
      </c>
      <c r="F673" s="25" t="s">
        <v>25</v>
      </c>
      <c r="G673" s="26">
        <v>3500</v>
      </c>
      <c r="H673" s="91" t="s">
        <v>26</v>
      </c>
      <c r="I673" s="25" t="s">
        <v>2000</v>
      </c>
      <c r="J673" s="25">
        <v>38902</v>
      </c>
      <c r="K673" s="25">
        <v>39719</v>
      </c>
      <c r="L673" s="28">
        <v>817</v>
      </c>
      <c r="M673" s="29">
        <v>1388516</v>
      </c>
      <c r="N673" s="30">
        <v>0</v>
      </c>
      <c r="O673" s="30">
        <v>0</v>
      </c>
      <c r="P673" s="30">
        <v>0</v>
      </c>
      <c r="Q673" s="29">
        <v>0</v>
      </c>
      <c r="R673" s="29">
        <v>1388516</v>
      </c>
      <c r="S673" s="29">
        <v>3000</v>
      </c>
      <c r="T673" s="29">
        <f t="shared" si="40"/>
        <v>1391516</v>
      </c>
    </row>
    <row r="674" spans="1:20" ht="21" customHeight="1" x14ac:dyDescent="0.25">
      <c r="A674" s="21">
        <v>280</v>
      </c>
      <c r="B674" s="75" t="s">
        <v>2001</v>
      </c>
      <c r="C674" s="24" t="s">
        <v>2002</v>
      </c>
      <c r="D674" s="24" t="s">
        <v>23</v>
      </c>
      <c r="E674" s="24" t="s">
        <v>1289</v>
      </c>
      <c r="F674" s="25" t="s">
        <v>25</v>
      </c>
      <c r="G674" s="26">
        <v>3500</v>
      </c>
      <c r="H674" s="91" t="s">
        <v>26</v>
      </c>
      <c r="I674" s="25" t="s">
        <v>2003</v>
      </c>
      <c r="J674" s="25">
        <v>82510</v>
      </c>
      <c r="K674" s="25">
        <v>83525</v>
      </c>
      <c r="L674" s="28">
        <v>1015</v>
      </c>
      <c r="M674" s="29">
        <v>1725023</v>
      </c>
      <c r="N674" s="30">
        <v>0</v>
      </c>
      <c r="O674" s="30">
        <v>0</v>
      </c>
      <c r="P674" s="30">
        <v>0</v>
      </c>
      <c r="Q674" s="29">
        <v>0</v>
      </c>
      <c r="R674" s="29">
        <v>1725023</v>
      </c>
      <c r="S674" s="29">
        <v>3000</v>
      </c>
      <c r="T674" s="29">
        <f t="shared" si="40"/>
        <v>1728023</v>
      </c>
    </row>
    <row r="675" spans="1:20" s="35" customFormat="1" ht="21" customHeight="1" x14ac:dyDescent="0.25">
      <c r="A675" s="21"/>
      <c r="B675" s="22"/>
      <c r="C675" s="23"/>
      <c r="D675" s="23"/>
      <c r="E675" s="23"/>
      <c r="F675" s="22"/>
      <c r="G675" s="22"/>
      <c r="H675" s="27"/>
      <c r="I675" s="25"/>
      <c r="J675" s="25"/>
      <c r="K675" s="25"/>
      <c r="L675" s="28"/>
      <c r="M675" s="29"/>
      <c r="N675" s="48"/>
      <c r="O675" s="48"/>
      <c r="P675" s="48"/>
      <c r="Q675" s="47"/>
      <c r="R675" s="47"/>
      <c r="S675" s="47"/>
      <c r="T675" s="47"/>
    </row>
    <row r="676" spans="1:20" ht="36.75" customHeight="1" x14ac:dyDescent="0.25">
      <c r="A676" s="44" t="s">
        <v>179</v>
      </c>
      <c r="B676" s="20"/>
      <c r="C676" s="20"/>
      <c r="D676" s="20"/>
      <c r="E676" s="20"/>
      <c r="F676" s="20"/>
      <c r="G676" s="32">
        <v>1205100</v>
      </c>
      <c r="H676" s="32">
        <v>0</v>
      </c>
      <c r="I676" s="32">
        <v>0</v>
      </c>
      <c r="J676" s="32"/>
      <c r="K676" s="32"/>
      <c r="L676" s="32">
        <v>263390</v>
      </c>
      <c r="M676" s="32">
        <v>447639204</v>
      </c>
      <c r="N676" s="32">
        <v>0</v>
      </c>
      <c r="O676" s="32">
        <v>0</v>
      </c>
      <c r="P676" s="32">
        <v>0</v>
      </c>
      <c r="Q676" s="156">
        <f>SUM(Q633:Q675)</f>
        <v>0</v>
      </c>
      <c r="R676" s="156">
        <f t="shared" ref="R676:T676" si="41">SUM(R633:R675)</f>
        <v>447639204</v>
      </c>
      <c r="S676" s="156">
        <f t="shared" si="41"/>
        <v>840000</v>
      </c>
      <c r="T676" s="156">
        <f t="shared" si="41"/>
        <v>448479204</v>
      </c>
    </row>
    <row r="677" spans="1:20" ht="21" customHeight="1" x14ac:dyDescent="0.25">
      <c r="A677" s="96"/>
      <c r="B677" s="93"/>
      <c r="C677" s="94"/>
      <c r="D677" s="94"/>
      <c r="E677" s="94"/>
      <c r="F677" s="93"/>
      <c r="G677" s="93"/>
      <c r="H677" s="95"/>
      <c r="L677" s="41"/>
    </row>
    <row r="678" spans="1:20" ht="21" customHeight="1" x14ac:dyDescent="0.25">
      <c r="A678" s="96"/>
      <c r="B678" s="93"/>
      <c r="C678" s="94"/>
      <c r="D678" s="94"/>
      <c r="E678" s="94"/>
      <c r="F678" s="93"/>
      <c r="G678" s="93"/>
      <c r="L678" s="41"/>
    </row>
    <row r="679" spans="1:20" s="93" customFormat="1" ht="42" customHeight="1" x14ac:dyDescent="0.25">
      <c r="A679" s="31" t="s">
        <v>4</v>
      </c>
      <c r="B679" s="31" t="s">
        <v>5</v>
      </c>
      <c r="C679" s="31" t="s">
        <v>6</v>
      </c>
      <c r="D679" s="22"/>
      <c r="E679" s="31" t="s">
        <v>7</v>
      </c>
      <c r="F679" s="31" t="s">
        <v>8</v>
      </c>
      <c r="G679" s="31" t="s">
        <v>9</v>
      </c>
      <c r="H679" s="31" t="s">
        <v>10</v>
      </c>
      <c r="I679" s="31" t="s">
        <v>11</v>
      </c>
      <c r="J679" s="31" t="s">
        <v>12</v>
      </c>
      <c r="K679" s="31" t="s">
        <v>13</v>
      </c>
      <c r="L679" s="31" t="s">
        <v>14</v>
      </c>
      <c r="M679" s="141" t="s">
        <v>15</v>
      </c>
      <c r="N679" s="142" t="s">
        <v>16</v>
      </c>
      <c r="O679" s="142" t="s">
        <v>17</v>
      </c>
      <c r="P679" s="142" t="s">
        <v>18</v>
      </c>
      <c r="Q679" s="141" t="s">
        <v>19</v>
      </c>
      <c r="R679" s="141" t="s">
        <v>20</v>
      </c>
      <c r="S679" s="141" t="s">
        <v>3655</v>
      </c>
      <c r="T679" s="141" t="s">
        <v>3656</v>
      </c>
    </row>
    <row r="680" spans="1:20" ht="21" customHeight="1" x14ac:dyDescent="0.25">
      <c r="A680" s="21"/>
      <c r="B680" s="22"/>
      <c r="C680" s="23"/>
      <c r="D680" s="23"/>
      <c r="E680" s="23"/>
      <c r="F680" s="22"/>
      <c r="G680" s="22"/>
      <c r="H680" s="27"/>
      <c r="I680" s="25"/>
      <c r="J680" s="25"/>
      <c r="K680" s="25"/>
      <c r="L680" s="28"/>
      <c r="M680" s="29"/>
      <c r="N680" s="30"/>
      <c r="O680" s="30"/>
      <c r="P680" s="30"/>
      <c r="Q680" s="29"/>
      <c r="R680" s="29"/>
      <c r="S680" s="29"/>
      <c r="T680" s="29"/>
    </row>
    <row r="681" spans="1:20" ht="21" customHeight="1" x14ac:dyDescent="0.25">
      <c r="A681" s="21"/>
      <c r="B681" s="22"/>
      <c r="C681" s="23"/>
      <c r="D681" s="23"/>
      <c r="E681" s="45" t="s">
        <v>181</v>
      </c>
      <c r="F681" s="22"/>
      <c r="G681" s="32">
        <v>1205100</v>
      </c>
      <c r="H681" s="32">
        <v>0</v>
      </c>
      <c r="I681" s="32">
        <v>0</v>
      </c>
      <c r="J681" s="32"/>
      <c r="K681" s="32"/>
      <c r="L681" s="32">
        <v>263390</v>
      </c>
      <c r="M681" s="33">
        <v>447639204</v>
      </c>
      <c r="N681" s="34">
        <v>0</v>
      </c>
      <c r="O681" s="34">
        <v>0</v>
      </c>
      <c r="P681" s="34">
        <v>0</v>
      </c>
      <c r="Q681" s="33">
        <f>Q676</f>
        <v>0</v>
      </c>
      <c r="R681" s="33">
        <f>R676</f>
        <v>447639204</v>
      </c>
      <c r="S681" s="33">
        <f t="shared" ref="S681:T681" si="42">S676</f>
        <v>840000</v>
      </c>
      <c r="T681" s="33">
        <f t="shared" si="42"/>
        <v>448479204</v>
      </c>
    </row>
    <row r="682" spans="1:20" ht="21" customHeight="1" x14ac:dyDescent="0.25">
      <c r="A682" s="21">
        <v>281</v>
      </c>
      <c r="B682" s="75" t="s">
        <v>2004</v>
      </c>
      <c r="C682" s="24" t="s">
        <v>2005</v>
      </c>
      <c r="D682" s="24" t="s">
        <v>23</v>
      </c>
      <c r="E682" s="24" t="s">
        <v>1285</v>
      </c>
      <c r="F682" s="25" t="s">
        <v>25</v>
      </c>
      <c r="G682" s="26">
        <v>3500</v>
      </c>
      <c r="H682" s="91" t="s">
        <v>26</v>
      </c>
      <c r="I682" s="25" t="s">
        <v>2006</v>
      </c>
      <c r="J682" s="25">
        <v>84904</v>
      </c>
      <c r="K682" s="25">
        <v>86293</v>
      </c>
      <c r="L682" s="28">
        <v>1389</v>
      </c>
      <c r="M682" s="29">
        <v>2360647</v>
      </c>
      <c r="N682" s="30">
        <v>0</v>
      </c>
      <c r="O682" s="30">
        <v>0</v>
      </c>
      <c r="P682" s="30">
        <v>0</v>
      </c>
      <c r="Q682" s="29">
        <v>0</v>
      </c>
      <c r="R682" s="29">
        <v>2360647</v>
      </c>
      <c r="S682" s="29">
        <v>3000</v>
      </c>
      <c r="T682" s="29">
        <f t="shared" ref="T682:T721" si="43">R682+S682</f>
        <v>2363647</v>
      </c>
    </row>
    <row r="683" spans="1:20" ht="21" customHeight="1" x14ac:dyDescent="0.25">
      <c r="A683" s="21">
        <v>282</v>
      </c>
      <c r="B683" s="75" t="s">
        <v>2007</v>
      </c>
      <c r="C683" s="24" t="s">
        <v>2008</v>
      </c>
      <c r="D683" s="24" t="s">
        <v>23</v>
      </c>
      <c r="E683" s="24" t="s">
        <v>1289</v>
      </c>
      <c r="F683" s="25" t="s">
        <v>25</v>
      </c>
      <c r="G683" s="26">
        <v>3500</v>
      </c>
      <c r="H683" s="91" t="s">
        <v>26</v>
      </c>
      <c r="I683" s="25" t="s">
        <v>2009</v>
      </c>
      <c r="J683" s="25">
        <v>78240</v>
      </c>
      <c r="K683" s="25">
        <v>79110</v>
      </c>
      <c r="L683" s="28">
        <v>870</v>
      </c>
      <c r="M683" s="29">
        <v>1478591</v>
      </c>
      <c r="N683" s="30">
        <v>0</v>
      </c>
      <c r="O683" s="30">
        <v>0</v>
      </c>
      <c r="P683" s="30">
        <v>0</v>
      </c>
      <c r="Q683" s="29">
        <v>0</v>
      </c>
      <c r="R683" s="29">
        <v>1478591</v>
      </c>
      <c r="S683" s="29">
        <v>3000</v>
      </c>
      <c r="T683" s="29">
        <f t="shared" si="43"/>
        <v>1481591</v>
      </c>
    </row>
    <row r="684" spans="1:20" ht="21" customHeight="1" x14ac:dyDescent="0.25">
      <c r="A684" s="21">
        <v>283</v>
      </c>
      <c r="B684" s="75" t="s">
        <v>2010</v>
      </c>
      <c r="C684" s="24" t="s">
        <v>2011</v>
      </c>
      <c r="D684" s="24" t="s">
        <v>23</v>
      </c>
      <c r="E684" s="24" t="s">
        <v>1053</v>
      </c>
      <c r="F684" s="25" t="s">
        <v>25</v>
      </c>
      <c r="G684" s="26">
        <v>4400</v>
      </c>
      <c r="H684" s="91" t="s">
        <v>26</v>
      </c>
      <c r="I684" s="25" t="s">
        <v>2012</v>
      </c>
      <c r="J684" s="25">
        <v>87763</v>
      </c>
      <c r="K684" s="25">
        <v>88935</v>
      </c>
      <c r="L684" s="28">
        <v>1172</v>
      </c>
      <c r="M684" s="29">
        <v>1991849</v>
      </c>
      <c r="N684" s="30">
        <v>0</v>
      </c>
      <c r="O684" s="30">
        <v>0</v>
      </c>
      <c r="P684" s="30">
        <v>0</v>
      </c>
      <c r="Q684" s="29">
        <v>0</v>
      </c>
      <c r="R684" s="29">
        <v>1991849</v>
      </c>
      <c r="S684" s="29">
        <v>3000</v>
      </c>
      <c r="T684" s="29">
        <f t="shared" si="43"/>
        <v>1994849</v>
      </c>
    </row>
    <row r="685" spans="1:20" ht="21" customHeight="1" x14ac:dyDescent="0.25">
      <c r="A685" s="21">
        <v>284</v>
      </c>
      <c r="B685" s="75" t="s">
        <v>2013</v>
      </c>
      <c r="C685" s="24" t="s">
        <v>2014</v>
      </c>
      <c r="D685" s="24" t="s">
        <v>23</v>
      </c>
      <c r="E685" s="24" t="s">
        <v>1289</v>
      </c>
      <c r="F685" s="25" t="s">
        <v>25</v>
      </c>
      <c r="G685" s="26">
        <v>3500</v>
      </c>
      <c r="H685" s="91" t="s">
        <v>26</v>
      </c>
      <c r="I685" s="25" t="s">
        <v>2015</v>
      </c>
      <c r="J685" s="25">
        <v>18441</v>
      </c>
      <c r="K685" s="25">
        <v>19482</v>
      </c>
      <c r="L685" s="28">
        <v>1041</v>
      </c>
      <c r="M685" s="29">
        <v>1769211</v>
      </c>
      <c r="N685" s="30">
        <v>0</v>
      </c>
      <c r="O685" s="30">
        <v>0</v>
      </c>
      <c r="P685" s="30">
        <v>0</v>
      </c>
      <c r="Q685" s="29">
        <v>0</v>
      </c>
      <c r="R685" s="29">
        <v>1769211</v>
      </c>
      <c r="S685" s="29">
        <v>3000</v>
      </c>
      <c r="T685" s="29">
        <f t="shared" si="43"/>
        <v>1772211</v>
      </c>
    </row>
    <row r="686" spans="1:20" ht="21" customHeight="1" x14ac:dyDescent="0.25">
      <c r="A686" s="21">
        <v>285</v>
      </c>
      <c r="B686" s="75" t="s">
        <v>2016</v>
      </c>
      <c r="C686" s="24" t="s">
        <v>1921</v>
      </c>
      <c r="D686" s="24" t="s">
        <v>23</v>
      </c>
      <c r="E686" s="24" t="s">
        <v>1922</v>
      </c>
      <c r="F686" s="25" t="s">
        <v>25</v>
      </c>
      <c r="G686" s="26">
        <v>4400</v>
      </c>
      <c r="H686" s="91" t="s">
        <v>26</v>
      </c>
      <c r="I686" s="25" t="s">
        <v>2017</v>
      </c>
      <c r="J686" s="25">
        <v>98308</v>
      </c>
      <c r="K686" s="25">
        <v>746</v>
      </c>
      <c r="L686" s="28">
        <v>2438</v>
      </c>
      <c r="M686" s="29">
        <v>4143454</v>
      </c>
      <c r="N686" s="30">
        <v>0</v>
      </c>
      <c r="O686" s="30">
        <v>0</v>
      </c>
      <c r="P686" s="30">
        <v>0</v>
      </c>
      <c r="Q686" s="29">
        <v>0</v>
      </c>
      <c r="R686" s="29">
        <v>4143454</v>
      </c>
      <c r="S686" s="29">
        <v>3000</v>
      </c>
      <c r="T686" s="29">
        <f t="shared" si="43"/>
        <v>4146454</v>
      </c>
    </row>
    <row r="687" spans="1:20" ht="21" customHeight="1" x14ac:dyDescent="0.25">
      <c r="A687" s="21">
        <v>286</v>
      </c>
      <c r="B687" s="75" t="s">
        <v>2018</v>
      </c>
      <c r="C687" s="24" t="s">
        <v>2019</v>
      </c>
      <c r="D687" s="24" t="s">
        <v>23</v>
      </c>
      <c r="E687" s="24" t="s">
        <v>2020</v>
      </c>
      <c r="F687" s="25" t="s">
        <v>25</v>
      </c>
      <c r="G687" s="26">
        <v>4400</v>
      </c>
      <c r="H687" s="91" t="s">
        <v>26</v>
      </c>
      <c r="I687" s="25" t="s">
        <v>2021</v>
      </c>
      <c r="J687" s="25">
        <v>77780</v>
      </c>
      <c r="K687" s="25">
        <v>79215</v>
      </c>
      <c r="L687" s="28">
        <v>1435</v>
      </c>
      <c r="M687" s="29">
        <v>2438826</v>
      </c>
      <c r="N687" s="30">
        <v>0</v>
      </c>
      <c r="O687" s="30">
        <v>0</v>
      </c>
      <c r="P687" s="30">
        <v>0</v>
      </c>
      <c r="Q687" s="29">
        <v>0</v>
      </c>
      <c r="R687" s="29">
        <v>2438826</v>
      </c>
      <c r="S687" s="29">
        <v>3000</v>
      </c>
      <c r="T687" s="29">
        <f t="shared" si="43"/>
        <v>2441826</v>
      </c>
    </row>
    <row r="688" spans="1:20" ht="21" customHeight="1" x14ac:dyDescent="0.25">
      <c r="A688" s="21">
        <v>287</v>
      </c>
      <c r="B688" s="75" t="s">
        <v>2022</v>
      </c>
      <c r="C688" s="24" t="s">
        <v>2023</v>
      </c>
      <c r="D688" s="24" t="s">
        <v>23</v>
      </c>
      <c r="E688" s="24" t="s">
        <v>1524</v>
      </c>
      <c r="F688" s="25" t="s">
        <v>25</v>
      </c>
      <c r="G688" s="26">
        <v>3500</v>
      </c>
      <c r="H688" s="91" t="s">
        <v>26</v>
      </c>
      <c r="I688" s="25" t="s">
        <v>2024</v>
      </c>
      <c r="J688" s="25">
        <v>57045</v>
      </c>
      <c r="K688" s="25">
        <v>57626</v>
      </c>
      <c r="L688" s="28">
        <v>581</v>
      </c>
      <c r="M688" s="29">
        <v>987427</v>
      </c>
      <c r="N688" s="30">
        <v>0</v>
      </c>
      <c r="O688" s="30">
        <v>0</v>
      </c>
      <c r="P688" s="30">
        <v>0</v>
      </c>
      <c r="Q688" s="29">
        <v>0</v>
      </c>
      <c r="R688" s="29">
        <v>987427</v>
      </c>
      <c r="S688" s="29">
        <v>3000</v>
      </c>
      <c r="T688" s="29">
        <f t="shared" si="43"/>
        <v>990427</v>
      </c>
    </row>
    <row r="689" spans="1:20" ht="21" customHeight="1" x14ac:dyDescent="0.25">
      <c r="A689" s="21">
        <v>288</v>
      </c>
      <c r="B689" s="75" t="s">
        <v>2025</v>
      </c>
      <c r="C689" s="24" t="s">
        <v>2026</v>
      </c>
      <c r="D689" s="24" t="s">
        <v>23</v>
      </c>
      <c r="E689" s="24" t="s">
        <v>2027</v>
      </c>
      <c r="F689" s="25" t="s">
        <v>25</v>
      </c>
      <c r="G689" s="26">
        <v>3500</v>
      </c>
      <c r="H689" s="91" t="s">
        <v>26</v>
      </c>
      <c r="I689" s="25" t="s">
        <v>2028</v>
      </c>
      <c r="J689" s="25">
        <v>63191</v>
      </c>
      <c r="K689" s="25">
        <v>63854</v>
      </c>
      <c r="L689" s="28">
        <v>663</v>
      </c>
      <c r="M689" s="29">
        <v>1126788</v>
      </c>
      <c r="N689" s="30">
        <v>0</v>
      </c>
      <c r="O689" s="30">
        <v>0</v>
      </c>
      <c r="P689" s="30">
        <v>0</v>
      </c>
      <c r="Q689" s="29">
        <v>0</v>
      </c>
      <c r="R689" s="29">
        <v>1126788</v>
      </c>
      <c r="S689" s="29">
        <v>3000</v>
      </c>
      <c r="T689" s="29">
        <f t="shared" si="43"/>
        <v>1129788</v>
      </c>
    </row>
    <row r="690" spans="1:20" ht="21" customHeight="1" x14ac:dyDescent="0.25">
      <c r="A690" s="21">
        <v>289</v>
      </c>
      <c r="B690" s="75" t="s">
        <v>2029</v>
      </c>
      <c r="C690" s="24" t="s">
        <v>2030</v>
      </c>
      <c r="D690" s="24" t="s">
        <v>23</v>
      </c>
      <c r="E690" s="24" t="s">
        <v>1470</v>
      </c>
      <c r="F690" s="25" t="s">
        <v>25</v>
      </c>
      <c r="G690" s="26">
        <v>4400</v>
      </c>
      <c r="H690" s="91" t="s">
        <v>26</v>
      </c>
      <c r="I690" s="25" t="s">
        <v>2031</v>
      </c>
      <c r="J690" s="25">
        <v>22565</v>
      </c>
      <c r="K690" s="25">
        <v>24123</v>
      </c>
      <c r="L690" s="28">
        <v>1558</v>
      </c>
      <c r="M690" s="29">
        <v>2647868</v>
      </c>
      <c r="N690" s="30">
        <v>0</v>
      </c>
      <c r="O690" s="30">
        <v>0</v>
      </c>
      <c r="P690" s="30">
        <v>0</v>
      </c>
      <c r="Q690" s="29">
        <v>0</v>
      </c>
      <c r="R690" s="29">
        <v>2647868</v>
      </c>
      <c r="S690" s="29">
        <v>3000</v>
      </c>
      <c r="T690" s="29">
        <f t="shared" si="43"/>
        <v>2650868</v>
      </c>
    </row>
    <row r="691" spans="1:20" ht="21" customHeight="1" x14ac:dyDescent="0.25">
      <c r="A691" s="21">
        <v>290</v>
      </c>
      <c r="B691" s="75" t="s">
        <v>2032</v>
      </c>
      <c r="C691" s="24" t="s">
        <v>2033</v>
      </c>
      <c r="D691" s="24" t="s">
        <v>23</v>
      </c>
      <c r="E691" s="24" t="s">
        <v>2034</v>
      </c>
      <c r="F691" s="25" t="s">
        <v>25</v>
      </c>
      <c r="G691" s="26">
        <v>5500</v>
      </c>
      <c r="H691" s="91" t="s">
        <v>26</v>
      </c>
      <c r="I691" s="25" t="s">
        <v>2035</v>
      </c>
      <c r="J691" s="25">
        <v>19148</v>
      </c>
      <c r="K691" s="25">
        <v>20391</v>
      </c>
      <c r="L691" s="28">
        <v>1243</v>
      </c>
      <c r="M691" s="29">
        <v>2112516</v>
      </c>
      <c r="N691" s="30">
        <v>0</v>
      </c>
      <c r="O691" s="30">
        <v>0</v>
      </c>
      <c r="P691" s="30">
        <v>0</v>
      </c>
      <c r="Q691" s="29">
        <v>0</v>
      </c>
      <c r="R691" s="29">
        <v>2112516</v>
      </c>
      <c r="S691" s="29">
        <v>3000</v>
      </c>
      <c r="T691" s="29">
        <f t="shared" si="43"/>
        <v>2115516</v>
      </c>
    </row>
    <row r="692" spans="1:20" ht="21" customHeight="1" x14ac:dyDescent="0.25">
      <c r="A692" s="21">
        <v>291</v>
      </c>
      <c r="B692" s="75" t="s">
        <v>2036</v>
      </c>
      <c r="C692" s="24" t="s">
        <v>2037</v>
      </c>
      <c r="D692" s="24" t="s">
        <v>23</v>
      </c>
      <c r="E692" s="24" t="s">
        <v>2038</v>
      </c>
      <c r="F692" s="25" t="s">
        <v>25</v>
      </c>
      <c r="G692" s="26">
        <v>5500</v>
      </c>
      <c r="H692" s="91" t="s">
        <v>26</v>
      </c>
      <c r="I692" s="25" t="s">
        <v>2039</v>
      </c>
      <c r="J692" s="25">
        <v>19443</v>
      </c>
      <c r="K692" s="25">
        <v>21691</v>
      </c>
      <c r="L692" s="28">
        <v>2248</v>
      </c>
      <c r="M692" s="29">
        <v>3820543</v>
      </c>
      <c r="N692" s="30">
        <v>0</v>
      </c>
      <c r="O692" s="30">
        <v>0</v>
      </c>
      <c r="P692" s="30">
        <v>0</v>
      </c>
      <c r="Q692" s="29">
        <v>0</v>
      </c>
      <c r="R692" s="29">
        <v>3820543</v>
      </c>
      <c r="S692" s="29">
        <v>3000</v>
      </c>
      <c r="T692" s="29">
        <f t="shared" si="43"/>
        <v>3823543</v>
      </c>
    </row>
    <row r="693" spans="1:20" ht="21" customHeight="1" x14ac:dyDescent="0.25">
      <c r="A693" s="21">
        <v>292</v>
      </c>
      <c r="B693" s="75" t="s">
        <v>2040</v>
      </c>
      <c r="C693" s="24" t="s">
        <v>2041</v>
      </c>
      <c r="D693" s="24" t="s">
        <v>23</v>
      </c>
      <c r="E693" s="24" t="s">
        <v>2042</v>
      </c>
      <c r="F693" s="25" t="s">
        <v>25</v>
      </c>
      <c r="G693" s="26">
        <v>5500</v>
      </c>
      <c r="H693" s="91" t="s">
        <v>26</v>
      </c>
      <c r="I693" s="25" t="s">
        <v>2043</v>
      </c>
      <c r="J693" s="25">
        <v>22615</v>
      </c>
      <c r="K693" s="25">
        <v>24566</v>
      </c>
      <c r="L693" s="28">
        <v>1951</v>
      </c>
      <c r="M693" s="29">
        <v>3315783</v>
      </c>
      <c r="N693" s="30">
        <v>0</v>
      </c>
      <c r="O693" s="30">
        <v>0</v>
      </c>
      <c r="P693" s="30">
        <v>0</v>
      </c>
      <c r="Q693" s="29">
        <v>0</v>
      </c>
      <c r="R693" s="29">
        <v>3315783</v>
      </c>
      <c r="S693" s="29">
        <v>3000</v>
      </c>
      <c r="T693" s="29">
        <f t="shared" si="43"/>
        <v>3318783</v>
      </c>
    </row>
    <row r="694" spans="1:20" ht="21" customHeight="1" x14ac:dyDescent="0.25">
      <c r="A694" s="21">
        <v>293</v>
      </c>
      <c r="B694" s="75" t="s">
        <v>2044</v>
      </c>
      <c r="C694" s="24" t="s">
        <v>2045</v>
      </c>
      <c r="D694" s="24" t="s">
        <v>23</v>
      </c>
      <c r="E694" s="24" t="s">
        <v>2046</v>
      </c>
      <c r="F694" s="25" t="s">
        <v>25</v>
      </c>
      <c r="G694" s="26">
        <v>5500</v>
      </c>
      <c r="H694" s="91" t="s">
        <v>26</v>
      </c>
      <c r="I694" s="25" t="s">
        <v>2047</v>
      </c>
      <c r="J694" s="25">
        <v>53041</v>
      </c>
      <c r="K694" s="25">
        <v>54980</v>
      </c>
      <c r="L694" s="28">
        <v>1939</v>
      </c>
      <c r="M694" s="29">
        <v>3295389</v>
      </c>
      <c r="N694" s="30">
        <v>0</v>
      </c>
      <c r="O694" s="30">
        <v>0</v>
      </c>
      <c r="P694" s="30">
        <v>0</v>
      </c>
      <c r="Q694" s="29">
        <v>0</v>
      </c>
      <c r="R694" s="29">
        <v>3295389</v>
      </c>
      <c r="S694" s="29">
        <v>3000</v>
      </c>
      <c r="T694" s="29">
        <f t="shared" si="43"/>
        <v>3298389</v>
      </c>
    </row>
    <row r="695" spans="1:20" ht="21" customHeight="1" x14ac:dyDescent="0.25">
      <c r="A695" s="21">
        <v>294</v>
      </c>
      <c r="B695" s="75" t="s">
        <v>2048</v>
      </c>
      <c r="C695" s="24" t="s">
        <v>2049</v>
      </c>
      <c r="D695" s="24" t="s">
        <v>23</v>
      </c>
      <c r="E695" s="24" t="s">
        <v>1266</v>
      </c>
      <c r="F695" s="25" t="s">
        <v>25</v>
      </c>
      <c r="G695" s="26">
        <v>4400</v>
      </c>
      <c r="H695" s="91" t="s">
        <v>26</v>
      </c>
      <c r="I695" s="25" t="s">
        <v>2050</v>
      </c>
      <c r="J695" s="25">
        <v>84150</v>
      </c>
      <c r="K695" s="25">
        <v>85631</v>
      </c>
      <c r="L695" s="28">
        <v>1481</v>
      </c>
      <c r="M695" s="29">
        <v>2517004</v>
      </c>
      <c r="N695" s="30">
        <v>0</v>
      </c>
      <c r="O695" s="30">
        <v>0</v>
      </c>
      <c r="P695" s="30">
        <v>0</v>
      </c>
      <c r="Q695" s="29">
        <v>0</v>
      </c>
      <c r="R695" s="29">
        <v>2517004</v>
      </c>
      <c r="S695" s="29">
        <v>3000</v>
      </c>
      <c r="T695" s="29">
        <f t="shared" si="43"/>
        <v>2520004</v>
      </c>
    </row>
    <row r="696" spans="1:20" ht="21" customHeight="1" x14ac:dyDescent="0.25">
      <c r="A696" s="21">
        <v>295</v>
      </c>
      <c r="B696" s="75" t="s">
        <v>2051</v>
      </c>
      <c r="C696" s="24" t="s">
        <v>2052</v>
      </c>
      <c r="D696" s="24" t="s">
        <v>23</v>
      </c>
      <c r="E696" s="24" t="s">
        <v>1285</v>
      </c>
      <c r="F696" s="25" t="s">
        <v>25</v>
      </c>
      <c r="G696" s="26">
        <v>4400</v>
      </c>
      <c r="H696" s="91" t="s">
        <v>26</v>
      </c>
      <c r="I696" s="25" t="s">
        <v>2053</v>
      </c>
      <c r="J696" s="25">
        <v>75504</v>
      </c>
      <c r="K696" s="25">
        <v>76938</v>
      </c>
      <c r="L696" s="28">
        <v>1434</v>
      </c>
      <c r="M696" s="29">
        <v>2437126</v>
      </c>
      <c r="N696" s="30">
        <v>0</v>
      </c>
      <c r="O696" s="30">
        <v>0</v>
      </c>
      <c r="P696" s="30">
        <v>0</v>
      </c>
      <c r="Q696" s="29">
        <v>0</v>
      </c>
      <c r="R696" s="29">
        <v>2437126</v>
      </c>
      <c r="S696" s="29">
        <v>3000</v>
      </c>
      <c r="T696" s="29">
        <f t="shared" si="43"/>
        <v>2440126</v>
      </c>
    </row>
    <row r="697" spans="1:20" ht="21" customHeight="1" x14ac:dyDescent="0.25">
      <c r="A697" s="21">
        <v>296</v>
      </c>
      <c r="B697" s="75" t="s">
        <v>2054</v>
      </c>
      <c r="C697" s="24" t="s">
        <v>2055</v>
      </c>
      <c r="D697" s="24" t="s">
        <v>23</v>
      </c>
      <c r="E697" s="24" t="s">
        <v>1504</v>
      </c>
      <c r="F697" s="25" t="s">
        <v>25</v>
      </c>
      <c r="G697" s="26">
        <v>4400</v>
      </c>
      <c r="H697" s="91" t="s">
        <v>26</v>
      </c>
      <c r="I697" s="25" t="s">
        <v>2056</v>
      </c>
      <c r="J697" s="25">
        <v>58347</v>
      </c>
      <c r="K697" s="25">
        <v>60125</v>
      </c>
      <c r="L697" s="28">
        <v>1778</v>
      </c>
      <c r="M697" s="29">
        <v>3021764</v>
      </c>
      <c r="N697" s="30">
        <v>0</v>
      </c>
      <c r="O697" s="30">
        <v>0</v>
      </c>
      <c r="P697" s="30">
        <v>0</v>
      </c>
      <c r="Q697" s="29">
        <v>0</v>
      </c>
      <c r="R697" s="29">
        <v>3021764</v>
      </c>
      <c r="S697" s="29">
        <v>3000</v>
      </c>
      <c r="T697" s="29">
        <f t="shared" si="43"/>
        <v>3024764</v>
      </c>
    </row>
    <row r="698" spans="1:20" ht="21" customHeight="1" x14ac:dyDescent="0.25">
      <c r="A698" s="21">
        <v>297</v>
      </c>
      <c r="B698" s="75" t="s">
        <v>2057</v>
      </c>
      <c r="C698" s="24" t="s">
        <v>2058</v>
      </c>
      <c r="D698" s="24" t="s">
        <v>23</v>
      </c>
      <c r="E698" s="24" t="s">
        <v>2059</v>
      </c>
      <c r="F698" s="25" t="s">
        <v>25</v>
      </c>
      <c r="G698" s="26">
        <v>5500</v>
      </c>
      <c r="H698" s="91" t="s">
        <v>26</v>
      </c>
      <c r="I698" s="25" t="s">
        <v>2060</v>
      </c>
      <c r="J698" s="25">
        <v>90280</v>
      </c>
      <c r="K698" s="25">
        <v>91544</v>
      </c>
      <c r="L698" s="28">
        <v>1264</v>
      </c>
      <c r="M698" s="29">
        <v>2148206</v>
      </c>
      <c r="N698" s="30">
        <v>0</v>
      </c>
      <c r="O698" s="30">
        <v>0</v>
      </c>
      <c r="P698" s="30">
        <v>0</v>
      </c>
      <c r="Q698" s="29">
        <v>0</v>
      </c>
      <c r="R698" s="29">
        <v>2148206</v>
      </c>
      <c r="S698" s="29">
        <v>3000</v>
      </c>
      <c r="T698" s="29">
        <f t="shared" si="43"/>
        <v>2151206</v>
      </c>
    </row>
    <row r="699" spans="1:20" ht="21" customHeight="1" x14ac:dyDescent="0.25">
      <c r="A699" s="21">
        <v>298</v>
      </c>
      <c r="B699" s="75" t="s">
        <v>2061</v>
      </c>
      <c r="C699" s="24" t="s">
        <v>2062</v>
      </c>
      <c r="D699" s="24" t="s">
        <v>23</v>
      </c>
      <c r="E699" s="24" t="s">
        <v>1524</v>
      </c>
      <c r="F699" s="25" t="s">
        <v>25</v>
      </c>
      <c r="G699" s="26">
        <v>4400</v>
      </c>
      <c r="H699" s="91" t="s">
        <v>26</v>
      </c>
      <c r="I699" s="25" t="s">
        <v>2063</v>
      </c>
      <c r="J699" s="25">
        <v>34281</v>
      </c>
      <c r="K699" s="25">
        <v>35789</v>
      </c>
      <c r="L699" s="28">
        <v>1508</v>
      </c>
      <c r="M699" s="29">
        <v>2562891</v>
      </c>
      <c r="N699" s="30">
        <v>0</v>
      </c>
      <c r="O699" s="30">
        <v>0</v>
      </c>
      <c r="P699" s="30">
        <v>0</v>
      </c>
      <c r="Q699" s="29">
        <v>0</v>
      </c>
      <c r="R699" s="29">
        <v>2562891</v>
      </c>
      <c r="S699" s="29">
        <v>3000</v>
      </c>
      <c r="T699" s="29">
        <f t="shared" si="43"/>
        <v>2565891</v>
      </c>
    </row>
    <row r="700" spans="1:20" ht="21" customHeight="1" x14ac:dyDescent="0.25">
      <c r="A700" s="21">
        <v>299</v>
      </c>
      <c r="B700" s="75" t="s">
        <v>2064</v>
      </c>
      <c r="C700" s="24" t="s">
        <v>2065</v>
      </c>
      <c r="D700" s="24" t="s">
        <v>23</v>
      </c>
      <c r="E700" s="24" t="s">
        <v>1470</v>
      </c>
      <c r="F700" s="25" t="s">
        <v>25</v>
      </c>
      <c r="G700" s="26">
        <v>4400</v>
      </c>
      <c r="H700" s="91" t="s">
        <v>26</v>
      </c>
      <c r="I700" s="25" t="s">
        <v>2066</v>
      </c>
      <c r="J700" s="25">
        <v>30575</v>
      </c>
      <c r="K700" s="25">
        <v>30773</v>
      </c>
      <c r="L700" s="28">
        <v>198</v>
      </c>
      <c r="M700" s="29">
        <v>336507</v>
      </c>
      <c r="N700" s="30">
        <v>0</v>
      </c>
      <c r="O700" s="30">
        <v>0</v>
      </c>
      <c r="P700" s="30">
        <v>0</v>
      </c>
      <c r="Q700" s="29">
        <v>0</v>
      </c>
      <c r="R700" s="29">
        <v>336507</v>
      </c>
      <c r="S700" s="29">
        <v>3000</v>
      </c>
      <c r="T700" s="29">
        <f t="shared" si="43"/>
        <v>339507</v>
      </c>
    </row>
    <row r="701" spans="1:20" ht="21" customHeight="1" x14ac:dyDescent="0.25">
      <c r="A701" s="21">
        <v>300</v>
      </c>
      <c r="B701" s="75" t="s">
        <v>2067</v>
      </c>
      <c r="C701" s="24" t="s">
        <v>2068</v>
      </c>
      <c r="D701" s="24" t="s">
        <v>23</v>
      </c>
      <c r="E701" s="24" t="s">
        <v>2069</v>
      </c>
      <c r="F701" s="25" t="s">
        <v>25</v>
      </c>
      <c r="G701" s="26">
        <v>4400</v>
      </c>
      <c r="H701" s="91" t="s">
        <v>26</v>
      </c>
      <c r="I701" s="25" t="s">
        <v>2070</v>
      </c>
      <c r="J701" s="25">
        <v>77921</v>
      </c>
      <c r="K701" s="25">
        <v>78899</v>
      </c>
      <c r="L701" s="28">
        <v>978</v>
      </c>
      <c r="M701" s="29">
        <v>1662140</v>
      </c>
      <c r="N701" s="30">
        <v>0</v>
      </c>
      <c r="O701" s="30">
        <v>0</v>
      </c>
      <c r="P701" s="30">
        <v>0</v>
      </c>
      <c r="Q701" s="29">
        <v>0</v>
      </c>
      <c r="R701" s="29">
        <v>1662140</v>
      </c>
      <c r="S701" s="29">
        <v>3000</v>
      </c>
      <c r="T701" s="29">
        <f t="shared" si="43"/>
        <v>1665140</v>
      </c>
    </row>
    <row r="702" spans="1:20" ht="21" customHeight="1" x14ac:dyDescent="0.25">
      <c r="A702" s="21">
        <v>301</v>
      </c>
      <c r="B702" s="75" t="s">
        <v>2071</v>
      </c>
      <c r="C702" s="24" t="s">
        <v>2072</v>
      </c>
      <c r="D702" s="24" t="s">
        <v>23</v>
      </c>
      <c r="E702" s="24" t="s">
        <v>2073</v>
      </c>
      <c r="F702" s="25" t="s">
        <v>25</v>
      </c>
      <c r="G702" s="26">
        <v>5500</v>
      </c>
      <c r="H702" s="91" t="s">
        <v>26</v>
      </c>
      <c r="I702" s="25" t="s">
        <v>2074</v>
      </c>
      <c r="J702" s="25">
        <v>14783</v>
      </c>
      <c r="K702" s="25">
        <v>16182</v>
      </c>
      <c r="L702" s="28">
        <v>1399</v>
      </c>
      <c r="M702" s="29">
        <v>2377642</v>
      </c>
      <c r="N702" s="30">
        <v>0</v>
      </c>
      <c r="O702" s="30">
        <v>0</v>
      </c>
      <c r="P702" s="30">
        <v>0</v>
      </c>
      <c r="Q702" s="29">
        <v>0</v>
      </c>
      <c r="R702" s="29">
        <v>2377642</v>
      </c>
      <c r="S702" s="29">
        <v>3000</v>
      </c>
      <c r="T702" s="29">
        <f t="shared" si="43"/>
        <v>2380642</v>
      </c>
    </row>
    <row r="703" spans="1:20" ht="21" customHeight="1" x14ac:dyDescent="0.25">
      <c r="A703" s="21">
        <v>302</v>
      </c>
      <c r="B703" s="75" t="s">
        <v>2075</v>
      </c>
      <c r="C703" s="24" t="s">
        <v>2076</v>
      </c>
      <c r="D703" s="24" t="s">
        <v>23</v>
      </c>
      <c r="E703" s="24" t="s">
        <v>2069</v>
      </c>
      <c r="F703" s="25" t="s">
        <v>25</v>
      </c>
      <c r="G703" s="26">
        <v>4400</v>
      </c>
      <c r="H703" s="91" t="s">
        <v>26</v>
      </c>
      <c r="I703" s="25" t="s">
        <v>2077</v>
      </c>
      <c r="J703" s="25">
        <v>76335</v>
      </c>
      <c r="K703" s="25">
        <v>77592</v>
      </c>
      <c r="L703" s="28">
        <v>1257</v>
      </c>
      <c r="M703" s="29">
        <v>2136309</v>
      </c>
      <c r="N703" s="30">
        <v>0</v>
      </c>
      <c r="O703" s="30">
        <v>0</v>
      </c>
      <c r="P703" s="30">
        <v>0</v>
      </c>
      <c r="Q703" s="29">
        <v>0</v>
      </c>
      <c r="R703" s="29">
        <v>2136309</v>
      </c>
      <c r="S703" s="29">
        <v>3000</v>
      </c>
      <c r="T703" s="29">
        <f t="shared" si="43"/>
        <v>2139309</v>
      </c>
    </row>
    <row r="704" spans="1:20" ht="21" customHeight="1" x14ac:dyDescent="0.25">
      <c r="A704" s="21">
        <v>303</v>
      </c>
      <c r="B704" s="75" t="s">
        <v>2078</v>
      </c>
      <c r="C704" s="24" t="s">
        <v>2079</v>
      </c>
      <c r="D704" s="24" t="s">
        <v>23</v>
      </c>
      <c r="E704" s="24" t="s">
        <v>2080</v>
      </c>
      <c r="F704" s="25" t="s">
        <v>25</v>
      </c>
      <c r="G704" s="26">
        <v>4400</v>
      </c>
      <c r="H704" s="91" t="s">
        <v>26</v>
      </c>
      <c r="I704" s="25" t="s">
        <v>2081</v>
      </c>
      <c r="J704" s="25">
        <v>90032</v>
      </c>
      <c r="K704" s="25">
        <v>91298</v>
      </c>
      <c r="L704" s="28">
        <v>1266</v>
      </c>
      <c r="M704" s="29">
        <v>2151605</v>
      </c>
      <c r="N704" s="30">
        <v>0</v>
      </c>
      <c r="O704" s="30">
        <v>0</v>
      </c>
      <c r="P704" s="30">
        <v>0</v>
      </c>
      <c r="Q704" s="29">
        <v>0</v>
      </c>
      <c r="R704" s="29">
        <v>2151605</v>
      </c>
      <c r="S704" s="29">
        <v>3000</v>
      </c>
      <c r="T704" s="29">
        <f t="shared" si="43"/>
        <v>2154605</v>
      </c>
    </row>
    <row r="705" spans="1:20" ht="21" customHeight="1" x14ac:dyDescent="0.25">
      <c r="A705" s="21">
        <v>304</v>
      </c>
      <c r="B705" s="75" t="s">
        <v>2082</v>
      </c>
      <c r="C705" s="24" t="s">
        <v>2083</v>
      </c>
      <c r="D705" s="24" t="s">
        <v>23</v>
      </c>
      <c r="E705" s="24" t="s">
        <v>2084</v>
      </c>
      <c r="F705" s="25" t="s">
        <v>25</v>
      </c>
      <c r="G705" s="26">
        <v>5500</v>
      </c>
      <c r="H705" s="91" t="s">
        <v>26</v>
      </c>
      <c r="I705" s="25" t="s">
        <v>2085</v>
      </c>
      <c r="J705" s="25">
        <v>60020</v>
      </c>
      <c r="K705" s="25">
        <v>60106</v>
      </c>
      <c r="L705" s="28">
        <v>220</v>
      </c>
      <c r="M705" s="29">
        <v>373897</v>
      </c>
      <c r="N705" s="30">
        <v>0</v>
      </c>
      <c r="O705" s="30">
        <v>0</v>
      </c>
      <c r="P705" s="30">
        <v>0</v>
      </c>
      <c r="Q705" s="29">
        <v>0</v>
      </c>
      <c r="R705" s="29">
        <v>373897</v>
      </c>
      <c r="S705" s="29">
        <v>3000</v>
      </c>
      <c r="T705" s="29">
        <f t="shared" si="43"/>
        <v>376897</v>
      </c>
    </row>
    <row r="706" spans="1:20" ht="21" customHeight="1" x14ac:dyDescent="0.25">
      <c r="A706" s="21">
        <v>305</v>
      </c>
      <c r="B706" s="75" t="s">
        <v>2086</v>
      </c>
      <c r="C706" s="24" t="s">
        <v>1200</v>
      </c>
      <c r="D706" s="24" t="s">
        <v>23</v>
      </c>
      <c r="E706" s="24" t="s">
        <v>2087</v>
      </c>
      <c r="F706" s="25" t="s">
        <v>25</v>
      </c>
      <c r="G706" s="26">
        <v>5500</v>
      </c>
      <c r="H706" s="91" t="s">
        <v>26</v>
      </c>
      <c r="I706" s="25" t="s">
        <v>2088</v>
      </c>
      <c r="J706" s="25">
        <v>10501</v>
      </c>
      <c r="K706" s="25">
        <v>12284</v>
      </c>
      <c r="L706" s="28">
        <v>1783</v>
      </c>
      <c r="M706" s="29">
        <v>3030262</v>
      </c>
      <c r="N706" s="30">
        <v>0</v>
      </c>
      <c r="O706" s="30">
        <v>0</v>
      </c>
      <c r="P706" s="30">
        <v>0</v>
      </c>
      <c r="Q706" s="29">
        <v>0</v>
      </c>
      <c r="R706" s="29">
        <v>3030262</v>
      </c>
      <c r="S706" s="29">
        <v>3000</v>
      </c>
      <c r="T706" s="29">
        <f t="shared" si="43"/>
        <v>3033262</v>
      </c>
    </row>
    <row r="707" spans="1:20" ht="21" customHeight="1" x14ac:dyDescent="0.25">
      <c r="A707" s="21">
        <v>306</v>
      </c>
      <c r="B707" s="75" t="s">
        <v>2089</v>
      </c>
      <c r="C707" s="24" t="s">
        <v>2090</v>
      </c>
      <c r="D707" s="24" t="s">
        <v>316</v>
      </c>
      <c r="E707" s="24" t="s">
        <v>2091</v>
      </c>
      <c r="F707" s="25" t="s">
        <v>25</v>
      </c>
      <c r="G707" s="26">
        <v>2200</v>
      </c>
      <c r="H707" s="91" t="s">
        <v>26</v>
      </c>
      <c r="I707" s="25" t="s">
        <v>2092</v>
      </c>
      <c r="J707" s="25">
        <v>1923</v>
      </c>
      <c r="K707" s="25">
        <v>1986</v>
      </c>
      <c r="L707" s="28">
        <v>88</v>
      </c>
      <c r="M707" s="29">
        <v>149559</v>
      </c>
      <c r="N707" s="30">
        <v>0</v>
      </c>
      <c r="O707" s="30">
        <v>0</v>
      </c>
      <c r="P707" s="30">
        <v>0</v>
      </c>
      <c r="Q707" s="29">
        <v>0</v>
      </c>
      <c r="R707" s="29">
        <v>149559</v>
      </c>
      <c r="S707" s="29">
        <v>3000</v>
      </c>
      <c r="T707" s="29">
        <f t="shared" si="43"/>
        <v>152559</v>
      </c>
    </row>
    <row r="708" spans="1:20" ht="21" customHeight="1" x14ac:dyDescent="0.25">
      <c r="A708" s="21">
        <v>307</v>
      </c>
      <c r="B708" s="75" t="s">
        <v>2093</v>
      </c>
      <c r="C708" s="24" t="s">
        <v>2094</v>
      </c>
      <c r="D708" s="24" t="s">
        <v>30</v>
      </c>
      <c r="E708" s="24" t="s">
        <v>2095</v>
      </c>
      <c r="F708" s="25" t="s">
        <v>25</v>
      </c>
      <c r="G708" s="26">
        <v>3500</v>
      </c>
      <c r="H708" s="91" t="s">
        <v>26</v>
      </c>
      <c r="I708" s="25" t="s">
        <v>2096</v>
      </c>
      <c r="J708" s="25">
        <v>24405</v>
      </c>
      <c r="K708" s="25">
        <v>25191</v>
      </c>
      <c r="L708" s="28">
        <v>786</v>
      </c>
      <c r="M708" s="29">
        <v>1335831</v>
      </c>
      <c r="N708" s="30">
        <v>0</v>
      </c>
      <c r="O708" s="30">
        <v>0</v>
      </c>
      <c r="P708" s="30">
        <v>0</v>
      </c>
      <c r="Q708" s="29">
        <v>0</v>
      </c>
      <c r="R708" s="29">
        <v>1335831</v>
      </c>
      <c r="S708" s="29">
        <v>3000</v>
      </c>
      <c r="T708" s="29">
        <f t="shared" si="43"/>
        <v>1338831</v>
      </c>
    </row>
    <row r="709" spans="1:20" ht="21" customHeight="1" x14ac:dyDescent="0.25">
      <c r="A709" s="21">
        <v>308</v>
      </c>
      <c r="B709" s="75" t="s">
        <v>2097</v>
      </c>
      <c r="C709" s="24" t="s">
        <v>2098</v>
      </c>
      <c r="D709" s="24" t="s">
        <v>30</v>
      </c>
      <c r="E709" s="24" t="s">
        <v>2099</v>
      </c>
      <c r="F709" s="25" t="s">
        <v>25</v>
      </c>
      <c r="G709" s="26">
        <v>3500</v>
      </c>
      <c r="H709" s="91" t="s">
        <v>26</v>
      </c>
      <c r="I709" s="25" t="s">
        <v>2100</v>
      </c>
      <c r="J709" s="25">
        <v>26171</v>
      </c>
      <c r="K709" s="25">
        <v>27126</v>
      </c>
      <c r="L709" s="28">
        <v>955</v>
      </c>
      <c r="M709" s="29">
        <v>1623051</v>
      </c>
      <c r="N709" s="30">
        <v>0</v>
      </c>
      <c r="O709" s="30">
        <v>0</v>
      </c>
      <c r="P709" s="30">
        <v>0</v>
      </c>
      <c r="Q709" s="29">
        <v>0</v>
      </c>
      <c r="R709" s="29">
        <v>1623051</v>
      </c>
      <c r="S709" s="29">
        <v>3000</v>
      </c>
      <c r="T709" s="29">
        <f t="shared" si="43"/>
        <v>1626051</v>
      </c>
    </row>
    <row r="710" spans="1:20" ht="21" customHeight="1" x14ac:dyDescent="0.25">
      <c r="A710" s="21">
        <v>309</v>
      </c>
      <c r="B710" s="75" t="s">
        <v>2101</v>
      </c>
      <c r="C710" s="24" t="s">
        <v>2102</v>
      </c>
      <c r="D710" s="24" t="s">
        <v>316</v>
      </c>
      <c r="E710" s="24" t="s">
        <v>2103</v>
      </c>
      <c r="F710" s="25" t="s">
        <v>25</v>
      </c>
      <c r="G710" s="26">
        <v>1300</v>
      </c>
      <c r="H710" s="91" t="s">
        <v>26</v>
      </c>
      <c r="I710" s="25" t="s">
        <v>2104</v>
      </c>
      <c r="J710" s="25">
        <v>10879</v>
      </c>
      <c r="K710" s="25">
        <v>11052</v>
      </c>
      <c r="L710" s="28">
        <v>173</v>
      </c>
      <c r="M710" s="29">
        <v>294019</v>
      </c>
      <c r="N710" s="30">
        <v>0</v>
      </c>
      <c r="O710" s="30">
        <v>0</v>
      </c>
      <c r="P710" s="30">
        <v>0</v>
      </c>
      <c r="Q710" s="29">
        <v>0</v>
      </c>
      <c r="R710" s="29">
        <v>294019</v>
      </c>
      <c r="S710" s="29">
        <v>3000</v>
      </c>
      <c r="T710" s="29">
        <f t="shared" si="43"/>
        <v>297019</v>
      </c>
    </row>
    <row r="711" spans="1:20" ht="21" customHeight="1" x14ac:dyDescent="0.25">
      <c r="A711" s="21">
        <v>310</v>
      </c>
      <c r="B711" s="75" t="s">
        <v>2105</v>
      </c>
      <c r="C711" s="24" t="s">
        <v>2106</v>
      </c>
      <c r="D711" s="24" t="s">
        <v>30</v>
      </c>
      <c r="E711" s="24" t="s">
        <v>2107</v>
      </c>
      <c r="F711" s="25" t="s">
        <v>25</v>
      </c>
      <c r="G711" s="26">
        <v>3500</v>
      </c>
      <c r="H711" s="91" t="s">
        <v>26</v>
      </c>
      <c r="I711" s="25" t="s">
        <v>2108</v>
      </c>
      <c r="J711" s="25">
        <v>27542</v>
      </c>
      <c r="K711" s="25">
        <v>28745</v>
      </c>
      <c r="L711" s="28">
        <v>1203</v>
      </c>
      <c r="M711" s="29">
        <v>2044535</v>
      </c>
      <c r="N711" s="30">
        <v>0</v>
      </c>
      <c r="O711" s="30">
        <v>0</v>
      </c>
      <c r="P711" s="30">
        <v>0</v>
      </c>
      <c r="Q711" s="29">
        <v>0</v>
      </c>
      <c r="R711" s="29">
        <v>2044535</v>
      </c>
      <c r="S711" s="29">
        <v>3000</v>
      </c>
      <c r="T711" s="29">
        <f t="shared" si="43"/>
        <v>2047535</v>
      </c>
    </row>
    <row r="712" spans="1:20" ht="21" customHeight="1" x14ac:dyDescent="0.25">
      <c r="A712" s="21">
        <v>311</v>
      </c>
      <c r="B712" s="75" t="s">
        <v>2109</v>
      </c>
      <c r="C712" s="24" t="s">
        <v>2110</v>
      </c>
      <c r="D712" s="24" t="s">
        <v>30</v>
      </c>
      <c r="E712" s="24" t="s">
        <v>2111</v>
      </c>
      <c r="F712" s="25" t="s">
        <v>25</v>
      </c>
      <c r="G712" s="26">
        <v>4400</v>
      </c>
      <c r="H712" s="91" t="s">
        <v>26</v>
      </c>
      <c r="I712" s="25" t="s">
        <v>2112</v>
      </c>
      <c r="J712" s="25">
        <v>23869</v>
      </c>
      <c r="K712" s="25">
        <v>24490</v>
      </c>
      <c r="L712" s="28">
        <v>621</v>
      </c>
      <c r="M712" s="29">
        <v>1055408</v>
      </c>
      <c r="N712" s="30">
        <v>0</v>
      </c>
      <c r="O712" s="30">
        <v>0</v>
      </c>
      <c r="P712" s="30">
        <v>0</v>
      </c>
      <c r="Q712" s="29">
        <v>0</v>
      </c>
      <c r="R712" s="29">
        <v>1055408</v>
      </c>
      <c r="S712" s="29">
        <v>3000</v>
      </c>
      <c r="T712" s="29">
        <f t="shared" si="43"/>
        <v>1058408</v>
      </c>
    </row>
    <row r="713" spans="1:20" ht="21" customHeight="1" x14ac:dyDescent="0.25">
      <c r="A713" s="21">
        <v>312</v>
      </c>
      <c r="B713" s="75" t="s">
        <v>2113</v>
      </c>
      <c r="C713" s="24" t="s">
        <v>2114</v>
      </c>
      <c r="D713" s="24" t="s">
        <v>316</v>
      </c>
      <c r="E713" s="24" t="s">
        <v>2115</v>
      </c>
      <c r="F713" s="25" t="s">
        <v>25</v>
      </c>
      <c r="G713" s="26">
        <v>1300</v>
      </c>
      <c r="H713" s="91" t="s">
        <v>26</v>
      </c>
      <c r="I713" s="25" t="s">
        <v>2116</v>
      </c>
      <c r="J713" s="25">
        <v>2140</v>
      </c>
      <c r="K713" s="25">
        <v>2231</v>
      </c>
      <c r="L713" s="28">
        <v>91</v>
      </c>
      <c r="M713" s="29">
        <v>154657</v>
      </c>
      <c r="N713" s="30">
        <v>0</v>
      </c>
      <c r="O713" s="30">
        <v>0</v>
      </c>
      <c r="P713" s="30">
        <v>0</v>
      </c>
      <c r="Q713" s="29">
        <v>0</v>
      </c>
      <c r="R713" s="29">
        <v>154657</v>
      </c>
      <c r="S713" s="29">
        <v>3000</v>
      </c>
      <c r="T713" s="29">
        <f t="shared" si="43"/>
        <v>157657</v>
      </c>
    </row>
    <row r="714" spans="1:20" ht="21" customHeight="1" x14ac:dyDescent="0.25">
      <c r="A714" s="21">
        <v>313</v>
      </c>
      <c r="B714" s="75" t="s">
        <v>2117</v>
      </c>
      <c r="C714" s="24" t="s">
        <v>2118</v>
      </c>
      <c r="D714" s="24" t="s">
        <v>316</v>
      </c>
      <c r="E714" s="24" t="s">
        <v>2119</v>
      </c>
      <c r="F714" s="25" t="s">
        <v>25</v>
      </c>
      <c r="G714" s="26">
        <v>1300</v>
      </c>
      <c r="H714" s="91" t="s">
        <v>26</v>
      </c>
      <c r="I714" s="25" t="s">
        <v>2120</v>
      </c>
      <c r="J714" s="25">
        <v>2550</v>
      </c>
      <c r="K714" s="25">
        <v>2741</v>
      </c>
      <c r="L714" s="28">
        <v>191</v>
      </c>
      <c r="M714" s="29">
        <v>324610</v>
      </c>
      <c r="N714" s="30">
        <v>0</v>
      </c>
      <c r="O714" s="30">
        <v>0</v>
      </c>
      <c r="P714" s="30">
        <v>0</v>
      </c>
      <c r="Q714" s="29">
        <v>0</v>
      </c>
      <c r="R714" s="29">
        <v>324610</v>
      </c>
      <c r="S714" s="29">
        <v>3000</v>
      </c>
      <c r="T714" s="29">
        <f t="shared" si="43"/>
        <v>327610</v>
      </c>
    </row>
    <row r="715" spans="1:20" ht="21" customHeight="1" x14ac:dyDescent="0.25">
      <c r="A715" s="21">
        <v>314</v>
      </c>
      <c r="B715" s="75" t="s">
        <v>2121</v>
      </c>
      <c r="C715" s="24" t="s">
        <v>2122</v>
      </c>
      <c r="D715" s="24" t="s">
        <v>30</v>
      </c>
      <c r="E715" s="24" t="s">
        <v>2123</v>
      </c>
      <c r="F715" s="25" t="s">
        <v>25</v>
      </c>
      <c r="G715" s="26">
        <v>3500</v>
      </c>
      <c r="H715" s="91" t="s">
        <v>26</v>
      </c>
      <c r="I715" s="25" t="s">
        <v>2124</v>
      </c>
      <c r="J715" s="25">
        <v>22394</v>
      </c>
      <c r="K715" s="25">
        <v>23515</v>
      </c>
      <c r="L715" s="28">
        <v>1121</v>
      </c>
      <c r="M715" s="29">
        <v>1905173</v>
      </c>
      <c r="N715" s="30">
        <v>0</v>
      </c>
      <c r="O715" s="30">
        <v>0</v>
      </c>
      <c r="P715" s="30">
        <v>0</v>
      </c>
      <c r="Q715" s="29">
        <v>0</v>
      </c>
      <c r="R715" s="29">
        <v>1905173</v>
      </c>
      <c r="S715" s="29">
        <v>3000</v>
      </c>
      <c r="T715" s="29">
        <f t="shared" si="43"/>
        <v>1908173</v>
      </c>
    </row>
    <row r="716" spans="1:20" ht="21" customHeight="1" x14ac:dyDescent="0.25">
      <c r="A716" s="21">
        <v>315</v>
      </c>
      <c r="B716" s="75" t="s">
        <v>2125</v>
      </c>
      <c r="C716" s="24" t="s">
        <v>2126</v>
      </c>
      <c r="D716" s="24" t="s">
        <v>316</v>
      </c>
      <c r="E716" s="24" t="s">
        <v>2127</v>
      </c>
      <c r="F716" s="25" t="s">
        <v>25</v>
      </c>
      <c r="G716" s="26">
        <v>1300</v>
      </c>
      <c r="H716" s="91" t="s">
        <v>26</v>
      </c>
      <c r="I716" s="25" t="s">
        <v>2128</v>
      </c>
      <c r="J716" s="25">
        <v>2428</v>
      </c>
      <c r="K716" s="25">
        <v>2447</v>
      </c>
      <c r="L716" s="28">
        <v>52</v>
      </c>
      <c r="M716" s="29">
        <v>88376</v>
      </c>
      <c r="N716" s="30">
        <v>0</v>
      </c>
      <c r="O716" s="30">
        <v>0</v>
      </c>
      <c r="P716" s="30">
        <v>0</v>
      </c>
      <c r="Q716" s="29">
        <v>0</v>
      </c>
      <c r="R716" s="29">
        <v>88376</v>
      </c>
      <c r="S716" s="29">
        <v>3000</v>
      </c>
      <c r="T716" s="29">
        <f t="shared" si="43"/>
        <v>91376</v>
      </c>
    </row>
    <row r="717" spans="1:20" ht="21" customHeight="1" x14ac:dyDescent="0.25">
      <c r="A717" s="21">
        <v>316</v>
      </c>
      <c r="B717" s="75" t="s">
        <v>2129</v>
      </c>
      <c r="C717" s="24" t="s">
        <v>2130</v>
      </c>
      <c r="D717" s="24" t="s">
        <v>30</v>
      </c>
      <c r="E717" s="24" t="s">
        <v>2131</v>
      </c>
      <c r="F717" s="25" t="s">
        <v>25</v>
      </c>
      <c r="G717" s="26">
        <v>4400</v>
      </c>
      <c r="H717" s="91" t="s">
        <v>26</v>
      </c>
      <c r="I717" s="25" t="s">
        <v>2132</v>
      </c>
      <c r="J717" s="25">
        <v>1481</v>
      </c>
      <c r="K717" s="25">
        <v>1554</v>
      </c>
      <c r="L717" s="28">
        <v>176</v>
      </c>
      <c r="M717" s="29">
        <v>299117</v>
      </c>
      <c r="N717" s="30">
        <v>0</v>
      </c>
      <c r="O717" s="30">
        <v>0</v>
      </c>
      <c r="P717" s="30">
        <v>0</v>
      </c>
      <c r="Q717" s="29">
        <v>0</v>
      </c>
      <c r="R717" s="29">
        <v>299117</v>
      </c>
      <c r="S717" s="29">
        <v>3000</v>
      </c>
      <c r="T717" s="29">
        <f t="shared" si="43"/>
        <v>302117</v>
      </c>
    </row>
    <row r="718" spans="1:20" ht="21" customHeight="1" x14ac:dyDescent="0.25">
      <c r="A718" s="21">
        <v>317</v>
      </c>
      <c r="B718" s="75" t="s">
        <v>2133</v>
      </c>
      <c r="C718" s="24" t="s">
        <v>2134</v>
      </c>
      <c r="D718" s="24" t="s">
        <v>316</v>
      </c>
      <c r="E718" s="24" t="s">
        <v>2135</v>
      </c>
      <c r="F718" s="25" t="s">
        <v>25</v>
      </c>
      <c r="G718" s="26">
        <v>900</v>
      </c>
      <c r="H718" s="91" t="s">
        <v>26</v>
      </c>
      <c r="I718" s="25" t="s">
        <v>2136</v>
      </c>
      <c r="J718" s="25">
        <v>2297</v>
      </c>
      <c r="K718" s="25">
        <v>2431</v>
      </c>
      <c r="L718" s="28">
        <v>134</v>
      </c>
      <c r="M718" s="29">
        <v>227737</v>
      </c>
      <c r="N718" s="30">
        <v>0</v>
      </c>
      <c r="O718" s="30">
        <v>0</v>
      </c>
      <c r="P718" s="30">
        <v>0</v>
      </c>
      <c r="Q718" s="29">
        <v>0</v>
      </c>
      <c r="R718" s="29">
        <v>227737</v>
      </c>
      <c r="S718" s="29">
        <v>3000</v>
      </c>
      <c r="T718" s="29">
        <f t="shared" si="43"/>
        <v>230737</v>
      </c>
    </row>
    <row r="719" spans="1:20" ht="21" customHeight="1" x14ac:dyDescent="0.25">
      <c r="A719" s="21">
        <v>318</v>
      </c>
      <c r="B719" s="75" t="s">
        <v>2137</v>
      </c>
      <c r="C719" s="24" t="s">
        <v>2138</v>
      </c>
      <c r="D719" s="24" t="s">
        <v>84</v>
      </c>
      <c r="E719" s="24" t="s">
        <v>2139</v>
      </c>
      <c r="F719" s="25" t="s">
        <v>25</v>
      </c>
      <c r="G719" s="26">
        <v>5500</v>
      </c>
      <c r="H719" s="91" t="s">
        <v>26</v>
      </c>
      <c r="I719" s="25" t="s">
        <v>2140</v>
      </c>
      <c r="J719" s="25">
        <v>9847</v>
      </c>
      <c r="K719" s="25">
        <v>11019</v>
      </c>
      <c r="L719" s="28">
        <v>1172</v>
      </c>
      <c r="M719" s="29">
        <v>1991849</v>
      </c>
      <c r="N719" s="30">
        <v>0</v>
      </c>
      <c r="O719" s="30">
        <v>0</v>
      </c>
      <c r="P719" s="30">
        <v>0</v>
      </c>
      <c r="Q719" s="29">
        <v>0</v>
      </c>
      <c r="R719" s="29">
        <v>1991849</v>
      </c>
      <c r="S719" s="29">
        <v>3000</v>
      </c>
      <c r="T719" s="29">
        <f t="shared" si="43"/>
        <v>1994849</v>
      </c>
    </row>
    <row r="720" spans="1:20" ht="21" customHeight="1" x14ac:dyDescent="0.25">
      <c r="A720" s="21">
        <v>319</v>
      </c>
      <c r="B720" s="75" t="s">
        <v>2141</v>
      </c>
      <c r="C720" s="24" t="s">
        <v>2142</v>
      </c>
      <c r="D720" s="24" t="s">
        <v>84</v>
      </c>
      <c r="E720" s="24" t="s">
        <v>2143</v>
      </c>
      <c r="F720" s="25" t="s">
        <v>25</v>
      </c>
      <c r="G720" s="26">
        <v>2200</v>
      </c>
      <c r="H720" s="91" t="s">
        <v>26</v>
      </c>
      <c r="I720" s="25" t="s">
        <v>2144</v>
      </c>
      <c r="J720" s="25">
        <v>1292</v>
      </c>
      <c r="K720" s="25">
        <v>1385</v>
      </c>
      <c r="L720" s="28">
        <v>93</v>
      </c>
      <c r="M720" s="29">
        <v>158056</v>
      </c>
      <c r="N720" s="30">
        <v>0</v>
      </c>
      <c r="O720" s="30">
        <v>0</v>
      </c>
      <c r="P720" s="30">
        <v>0</v>
      </c>
      <c r="Q720" s="29">
        <v>0</v>
      </c>
      <c r="R720" s="29">
        <v>158056</v>
      </c>
      <c r="S720" s="29">
        <v>3000</v>
      </c>
      <c r="T720" s="29">
        <f t="shared" si="43"/>
        <v>161056</v>
      </c>
    </row>
    <row r="721" spans="1:20" ht="21" customHeight="1" x14ac:dyDescent="0.25">
      <c r="A721" s="21">
        <v>320</v>
      </c>
      <c r="B721" s="75" t="s">
        <v>2145</v>
      </c>
      <c r="C721" s="24" t="s">
        <v>2146</v>
      </c>
      <c r="D721" s="24" t="s">
        <v>84</v>
      </c>
      <c r="E721" s="24" t="s">
        <v>2147</v>
      </c>
      <c r="F721" s="25" t="s">
        <v>25</v>
      </c>
      <c r="G721" s="26">
        <v>3500</v>
      </c>
      <c r="H721" s="91" t="s">
        <v>26</v>
      </c>
      <c r="I721" s="25" t="s">
        <v>2148</v>
      </c>
      <c r="J721" s="25">
        <v>5921</v>
      </c>
      <c r="K721" s="25">
        <v>5921</v>
      </c>
      <c r="L721" s="28">
        <v>140</v>
      </c>
      <c r="M721" s="29">
        <v>237934</v>
      </c>
      <c r="N721" s="30">
        <v>0</v>
      </c>
      <c r="O721" s="30">
        <v>0</v>
      </c>
      <c r="P721" s="30">
        <v>0</v>
      </c>
      <c r="Q721" s="29">
        <v>0</v>
      </c>
      <c r="R721" s="29">
        <v>237934</v>
      </c>
      <c r="S721" s="29">
        <v>3000</v>
      </c>
      <c r="T721" s="29">
        <f t="shared" si="43"/>
        <v>240934</v>
      </c>
    </row>
    <row r="722" spans="1:20" s="35" customFormat="1" ht="21" customHeight="1" x14ac:dyDescent="0.25">
      <c r="A722" s="22"/>
      <c r="B722" s="22"/>
      <c r="C722" s="22"/>
      <c r="D722" s="22"/>
      <c r="E722" s="22"/>
      <c r="F722" s="25"/>
      <c r="G722" s="26"/>
      <c r="H722" s="28"/>
      <c r="I722" s="25"/>
      <c r="J722" s="25"/>
      <c r="K722" s="25"/>
      <c r="L722" s="28"/>
      <c r="M722" s="29"/>
      <c r="N722" s="48"/>
      <c r="O722" s="48"/>
      <c r="P722" s="48"/>
      <c r="Q722" s="47"/>
      <c r="R722" s="47"/>
      <c r="S722" s="47"/>
      <c r="T722" s="47"/>
    </row>
    <row r="723" spans="1:20" ht="36.75" customHeight="1" x14ac:dyDescent="0.25">
      <c r="A723" s="44" t="s">
        <v>179</v>
      </c>
      <c r="B723" s="20"/>
      <c r="C723" s="20"/>
      <c r="D723" s="20"/>
      <c r="E723" s="20"/>
      <c r="F723" s="20"/>
      <c r="G723" s="70">
        <v>1361700</v>
      </c>
      <c r="H723" s="70">
        <v>0</v>
      </c>
      <c r="I723" s="70">
        <v>0</v>
      </c>
      <c r="J723" s="70"/>
      <c r="K723" s="70"/>
      <c r="L723" s="70">
        <v>303480</v>
      </c>
      <c r="M723" s="70">
        <v>515773361</v>
      </c>
      <c r="N723" s="70">
        <v>0</v>
      </c>
      <c r="O723" s="70">
        <v>0</v>
      </c>
      <c r="P723" s="70">
        <v>0</v>
      </c>
      <c r="Q723" s="152">
        <f>SUM(Q680:Q722)</f>
        <v>0</v>
      </c>
      <c r="R723" s="152">
        <f t="shared" ref="R723:T723" si="44">SUM(R680:R722)</f>
        <v>515773361</v>
      </c>
      <c r="S723" s="152">
        <f t="shared" si="44"/>
        <v>960000</v>
      </c>
      <c r="T723" s="152">
        <f t="shared" si="44"/>
        <v>516733361</v>
      </c>
    </row>
    <row r="724" spans="1:20" ht="21" customHeight="1" x14ac:dyDescent="0.25">
      <c r="A724" s="96"/>
      <c r="B724" s="97"/>
      <c r="C724" s="15"/>
      <c r="G724" s="38"/>
      <c r="H724" s="38"/>
      <c r="L724" s="41"/>
    </row>
    <row r="725" spans="1:20" ht="21" customHeight="1" x14ac:dyDescent="0.25">
      <c r="A725" s="96"/>
      <c r="B725" s="93"/>
      <c r="C725" s="94"/>
      <c r="D725" s="94"/>
      <c r="E725" s="94"/>
      <c r="F725" s="93"/>
      <c r="G725" s="93"/>
      <c r="L725" s="41"/>
    </row>
    <row r="726" spans="1:20" s="93" customFormat="1" ht="42" customHeight="1" x14ac:dyDescent="0.25">
      <c r="A726" s="31" t="s">
        <v>4</v>
      </c>
      <c r="B726" s="31" t="s">
        <v>5</v>
      </c>
      <c r="C726" s="31" t="s">
        <v>6</v>
      </c>
      <c r="D726" s="22"/>
      <c r="E726" s="31" t="s">
        <v>7</v>
      </c>
      <c r="F726" s="31" t="s">
        <v>8</v>
      </c>
      <c r="G726" s="31" t="s">
        <v>9</v>
      </c>
      <c r="H726" s="31" t="s">
        <v>10</v>
      </c>
      <c r="I726" s="31" t="s">
        <v>11</v>
      </c>
      <c r="J726" s="31" t="s">
        <v>12</v>
      </c>
      <c r="K726" s="31" t="s">
        <v>13</v>
      </c>
      <c r="L726" s="31" t="s">
        <v>14</v>
      </c>
      <c r="M726" s="141" t="s">
        <v>15</v>
      </c>
      <c r="N726" s="142" t="s">
        <v>16</v>
      </c>
      <c r="O726" s="142" t="s">
        <v>17</v>
      </c>
      <c r="P726" s="142" t="s">
        <v>18</v>
      </c>
      <c r="Q726" s="141" t="s">
        <v>19</v>
      </c>
      <c r="R726" s="141" t="s">
        <v>20</v>
      </c>
      <c r="S726" s="141" t="s">
        <v>3655</v>
      </c>
      <c r="T726" s="141" t="s">
        <v>3656</v>
      </c>
    </row>
    <row r="727" spans="1:20" ht="21" customHeight="1" x14ac:dyDescent="0.25">
      <c r="A727" s="21"/>
      <c r="B727" s="22"/>
      <c r="C727" s="23"/>
      <c r="D727" s="23"/>
      <c r="E727" s="23"/>
      <c r="F727" s="22"/>
      <c r="G727" s="22"/>
      <c r="H727" s="27"/>
      <c r="I727" s="25"/>
      <c r="J727" s="25"/>
      <c r="K727" s="25"/>
      <c r="L727" s="28"/>
      <c r="M727" s="29"/>
      <c r="N727" s="30"/>
      <c r="O727" s="30"/>
      <c r="P727" s="30"/>
      <c r="Q727" s="29"/>
      <c r="R727" s="29"/>
      <c r="S727" s="29"/>
      <c r="T727" s="29"/>
    </row>
    <row r="728" spans="1:20" ht="21" customHeight="1" x14ac:dyDescent="0.25">
      <c r="A728" s="21"/>
      <c r="B728" s="22"/>
      <c r="C728" s="23"/>
      <c r="D728" s="23"/>
      <c r="E728" s="45" t="s">
        <v>181</v>
      </c>
      <c r="F728" s="22"/>
      <c r="G728" s="32">
        <v>1361700</v>
      </c>
      <c r="H728" s="32">
        <v>0</v>
      </c>
      <c r="I728" s="32">
        <v>0</v>
      </c>
      <c r="J728" s="32"/>
      <c r="K728" s="32"/>
      <c r="L728" s="32">
        <v>303480</v>
      </c>
      <c r="M728" s="32">
        <v>515773361</v>
      </c>
      <c r="N728" s="32">
        <v>0</v>
      </c>
      <c r="O728" s="32">
        <v>0</v>
      </c>
      <c r="P728" s="32">
        <v>0</v>
      </c>
      <c r="Q728" s="156">
        <f>Q723</f>
        <v>0</v>
      </c>
      <c r="R728" s="156">
        <f t="shared" ref="R728:T728" si="45">R723</f>
        <v>515773361</v>
      </c>
      <c r="S728" s="156">
        <f t="shared" si="45"/>
        <v>960000</v>
      </c>
      <c r="T728" s="156">
        <f t="shared" si="45"/>
        <v>516733361</v>
      </c>
    </row>
    <row r="729" spans="1:20" ht="21" customHeight="1" x14ac:dyDescent="0.25">
      <c r="A729" s="21">
        <v>321</v>
      </c>
      <c r="B729" s="22" t="s">
        <v>2149</v>
      </c>
      <c r="C729" s="23" t="s">
        <v>2150</v>
      </c>
      <c r="D729" s="24" t="s">
        <v>84</v>
      </c>
      <c r="E729" s="45" t="s">
        <v>1481</v>
      </c>
      <c r="F729" s="22" t="s">
        <v>25</v>
      </c>
      <c r="G729" s="27">
        <v>1300</v>
      </c>
      <c r="H729" s="27" t="s">
        <v>26</v>
      </c>
      <c r="I729" s="27" t="s">
        <v>2151</v>
      </c>
      <c r="J729" s="27">
        <v>7471</v>
      </c>
      <c r="K729" s="27">
        <v>7541</v>
      </c>
      <c r="L729" s="27">
        <v>70</v>
      </c>
      <c r="M729" s="98">
        <v>118967</v>
      </c>
      <c r="N729" s="99">
        <v>0</v>
      </c>
      <c r="O729" s="99">
        <v>0</v>
      </c>
      <c r="P729" s="99">
        <v>0</v>
      </c>
      <c r="Q729" s="98">
        <v>0</v>
      </c>
      <c r="R729" s="98">
        <v>118967</v>
      </c>
      <c r="S729" s="29">
        <v>3000</v>
      </c>
      <c r="T729" s="29">
        <f t="shared" ref="T729:T768" si="46">R729+S729</f>
        <v>121967</v>
      </c>
    </row>
    <row r="730" spans="1:20" ht="21" customHeight="1" x14ac:dyDescent="0.25">
      <c r="A730" s="21">
        <v>322</v>
      </c>
      <c r="B730" s="22" t="s">
        <v>2152</v>
      </c>
      <c r="C730" s="23" t="s">
        <v>2153</v>
      </c>
      <c r="D730" s="24" t="s">
        <v>84</v>
      </c>
      <c r="E730" s="45" t="s">
        <v>2154</v>
      </c>
      <c r="F730" s="22" t="s">
        <v>25</v>
      </c>
      <c r="G730" s="27">
        <v>1300</v>
      </c>
      <c r="H730" s="27" t="s">
        <v>26</v>
      </c>
      <c r="I730" s="27" t="s">
        <v>2155</v>
      </c>
      <c r="J730" s="27">
        <v>1982</v>
      </c>
      <c r="K730" s="27">
        <v>2090</v>
      </c>
      <c r="L730" s="27">
        <v>108</v>
      </c>
      <c r="M730" s="98">
        <v>183549</v>
      </c>
      <c r="N730" s="99">
        <v>0</v>
      </c>
      <c r="O730" s="99">
        <v>0</v>
      </c>
      <c r="P730" s="99">
        <v>0</v>
      </c>
      <c r="Q730" s="98">
        <v>0</v>
      </c>
      <c r="R730" s="98">
        <v>183549</v>
      </c>
      <c r="S730" s="29">
        <v>3000</v>
      </c>
      <c r="T730" s="29">
        <f t="shared" si="46"/>
        <v>186549</v>
      </c>
    </row>
    <row r="731" spans="1:20" ht="21" customHeight="1" x14ac:dyDescent="0.25">
      <c r="A731" s="21">
        <v>323</v>
      </c>
      <c r="B731" s="22" t="s">
        <v>2156</v>
      </c>
      <c r="C731" s="23" t="s">
        <v>2157</v>
      </c>
      <c r="D731" s="24" t="s">
        <v>84</v>
      </c>
      <c r="E731" s="45" t="s">
        <v>2158</v>
      </c>
      <c r="F731" s="22" t="s">
        <v>25</v>
      </c>
      <c r="G731" s="27">
        <v>3500</v>
      </c>
      <c r="H731" s="27" t="s">
        <v>26</v>
      </c>
      <c r="I731" s="27" t="s">
        <v>2159</v>
      </c>
      <c r="J731" s="27">
        <v>3033</v>
      </c>
      <c r="K731" s="27">
        <v>3377</v>
      </c>
      <c r="L731" s="27">
        <v>344</v>
      </c>
      <c r="M731" s="98">
        <v>584638</v>
      </c>
      <c r="N731" s="99">
        <v>0</v>
      </c>
      <c r="O731" s="99">
        <v>0</v>
      </c>
      <c r="P731" s="99">
        <v>0</v>
      </c>
      <c r="Q731" s="98">
        <v>0</v>
      </c>
      <c r="R731" s="98">
        <v>584638</v>
      </c>
      <c r="S731" s="29">
        <v>3000</v>
      </c>
      <c r="T731" s="29">
        <f t="shared" si="46"/>
        <v>587638</v>
      </c>
    </row>
    <row r="732" spans="1:20" ht="21" customHeight="1" x14ac:dyDescent="0.25">
      <c r="A732" s="21">
        <v>324</v>
      </c>
      <c r="B732" s="22" t="s">
        <v>2160</v>
      </c>
      <c r="C732" s="23" t="s">
        <v>2161</v>
      </c>
      <c r="D732" s="24" t="s">
        <v>84</v>
      </c>
      <c r="E732" s="45" t="s">
        <v>2162</v>
      </c>
      <c r="F732" s="22" t="s">
        <v>25</v>
      </c>
      <c r="G732" s="27">
        <v>4400</v>
      </c>
      <c r="H732" s="27" t="s">
        <v>26</v>
      </c>
      <c r="I732" s="27" t="s">
        <v>2163</v>
      </c>
      <c r="J732" s="27">
        <v>2125</v>
      </c>
      <c r="K732" s="27">
        <v>2595</v>
      </c>
      <c r="L732" s="27">
        <v>470</v>
      </c>
      <c r="M732" s="98">
        <v>798779</v>
      </c>
      <c r="N732" s="99">
        <v>0</v>
      </c>
      <c r="O732" s="99">
        <v>0</v>
      </c>
      <c r="P732" s="99">
        <v>0</v>
      </c>
      <c r="Q732" s="98">
        <v>0</v>
      </c>
      <c r="R732" s="98">
        <v>798779</v>
      </c>
      <c r="S732" s="29">
        <v>3000</v>
      </c>
      <c r="T732" s="29">
        <f t="shared" si="46"/>
        <v>801779</v>
      </c>
    </row>
    <row r="733" spans="1:20" ht="21" customHeight="1" x14ac:dyDescent="0.25">
      <c r="A733" s="21">
        <v>325</v>
      </c>
      <c r="B733" s="75" t="s">
        <v>2164</v>
      </c>
      <c r="C733" s="24" t="s">
        <v>2165</v>
      </c>
      <c r="D733" s="24" t="s">
        <v>30</v>
      </c>
      <c r="E733" s="24" t="s">
        <v>2166</v>
      </c>
      <c r="F733" s="25" t="s">
        <v>25</v>
      </c>
      <c r="G733" s="26">
        <v>9120</v>
      </c>
      <c r="H733" s="91" t="s">
        <v>26</v>
      </c>
      <c r="I733" s="25" t="s">
        <v>2167</v>
      </c>
      <c r="J733" s="25">
        <v>3108</v>
      </c>
      <c r="K733" s="25">
        <v>3108</v>
      </c>
      <c r="L733" s="28">
        <v>3420</v>
      </c>
      <c r="M733" s="29">
        <v>5812393</v>
      </c>
      <c r="N733" s="30">
        <v>0</v>
      </c>
      <c r="O733" s="30">
        <v>0</v>
      </c>
      <c r="P733" s="30">
        <v>0</v>
      </c>
      <c r="Q733" s="29">
        <v>10000</v>
      </c>
      <c r="R733" s="29">
        <v>5822393</v>
      </c>
      <c r="S733" s="29">
        <v>3000</v>
      </c>
      <c r="T733" s="29">
        <f t="shared" si="46"/>
        <v>5825393</v>
      </c>
    </row>
    <row r="734" spans="1:20" ht="21" customHeight="1" x14ac:dyDescent="0.25">
      <c r="A734" s="21">
        <v>326</v>
      </c>
      <c r="B734" s="75" t="s">
        <v>2168</v>
      </c>
      <c r="C734" s="24" t="s">
        <v>2169</v>
      </c>
      <c r="D734" s="24" t="s">
        <v>23</v>
      </c>
      <c r="E734" s="24" t="s">
        <v>1391</v>
      </c>
      <c r="F734" s="25" t="s">
        <v>25</v>
      </c>
      <c r="G734" s="26">
        <v>6510</v>
      </c>
      <c r="H734" s="91" t="s">
        <v>26</v>
      </c>
      <c r="I734" s="25" t="s">
        <v>2170</v>
      </c>
      <c r="J734" s="25">
        <v>2212</v>
      </c>
      <c r="K734" s="25">
        <v>2212</v>
      </c>
      <c r="L734" s="28">
        <v>2441</v>
      </c>
      <c r="M734" s="29">
        <v>4148553</v>
      </c>
      <c r="N734" s="30">
        <v>0</v>
      </c>
      <c r="O734" s="30">
        <v>0</v>
      </c>
      <c r="P734" s="30">
        <v>0</v>
      </c>
      <c r="Q734" s="29">
        <v>0</v>
      </c>
      <c r="R734" s="29">
        <v>4148553</v>
      </c>
      <c r="S734" s="29">
        <v>3000</v>
      </c>
      <c r="T734" s="29">
        <f t="shared" si="46"/>
        <v>4151553</v>
      </c>
    </row>
    <row r="735" spans="1:20" ht="21" customHeight="1" x14ac:dyDescent="0.25">
      <c r="A735" s="21">
        <v>327</v>
      </c>
      <c r="B735" s="75" t="s">
        <v>2171</v>
      </c>
      <c r="C735" s="24" t="s">
        <v>2172</v>
      </c>
      <c r="D735" s="24" t="s">
        <v>23</v>
      </c>
      <c r="E735" s="24" t="s">
        <v>1941</v>
      </c>
      <c r="F735" s="25" t="s">
        <v>25</v>
      </c>
      <c r="G735" s="26">
        <v>6980</v>
      </c>
      <c r="H735" s="91" t="s">
        <v>26</v>
      </c>
      <c r="I735" s="25" t="s">
        <v>2173</v>
      </c>
      <c r="J735" s="25">
        <v>2380</v>
      </c>
      <c r="K735" s="25">
        <v>2380</v>
      </c>
      <c r="L735" s="28">
        <v>2618</v>
      </c>
      <c r="M735" s="29">
        <v>4449370</v>
      </c>
      <c r="N735" s="30">
        <v>0</v>
      </c>
      <c r="O735" s="30">
        <v>0</v>
      </c>
      <c r="P735" s="30">
        <v>0</v>
      </c>
      <c r="Q735" s="29">
        <v>0</v>
      </c>
      <c r="R735" s="29">
        <v>4449370</v>
      </c>
      <c r="S735" s="29">
        <v>3000</v>
      </c>
      <c r="T735" s="29">
        <f t="shared" si="46"/>
        <v>4452370</v>
      </c>
    </row>
    <row r="736" spans="1:20" ht="21" customHeight="1" x14ac:dyDescent="0.25">
      <c r="A736" s="21">
        <v>328</v>
      </c>
      <c r="B736" s="75" t="s">
        <v>2174</v>
      </c>
      <c r="C736" s="24" t="s">
        <v>2165</v>
      </c>
      <c r="D736" s="24" t="s">
        <v>23</v>
      </c>
      <c r="E736" s="24" t="s">
        <v>2166</v>
      </c>
      <c r="F736" s="25" t="s">
        <v>25</v>
      </c>
      <c r="G736" s="26">
        <v>5860</v>
      </c>
      <c r="H736" s="91" t="s">
        <v>26</v>
      </c>
      <c r="I736" s="25" t="s">
        <v>2175</v>
      </c>
      <c r="J736" s="25">
        <v>1988</v>
      </c>
      <c r="K736" s="25">
        <v>1988</v>
      </c>
      <c r="L736" s="28">
        <v>2198</v>
      </c>
      <c r="M736" s="29">
        <v>3735567</v>
      </c>
      <c r="N736" s="30">
        <v>0</v>
      </c>
      <c r="O736" s="30">
        <v>0</v>
      </c>
      <c r="P736" s="30">
        <v>0</v>
      </c>
      <c r="Q736" s="29">
        <v>0</v>
      </c>
      <c r="R736" s="29">
        <v>3735567</v>
      </c>
      <c r="S736" s="29">
        <v>3000</v>
      </c>
      <c r="T736" s="29">
        <f t="shared" si="46"/>
        <v>3738567</v>
      </c>
    </row>
    <row r="737" spans="1:20" ht="21" customHeight="1" x14ac:dyDescent="0.25">
      <c r="A737" s="21">
        <v>329</v>
      </c>
      <c r="B737" s="75" t="s">
        <v>2176</v>
      </c>
      <c r="C737" s="24" t="s">
        <v>2177</v>
      </c>
      <c r="D737" s="24" t="s">
        <v>23</v>
      </c>
      <c r="E737" s="24" t="s">
        <v>2178</v>
      </c>
      <c r="F737" s="25" t="s">
        <v>25</v>
      </c>
      <c r="G737" s="26">
        <v>2400</v>
      </c>
      <c r="H737" s="91" t="s">
        <v>26</v>
      </c>
      <c r="I737" s="25" t="s">
        <v>2179</v>
      </c>
      <c r="J737" s="25">
        <v>840</v>
      </c>
      <c r="K737" s="25">
        <v>840</v>
      </c>
      <c r="L737" s="28">
        <v>900</v>
      </c>
      <c r="M737" s="29">
        <v>1529577</v>
      </c>
      <c r="N737" s="30">
        <v>0</v>
      </c>
      <c r="O737" s="30">
        <v>0</v>
      </c>
      <c r="P737" s="30">
        <v>0</v>
      </c>
      <c r="Q737" s="29">
        <v>0</v>
      </c>
      <c r="R737" s="29">
        <v>1529577</v>
      </c>
      <c r="S737" s="29">
        <v>3000</v>
      </c>
      <c r="T737" s="29">
        <f t="shared" si="46"/>
        <v>1532577</v>
      </c>
    </row>
    <row r="738" spans="1:20" ht="21" customHeight="1" x14ac:dyDescent="0.25">
      <c r="A738" s="21">
        <v>330</v>
      </c>
      <c r="B738" s="75" t="s">
        <v>2180</v>
      </c>
      <c r="C738" s="24" t="s">
        <v>2181</v>
      </c>
      <c r="D738" s="24" t="s">
        <v>23</v>
      </c>
      <c r="E738" s="24" t="s">
        <v>2182</v>
      </c>
      <c r="F738" s="25" t="s">
        <v>25</v>
      </c>
      <c r="G738" s="26">
        <v>1360</v>
      </c>
      <c r="H738" s="91" t="s">
        <v>26</v>
      </c>
      <c r="I738" s="25" t="s">
        <v>2183</v>
      </c>
      <c r="J738" s="25">
        <v>0</v>
      </c>
      <c r="K738" s="25">
        <v>0</v>
      </c>
      <c r="L738" s="28">
        <v>510</v>
      </c>
      <c r="M738" s="29">
        <v>866760</v>
      </c>
      <c r="N738" s="30">
        <v>0</v>
      </c>
      <c r="O738" s="30">
        <v>0</v>
      </c>
      <c r="P738" s="30">
        <v>0</v>
      </c>
      <c r="Q738" s="29">
        <v>0</v>
      </c>
      <c r="R738" s="29">
        <v>866760</v>
      </c>
      <c r="S738" s="29">
        <v>3000</v>
      </c>
      <c r="T738" s="29">
        <f t="shared" si="46"/>
        <v>869760</v>
      </c>
    </row>
    <row r="739" spans="1:20" ht="21" customHeight="1" x14ac:dyDescent="0.25">
      <c r="A739" s="21">
        <v>331</v>
      </c>
      <c r="B739" s="75" t="s">
        <v>2184</v>
      </c>
      <c r="C739" s="24" t="s">
        <v>2185</v>
      </c>
      <c r="D739" s="24" t="s">
        <v>23</v>
      </c>
      <c r="E739" s="24" t="s">
        <v>1383</v>
      </c>
      <c r="F739" s="25" t="s">
        <v>25</v>
      </c>
      <c r="G739" s="26">
        <v>7300</v>
      </c>
      <c r="H739" s="91" t="s">
        <v>26</v>
      </c>
      <c r="I739" s="25" t="s">
        <v>2186</v>
      </c>
      <c r="J739" s="25">
        <v>2492</v>
      </c>
      <c r="K739" s="25">
        <v>2492</v>
      </c>
      <c r="L739" s="28">
        <v>2738</v>
      </c>
      <c r="M739" s="29">
        <v>4653313</v>
      </c>
      <c r="N739" s="30">
        <v>0</v>
      </c>
      <c r="O739" s="30">
        <v>0</v>
      </c>
      <c r="P739" s="30">
        <v>0</v>
      </c>
      <c r="Q739" s="29">
        <v>0</v>
      </c>
      <c r="R739" s="29">
        <v>4653313</v>
      </c>
      <c r="S739" s="29">
        <v>3000</v>
      </c>
      <c r="T739" s="29">
        <f t="shared" si="46"/>
        <v>4656313</v>
      </c>
    </row>
    <row r="740" spans="1:20" ht="21" customHeight="1" x14ac:dyDescent="0.25">
      <c r="A740" s="21">
        <v>332</v>
      </c>
      <c r="B740" s="75" t="s">
        <v>2187</v>
      </c>
      <c r="C740" s="24" t="s">
        <v>2188</v>
      </c>
      <c r="D740" s="24" t="s">
        <v>23</v>
      </c>
      <c r="E740" s="24" t="s">
        <v>2189</v>
      </c>
      <c r="F740" s="25" t="s">
        <v>25</v>
      </c>
      <c r="G740" s="26">
        <v>13010</v>
      </c>
      <c r="H740" s="91" t="s">
        <v>26</v>
      </c>
      <c r="I740" s="25" t="s">
        <v>2190</v>
      </c>
      <c r="J740" s="25">
        <v>4424</v>
      </c>
      <c r="K740" s="25">
        <v>4424</v>
      </c>
      <c r="L740" s="28">
        <v>4879</v>
      </c>
      <c r="M740" s="29">
        <v>8292007</v>
      </c>
      <c r="N740" s="30">
        <v>0</v>
      </c>
      <c r="O740" s="30">
        <v>0</v>
      </c>
      <c r="P740" s="30">
        <v>0</v>
      </c>
      <c r="Q740" s="29">
        <v>10000</v>
      </c>
      <c r="R740" s="29">
        <v>8302007</v>
      </c>
      <c r="S740" s="29">
        <v>3000</v>
      </c>
      <c r="T740" s="29">
        <f t="shared" si="46"/>
        <v>8305007</v>
      </c>
    </row>
    <row r="741" spans="1:20" ht="21" customHeight="1" x14ac:dyDescent="0.25">
      <c r="A741" s="21">
        <v>333</v>
      </c>
      <c r="B741" s="75" t="s">
        <v>2191</v>
      </c>
      <c r="C741" s="24" t="s">
        <v>2192</v>
      </c>
      <c r="D741" s="24" t="s">
        <v>23</v>
      </c>
      <c r="E741" s="24" t="s">
        <v>1191</v>
      </c>
      <c r="F741" s="25" t="s">
        <v>25</v>
      </c>
      <c r="G741" s="26">
        <v>2800</v>
      </c>
      <c r="H741" s="91" t="s">
        <v>26</v>
      </c>
      <c r="I741" s="25" t="s">
        <v>2193</v>
      </c>
      <c r="J741" s="25">
        <v>952</v>
      </c>
      <c r="K741" s="25">
        <v>952</v>
      </c>
      <c r="L741" s="28">
        <v>1050</v>
      </c>
      <c r="M741" s="29">
        <v>1784507</v>
      </c>
      <c r="N741" s="30">
        <v>0</v>
      </c>
      <c r="O741" s="30">
        <v>0</v>
      </c>
      <c r="P741" s="30">
        <v>0</v>
      </c>
      <c r="Q741" s="29">
        <v>0</v>
      </c>
      <c r="R741" s="29">
        <v>1784507</v>
      </c>
      <c r="S741" s="29">
        <v>3000</v>
      </c>
      <c r="T741" s="29">
        <f t="shared" si="46"/>
        <v>1787507</v>
      </c>
    </row>
    <row r="742" spans="1:20" ht="21" customHeight="1" x14ac:dyDescent="0.25">
      <c r="A742" s="21">
        <v>334</v>
      </c>
      <c r="B742" s="75" t="s">
        <v>2194</v>
      </c>
      <c r="C742" s="24" t="s">
        <v>2195</v>
      </c>
      <c r="D742" s="24" t="s">
        <v>30</v>
      </c>
      <c r="E742" s="24" t="s">
        <v>2196</v>
      </c>
      <c r="F742" s="25" t="s">
        <v>25</v>
      </c>
      <c r="G742" s="26">
        <v>1620</v>
      </c>
      <c r="H742" s="91" t="s">
        <v>26</v>
      </c>
      <c r="I742" s="25" t="s">
        <v>2197</v>
      </c>
      <c r="J742" s="25">
        <v>0</v>
      </c>
      <c r="K742" s="25">
        <v>0</v>
      </c>
      <c r="L742" s="28">
        <v>608</v>
      </c>
      <c r="M742" s="29">
        <v>1033314</v>
      </c>
      <c r="N742" s="30">
        <v>0</v>
      </c>
      <c r="O742" s="30">
        <v>0</v>
      </c>
      <c r="P742" s="30">
        <v>0</v>
      </c>
      <c r="Q742" s="29">
        <v>0</v>
      </c>
      <c r="R742" s="29">
        <v>1033314</v>
      </c>
      <c r="S742" s="29">
        <v>3000</v>
      </c>
      <c r="T742" s="29">
        <f t="shared" si="46"/>
        <v>1036314</v>
      </c>
    </row>
    <row r="743" spans="1:20" ht="21" customHeight="1" x14ac:dyDescent="0.25">
      <c r="A743" s="21">
        <v>335</v>
      </c>
      <c r="B743" s="75" t="s">
        <v>2198</v>
      </c>
      <c r="C743" s="24" t="s">
        <v>2199</v>
      </c>
      <c r="D743" s="24" t="s">
        <v>23</v>
      </c>
      <c r="E743" s="24" t="s">
        <v>2200</v>
      </c>
      <c r="F743" s="25" t="s">
        <v>25</v>
      </c>
      <c r="G743" s="26">
        <v>6640</v>
      </c>
      <c r="H743" s="91" t="s">
        <v>26</v>
      </c>
      <c r="I743" s="25" t="s">
        <v>2201</v>
      </c>
      <c r="J743" s="25">
        <v>2268</v>
      </c>
      <c r="K743" s="25">
        <v>2268</v>
      </c>
      <c r="L743" s="28">
        <v>2490</v>
      </c>
      <c r="M743" s="29">
        <v>4231830</v>
      </c>
      <c r="N743" s="30">
        <v>0</v>
      </c>
      <c r="O743" s="30">
        <v>0</v>
      </c>
      <c r="P743" s="30">
        <v>0</v>
      </c>
      <c r="Q743" s="29">
        <v>0</v>
      </c>
      <c r="R743" s="29">
        <v>4231830</v>
      </c>
      <c r="S743" s="29">
        <v>3000</v>
      </c>
      <c r="T743" s="29">
        <f t="shared" si="46"/>
        <v>4234830</v>
      </c>
    </row>
    <row r="744" spans="1:20" ht="21" customHeight="1" x14ac:dyDescent="0.25">
      <c r="A744" s="21">
        <v>336</v>
      </c>
      <c r="B744" s="75" t="s">
        <v>2202</v>
      </c>
      <c r="C744" s="24" t="s">
        <v>2203</v>
      </c>
      <c r="D744" s="24" t="s">
        <v>23</v>
      </c>
      <c r="E744" s="24" t="s">
        <v>1922</v>
      </c>
      <c r="F744" s="25" t="s">
        <v>25</v>
      </c>
      <c r="G744" s="26">
        <v>4840</v>
      </c>
      <c r="H744" s="91" t="s">
        <v>26</v>
      </c>
      <c r="I744" s="25" t="s">
        <v>2204</v>
      </c>
      <c r="J744" s="25">
        <v>1652</v>
      </c>
      <c r="K744" s="25">
        <v>1652</v>
      </c>
      <c r="L744" s="28">
        <v>1815</v>
      </c>
      <c r="M744" s="29">
        <v>3084647</v>
      </c>
      <c r="N744" s="30">
        <v>0</v>
      </c>
      <c r="O744" s="30">
        <v>0</v>
      </c>
      <c r="P744" s="30">
        <v>0</v>
      </c>
      <c r="Q744" s="29">
        <v>0</v>
      </c>
      <c r="R744" s="29">
        <v>3084647</v>
      </c>
      <c r="S744" s="29">
        <v>3000</v>
      </c>
      <c r="T744" s="29">
        <f t="shared" si="46"/>
        <v>3087647</v>
      </c>
    </row>
    <row r="745" spans="1:20" ht="21" customHeight="1" x14ac:dyDescent="0.25">
      <c r="A745" s="21">
        <v>337</v>
      </c>
      <c r="B745" s="75" t="s">
        <v>2205</v>
      </c>
      <c r="C745" s="24" t="s">
        <v>2206</v>
      </c>
      <c r="D745" s="24" t="s">
        <v>30</v>
      </c>
      <c r="E745" s="24" t="s">
        <v>2207</v>
      </c>
      <c r="F745" s="25" t="s">
        <v>25</v>
      </c>
      <c r="G745" s="26">
        <v>500</v>
      </c>
      <c r="H745" s="91" t="s">
        <v>26</v>
      </c>
      <c r="I745" s="25" t="s">
        <v>2208</v>
      </c>
      <c r="J745" s="25">
        <v>0</v>
      </c>
      <c r="K745" s="25">
        <v>0</v>
      </c>
      <c r="L745" s="28">
        <v>188</v>
      </c>
      <c r="M745" s="29">
        <v>319512</v>
      </c>
      <c r="N745" s="30">
        <v>0</v>
      </c>
      <c r="O745" s="30">
        <v>0</v>
      </c>
      <c r="P745" s="30">
        <v>0</v>
      </c>
      <c r="Q745" s="29">
        <v>0</v>
      </c>
      <c r="R745" s="29">
        <v>319512</v>
      </c>
      <c r="S745" s="29">
        <v>3000</v>
      </c>
      <c r="T745" s="29">
        <f t="shared" si="46"/>
        <v>322512</v>
      </c>
    </row>
    <row r="746" spans="1:20" ht="21" customHeight="1" x14ac:dyDescent="0.25">
      <c r="A746" s="21">
        <v>338</v>
      </c>
      <c r="B746" s="75" t="s">
        <v>2209</v>
      </c>
      <c r="C746" s="24" t="s">
        <v>2210</v>
      </c>
      <c r="D746" s="24" t="s">
        <v>23</v>
      </c>
      <c r="E746" s="24" t="s">
        <v>2211</v>
      </c>
      <c r="F746" s="25" t="s">
        <v>25</v>
      </c>
      <c r="G746" s="26">
        <v>3080</v>
      </c>
      <c r="H746" s="91" t="s">
        <v>26</v>
      </c>
      <c r="I746" s="25" t="s">
        <v>2212</v>
      </c>
      <c r="J746" s="25">
        <v>1064</v>
      </c>
      <c r="K746" s="25">
        <v>1064</v>
      </c>
      <c r="L746" s="28">
        <v>1155</v>
      </c>
      <c r="M746" s="29">
        <v>1962957</v>
      </c>
      <c r="N746" s="30">
        <v>0</v>
      </c>
      <c r="O746" s="30">
        <v>0</v>
      </c>
      <c r="P746" s="30">
        <v>0</v>
      </c>
      <c r="Q746" s="29">
        <v>0</v>
      </c>
      <c r="R746" s="29">
        <v>1962957</v>
      </c>
      <c r="S746" s="29">
        <v>3000</v>
      </c>
      <c r="T746" s="29">
        <f t="shared" si="46"/>
        <v>1965957</v>
      </c>
    </row>
    <row r="747" spans="1:20" ht="21" customHeight="1" x14ac:dyDescent="0.25">
      <c r="A747" s="21">
        <v>339</v>
      </c>
      <c r="B747" s="75" t="s">
        <v>2213</v>
      </c>
      <c r="C747" s="24" t="s">
        <v>2214</v>
      </c>
      <c r="D747" s="24" t="s">
        <v>23</v>
      </c>
      <c r="E747" s="24" t="s">
        <v>2215</v>
      </c>
      <c r="F747" s="25" t="s">
        <v>25</v>
      </c>
      <c r="G747" s="26">
        <v>3440</v>
      </c>
      <c r="H747" s="91" t="s">
        <v>26</v>
      </c>
      <c r="I747" s="25" t="s">
        <v>2216</v>
      </c>
      <c r="J747" s="25">
        <v>1176</v>
      </c>
      <c r="K747" s="25">
        <v>1176</v>
      </c>
      <c r="L747" s="28">
        <v>1290</v>
      </c>
      <c r="M747" s="29">
        <v>2192394</v>
      </c>
      <c r="N747" s="30">
        <v>0</v>
      </c>
      <c r="O747" s="30">
        <v>0</v>
      </c>
      <c r="P747" s="30">
        <v>0</v>
      </c>
      <c r="Q747" s="29">
        <v>0</v>
      </c>
      <c r="R747" s="29">
        <v>2192394</v>
      </c>
      <c r="S747" s="29">
        <v>3000</v>
      </c>
      <c r="T747" s="29">
        <f t="shared" si="46"/>
        <v>2195394</v>
      </c>
    </row>
    <row r="748" spans="1:20" ht="21" customHeight="1" x14ac:dyDescent="0.25">
      <c r="A748" s="21">
        <v>340</v>
      </c>
      <c r="B748" s="75" t="s">
        <v>2217</v>
      </c>
      <c r="C748" s="24" t="s">
        <v>2218</v>
      </c>
      <c r="D748" s="24" t="s">
        <v>23</v>
      </c>
      <c r="E748" s="24" t="s">
        <v>1886</v>
      </c>
      <c r="F748" s="25" t="s">
        <v>25</v>
      </c>
      <c r="G748" s="26">
        <v>5600</v>
      </c>
      <c r="H748" s="91" t="s">
        <v>26</v>
      </c>
      <c r="I748" s="25" t="s">
        <v>2219</v>
      </c>
      <c r="J748" s="25">
        <v>1904</v>
      </c>
      <c r="K748" s="25">
        <v>1904</v>
      </c>
      <c r="L748" s="28">
        <v>2100</v>
      </c>
      <c r="M748" s="29">
        <v>3569013</v>
      </c>
      <c r="N748" s="30">
        <v>0</v>
      </c>
      <c r="O748" s="30">
        <v>0</v>
      </c>
      <c r="P748" s="30">
        <v>0</v>
      </c>
      <c r="Q748" s="29">
        <v>0</v>
      </c>
      <c r="R748" s="29">
        <v>3569013</v>
      </c>
      <c r="S748" s="29">
        <v>3000</v>
      </c>
      <c r="T748" s="29">
        <f t="shared" si="46"/>
        <v>3572013</v>
      </c>
    </row>
    <row r="749" spans="1:20" ht="21" customHeight="1" x14ac:dyDescent="0.25">
      <c r="A749" s="21">
        <v>341</v>
      </c>
      <c r="B749" s="75" t="s">
        <v>2220</v>
      </c>
      <c r="C749" s="24" t="s">
        <v>2221</v>
      </c>
      <c r="D749" s="24" t="s">
        <v>23</v>
      </c>
      <c r="E749" s="24" t="s">
        <v>1053</v>
      </c>
      <c r="F749" s="25" t="s">
        <v>25</v>
      </c>
      <c r="G749" s="26">
        <v>4860</v>
      </c>
      <c r="H749" s="91" t="s">
        <v>26</v>
      </c>
      <c r="I749" s="25" t="s">
        <v>2222</v>
      </c>
      <c r="J749" s="25">
        <v>1652</v>
      </c>
      <c r="K749" s="25">
        <v>1652</v>
      </c>
      <c r="L749" s="28">
        <v>1823</v>
      </c>
      <c r="M749" s="29">
        <v>3098243</v>
      </c>
      <c r="N749" s="30">
        <v>0</v>
      </c>
      <c r="O749" s="30">
        <v>0</v>
      </c>
      <c r="P749" s="30">
        <v>0</v>
      </c>
      <c r="Q749" s="29">
        <v>0</v>
      </c>
      <c r="R749" s="29">
        <v>3098243</v>
      </c>
      <c r="S749" s="29">
        <v>3000</v>
      </c>
      <c r="T749" s="29">
        <f t="shared" si="46"/>
        <v>3101243</v>
      </c>
    </row>
    <row r="750" spans="1:20" ht="21" customHeight="1" x14ac:dyDescent="0.25">
      <c r="A750" s="21">
        <v>342</v>
      </c>
      <c r="B750" s="75" t="s">
        <v>2223</v>
      </c>
      <c r="C750" s="24" t="s">
        <v>2224</v>
      </c>
      <c r="D750" s="24" t="s">
        <v>23</v>
      </c>
      <c r="E750" s="24" t="s">
        <v>1313</v>
      </c>
      <c r="F750" s="25" t="s">
        <v>25</v>
      </c>
      <c r="G750" s="26">
        <v>5040</v>
      </c>
      <c r="H750" s="91" t="s">
        <v>26</v>
      </c>
      <c r="I750" s="25" t="s">
        <v>2225</v>
      </c>
      <c r="J750" s="25">
        <v>1708</v>
      </c>
      <c r="K750" s="25">
        <v>1708</v>
      </c>
      <c r="L750" s="28">
        <v>1890</v>
      </c>
      <c r="M750" s="29">
        <v>3212112</v>
      </c>
      <c r="N750" s="30">
        <v>0</v>
      </c>
      <c r="O750" s="30">
        <v>0</v>
      </c>
      <c r="P750" s="30">
        <v>0</v>
      </c>
      <c r="Q750" s="29">
        <v>0</v>
      </c>
      <c r="R750" s="29">
        <v>3212112</v>
      </c>
      <c r="S750" s="29">
        <v>3000</v>
      </c>
      <c r="T750" s="29">
        <f t="shared" si="46"/>
        <v>3215112</v>
      </c>
    </row>
    <row r="751" spans="1:20" ht="21" customHeight="1" x14ac:dyDescent="0.25">
      <c r="A751" s="21">
        <v>343</v>
      </c>
      <c r="B751" s="75" t="s">
        <v>2226</v>
      </c>
      <c r="C751" s="24" t="s">
        <v>2227</v>
      </c>
      <c r="D751" s="24" t="s">
        <v>23</v>
      </c>
      <c r="E751" s="24" t="s">
        <v>1313</v>
      </c>
      <c r="F751" s="25" t="s">
        <v>25</v>
      </c>
      <c r="G751" s="26">
        <v>4270</v>
      </c>
      <c r="H751" s="91" t="s">
        <v>26</v>
      </c>
      <c r="I751" s="25" t="s">
        <v>2228</v>
      </c>
      <c r="J751" s="25">
        <v>1456</v>
      </c>
      <c r="K751" s="25">
        <v>1456</v>
      </c>
      <c r="L751" s="28">
        <v>1601</v>
      </c>
      <c r="M751" s="29">
        <v>2720948</v>
      </c>
      <c r="N751" s="30">
        <v>0</v>
      </c>
      <c r="O751" s="30">
        <v>0</v>
      </c>
      <c r="P751" s="30">
        <v>0</v>
      </c>
      <c r="Q751" s="29">
        <v>0</v>
      </c>
      <c r="R751" s="29">
        <v>2720948</v>
      </c>
      <c r="S751" s="29">
        <v>3000</v>
      </c>
      <c r="T751" s="29">
        <f t="shared" si="46"/>
        <v>2723948</v>
      </c>
    </row>
    <row r="752" spans="1:20" ht="21" customHeight="1" x14ac:dyDescent="0.25">
      <c r="A752" s="21">
        <v>344</v>
      </c>
      <c r="B752" s="75" t="s">
        <v>2229</v>
      </c>
      <c r="C752" s="24" t="s">
        <v>2230</v>
      </c>
      <c r="D752" s="24" t="s">
        <v>23</v>
      </c>
      <c r="E752" s="24" t="s">
        <v>1450</v>
      </c>
      <c r="F752" s="25" t="s">
        <v>25</v>
      </c>
      <c r="G752" s="26">
        <v>14930</v>
      </c>
      <c r="H752" s="91" t="s">
        <v>26</v>
      </c>
      <c r="I752" s="25" t="s">
        <v>2231</v>
      </c>
      <c r="J752" s="25">
        <v>5068</v>
      </c>
      <c r="K752" s="25">
        <v>5068</v>
      </c>
      <c r="L752" s="28">
        <v>5599</v>
      </c>
      <c r="M752" s="29">
        <v>9515668</v>
      </c>
      <c r="N752" s="30">
        <v>0</v>
      </c>
      <c r="O752" s="30">
        <v>0</v>
      </c>
      <c r="P752" s="30">
        <v>0</v>
      </c>
      <c r="Q752" s="29">
        <v>10000</v>
      </c>
      <c r="R752" s="29">
        <v>9525668</v>
      </c>
      <c r="S752" s="29">
        <v>3000</v>
      </c>
      <c r="T752" s="29">
        <f t="shared" si="46"/>
        <v>9528668</v>
      </c>
    </row>
    <row r="753" spans="1:20" ht="21" customHeight="1" x14ac:dyDescent="0.25">
      <c r="A753" s="21">
        <v>345</v>
      </c>
      <c r="B753" s="75" t="s">
        <v>2232</v>
      </c>
      <c r="C753" s="24" t="s">
        <v>2233</v>
      </c>
      <c r="D753" s="24" t="s">
        <v>23</v>
      </c>
      <c r="E753" s="24" t="s">
        <v>1450</v>
      </c>
      <c r="F753" s="25" t="s">
        <v>25</v>
      </c>
      <c r="G753" s="26">
        <v>7950</v>
      </c>
      <c r="H753" s="91" t="s">
        <v>26</v>
      </c>
      <c r="I753" s="25" t="s">
        <v>2234</v>
      </c>
      <c r="J753" s="25">
        <v>2716</v>
      </c>
      <c r="K753" s="25">
        <v>2716</v>
      </c>
      <c r="L753" s="28">
        <v>2981</v>
      </c>
      <c r="M753" s="29">
        <v>5066299</v>
      </c>
      <c r="N753" s="30">
        <v>0</v>
      </c>
      <c r="O753" s="30">
        <v>0</v>
      </c>
      <c r="P753" s="30">
        <v>0</v>
      </c>
      <c r="Q753" s="29">
        <v>10000</v>
      </c>
      <c r="R753" s="29">
        <v>5076299</v>
      </c>
      <c r="S753" s="29">
        <v>3000</v>
      </c>
      <c r="T753" s="29">
        <f t="shared" si="46"/>
        <v>5079299</v>
      </c>
    </row>
    <row r="754" spans="1:20" ht="21" customHeight="1" x14ac:dyDescent="0.25">
      <c r="A754" s="21">
        <v>346</v>
      </c>
      <c r="B754" s="75" t="s">
        <v>2235</v>
      </c>
      <c r="C754" s="24" t="s">
        <v>2236</v>
      </c>
      <c r="D754" s="24" t="s">
        <v>23</v>
      </c>
      <c r="E754" s="24" t="s">
        <v>2237</v>
      </c>
      <c r="F754" s="25" t="s">
        <v>25</v>
      </c>
      <c r="G754" s="26">
        <v>450</v>
      </c>
      <c r="H754" s="91" t="s">
        <v>26</v>
      </c>
      <c r="I754" s="25" t="s">
        <v>2238</v>
      </c>
      <c r="J754" s="25">
        <v>0</v>
      </c>
      <c r="K754" s="25">
        <v>0</v>
      </c>
      <c r="L754" s="28">
        <v>169</v>
      </c>
      <c r="M754" s="29">
        <v>287221</v>
      </c>
      <c r="N754" s="30">
        <v>0</v>
      </c>
      <c r="O754" s="30">
        <v>0</v>
      </c>
      <c r="P754" s="30">
        <v>0</v>
      </c>
      <c r="Q754" s="29">
        <v>0</v>
      </c>
      <c r="R754" s="29">
        <v>287221</v>
      </c>
      <c r="S754" s="29">
        <v>3000</v>
      </c>
      <c r="T754" s="29">
        <f t="shared" si="46"/>
        <v>290221</v>
      </c>
    </row>
    <row r="755" spans="1:20" ht="21" customHeight="1" x14ac:dyDescent="0.25">
      <c r="A755" s="21">
        <v>347</v>
      </c>
      <c r="B755" s="75" t="s">
        <v>2239</v>
      </c>
      <c r="C755" s="24" t="s">
        <v>2240</v>
      </c>
      <c r="D755" s="24" t="s">
        <v>30</v>
      </c>
      <c r="E755" s="24" t="s">
        <v>1228</v>
      </c>
      <c r="F755" s="25" t="s">
        <v>25</v>
      </c>
      <c r="G755" s="26">
        <v>15760</v>
      </c>
      <c r="H755" s="91" t="s">
        <v>26</v>
      </c>
      <c r="I755" s="25" t="s">
        <v>2241</v>
      </c>
      <c r="J755" s="25">
        <v>5348</v>
      </c>
      <c r="K755" s="25">
        <v>5348</v>
      </c>
      <c r="L755" s="28">
        <v>5910</v>
      </c>
      <c r="M755" s="29">
        <v>10044222</v>
      </c>
      <c r="N755" s="30">
        <v>0</v>
      </c>
      <c r="O755" s="30">
        <v>0</v>
      </c>
      <c r="P755" s="30">
        <v>0</v>
      </c>
      <c r="Q755" s="29">
        <v>10000</v>
      </c>
      <c r="R755" s="29">
        <v>10054222</v>
      </c>
      <c r="S755" s="29">
        <v>3000</v>
      </c>
      <c r="T755" s="29">
        <f t="shared" si="46"/>
        <v>10057222</v>
      </c>
    </row>
    <row r="756" spans="1:20" ht="21" customHeight="1" x14ac:dyDescent="0.25">
      <c r="A756" s="21">
        <v>348</v>
      </c>
      <c r="B756" s="75" t="s">
        <v>2242</v>
      </c>
      <c r="C756" s="24" t="s">
        <v>2243</v>
      </c>
      <c r="D756" s="24" t="s">
        <v>23</v>
      </c>
      <c r="E756" s="24" t="s">
        <v>1228</v>
      </c>
      <c r="F756" s="25" t="s">
        <v>25</v>
      </c>
      <c r="G756" s="26">
        <v>500</v>
      </c>
      <c r="H756" s="91" t="s">
        <v>26</v>
      </c>
      <c r="I756" s="25" t="s">
        <v>2244</v>
      </c>
      <c r="J756" s="25">
        <v>0</v>
      </c>
      <c r="K756" s="25">
        <v>0</v>
      </c>
      <c r="L756" s="28">
        <v>188</v>
      </c>
      <c r="M756" s="29">
        <v>319512</v>
      </c>
      <c r="N756" s="30">
        <v>0</v>
      </c>
      <c r="O756" s="30">
        <v>0</v>
      </c>
      <c r="P756" s="30">
        <v>0</v>
      </c>
      <c r="Q756" s="29">
        <v>0</v>
      </c>
      <c r="R756" s="29">
        <v>319512</v>
      </c>
      <c r="S756" s="29">
        <v>3000</v>
      </c>
      <c r="T756" s="29">
        <f t="shared" si="46"/>
        <v>322512</v>
      </c>
    </row>
    <row r="757" spans="1:20" ht="21" customHeight="1" x14ac:dyDescent="0.25">
      <c r="A757" s="21">
        <v>349</v>
      </c>
      <c r="B757" s="75" t="s">
        <v>2245</v>
      </c>
      <c r="C757" s="24" t="s">
        <v>2246</v>
      </c>
      <c r="D757" s="24" t="s">
        <v>30</v>
      </c>
      <c r="E757" s="24" t="s">
        <v>2247</v>
      </c>
      <c r="F757" s="25" t="s">
        <v>25</v>
      </c>
      <c r="G757" s="26">
        <v>500</v>
      </c>
      <c r="H757" s="91" t="s">
        <v>26</v>
      </c>
      <c r="I757" s="25" t="s">
        <v>2248</v>
      </c>
      <c r="J757" s="25">
        <v>0</v>
      </c>
      <c r="K757" s="25">
        <v>0</v>
      </c>
      <c r="L757" s="28">
        <v>188</v>
      </c>
      <c r="M757" s="29">
        <v>319512</v>
      </c>
      <c r="N757" s="30">
        <v>0</v>
      </c>
      <c r="O757" s="30">
        <v>0</v>
      </c>
      <c r="P757" s="30">
        <v>0</v>
      </c>
      <c r="Q757" s="29">
        <v>0</v>
      </c>
      <c r="R757" s="29">
        <v>319512</v>
      </c>
      <c r="S757" s="29">
        <v>3000</v>
      </c>
      <c r="T757" s="29">
        <f t="shared" si="46"/>
        <v>322512</v>
      </c>
    </row>
    <row r="758" spans="1:20" ht="21" customHeight="1" x14ac:dyDescent="0.25">
      <c r="A758" s="21">
        <v>350</v>
      </c>
      <c r="B758" s="75" t="s">
        <v>2249</v>
      </c>
      <c r="C758" s="24" t="s">
        <v>2250</v>
      </c>
      <c r="D758" s="24" t="s">
        <v>30</v>
      </c>
      <c r="E758" s="24" t="s">
        <v>1228</v>
      </c>
      <c r="F758" s="25" t="s">
        <v>25</v>
      </c>
      <c r="G758" s="26">
        <v>9760</v>
      </c>
      <c r="H758" s="91" t="s">
        <v>26</v>
      </c>
      <c r="I758" s="25" t="s">
        <v>2251</v>
      </c>
      <c r="J758" s="25">
        <v>3332</v>
      </c>
      <c r="K758" s="25">
        <v>3332</v>
      </c>
      <c r="L758" s="28">
        <v>3660</v>
      </c>
      <c r="M758" s="29">
        <v>6220280</v>
      </c>
      <c r="N758" s="30">
        <v>0</v>
      </c>
      <c r="O758" s="30">
        <v>0</v>
      </c>
      <c r="P758" s="30">
        <v>0</v>
      </c>
      <c r="Q758" s="29">
        <v>10000</v>
      </c>
      <c r="R758" s="29">
        <v>6230280</v>
      </c>
      <c r="S758" s="29">
        <v>3000</v>
      </c>
      <c r="T758" s="29">
        <f t="shared" si="46"/>
        <v>6233280</v>
      </c>
    </row>
    <row r="759" spans="1:20" ht="21" customHeight="1" x14ac:dyDescent="0.25">
      <c r="A759" s="21">
        <v>351</v>
      </c>
      <c r="B759" s="75" t="s">
        <v>2252</v>
      </c>
      <c r="C759" s="24" t="s">
        <v>2253</v>
      </c>
      <c r="D759" s="24" t="s">
        <v>30</v>
      </c>
      <c r="E759" s="24" t="s">
        <v>1313</v>
      </c>
      <c r="F759" s="25" t="s">
        <v>25</v>
      </c>
      <c r="G759" s="26">
        <v>2240</v>
      </c>
      <c r="H759" s="91" t="s">
        <v>26</v>
      </c>
      <c r="I759" s="25" t="s">
        <v>2254</v>
      </c>
      <c r="J759" s="25">
        <v>784</v>
      </c>
      <c r="K759" s="25">
        <v>784</v>
      </c>
      <c r="L759" s="28">
        <v>840</v>
      </c>
      <c r="M759" s="29">
        <v>1427605</v>
      </c>
      <c r="N759" s="30">
        <v>0</v>
      </c>
      <c r="O759" s="30">
        <v>0</v>
      </c>
      <c r="P759" s="30">
        <v>0</v>
      </c>
      <c r="Q759" s="29">
        <v>0</v>
      </c>
      <c r="R759" s="29">
        <v>1427605</v>
      </c>
      <c r="S759" s="29">
        <v>3000</v>
      </c>
      <c r="T759" s="29">
        <f t="shared" si="46"/>
        <v>1430605</v>
      </c>
    </row>
    <row r="760" spans="1:20" ht="21" customHeight="1" x14ac:dyDescent="0.25">
      <c r="A760" s="21">
        <v>352</v>
      </c>
      <c r="B760" s="75" t="s">
        <v>2255</v>
      </c>
      <c r="C760" s="24" t="s">
        <v>2256</v>
      </c>
      <c r="D760" s="24" t="s">
        <v>23</v>
      </c>
      <c r="E760" s="24" t="s">
        <v>1969</v>
      </c>
      <c r="F760" s="25" t="s">
        <v>25</v>
      </c>
      <c r="G760" s="26">
        <v>5080</v>
      </c>
      <c r="H760" s="91" t="s">
        <v>26</v>
      </c>
      <c r="I760" s="25" t="s">
        <v>2257</v>
      </c>
      <c r="J760" s="25">
        <v>1736</v>
      </c>
      <c r="K760" s="25">
        <v>1736</v>
      </c>
      <c r="L760" s="28">
        <v>1905</v>
      </c>
      <c r="M760" s="29">
        <v>3237605</v>
      </c>
      <c r="N760" s="30">
        <v>0</v>
      </c>
      <c r="O760" s="30">
        <v>0</v>
      </c>
      <c r="P760" s="30">
        <v>0</v>
      </c>
      <c r="Q760" s="29">
        <v>0</v>
      </c>
      <c r="R760" s="29">
        <v>3237605</v>
      </c>
      <c r="S760" s="29">
        <v>3000</v>
      </c>
      <c r="T760" s="29">
        <f t="shared" si="46"/>
        <v>3240605</v>
      </c>
    </row>
    <row r="761" spans="1:20" ht="21" customHeight="1" x14ac:dyDescent="0.25">
      <c r="A761" s="21">
        <v>353</v>
      </c>
      <c r="B761" s="75" t="s">
        <v>2258</v>
      </c>
      <c r="C761" s="24" t="s">
        <v>2259</v>
      </c>
      <c r="D761" s="24" t="s">
        <v>23</v>
      </c>
      <c r="E761" s="24" t="s">
        <v>1969</v>
      </c>
      <c r="F761" s="25" t="s">
        <v>25</v>
      </c>
      <c r="G761" s="26">
        <v>8380</v>
      </c>
      <c r="H761" s="91" t="s">
        <v>26</v>
      </c>
      <c r="I761" s="25" t="s">
        <v>2260</v>
      </c>
      <c r="J761" s="25">
        <v>2856</v>
      </c>
      <c r="K761" s="25">
        <v>2856</v>
      </c>
      <c r="L761" s="28">
        <v>3143</v>
      </c>
      <c r="M761" s="29">
        <v>5341623</v>
      </c>
      <c r="N761" s="30">
        <v>0</v>
      </c>
      <c r="O761" s="30">
        <v>0</v>
      </c>
      <c r="P761" s="30">
        <v>0</v>
      </c>
      <c r="Q761" s="29">
        <v>10000</v>
      </c>
      <c r="R761" s="29">
        <v>5351623</v>
      </c>
      <c r="S761" s="29">
        <v>3000</v>
      </c>
      <c r="T761" s="29">
        <f t="shared" si="46"/>
        <v>5354623</v>
      </c>
    </row>
    <row r="762" spans="1:20" ht="21" customHeight="1" x14ac:dyDescent="0.25">
      <c r="A762" s="21">
        <v>354</v>
      </c>
      <c r="B762" s="75" t="s">
        <v>2261</v>
      </c>
      <c r="C762" s="24" t="s">
        <v>2262</v>
      </c>
      <c r="D762" s="24" t="s">
        <v>23</v>
      </c>
      <c r="E762" s="24" t="s">
        <v>1363</v>
      </c>
      <c r="F762" s="25" t="s">
        <v>25</v>
      </c>
      <c r="G762" s="26">
        <v>560</v>
      </c>
      <c r="H762" s="91" t="s">
        <v>26</v>
      </c>
      <c r="I762" s="25" t="s">
        <v>2263</v>
      </c>
      <c r="J762" s="25">
        <v>0</v>
      </c>
      <c r="K762" s="25">
        <v>0</v>
      </c>
      <c r="L762" s="28">
        <v>210</v>
      </c>
      <c r="M762" s="29">
        <v>356901</v>
      </c>
      <c r="N762" s="30">
        <v>0</v>
      </c>
      <c r="O762" s="30">
        <v>0</v>
      </c>
      <c r="P762" s="30">
        <v>0</v>
      </c>
      <c r="Q762" s="29">
        <v>0</v>
      </c>
      <c r="R762" s="29">
        <v>356901</v>
      </c>
      <c r="S762" s="29">
        <v>3000</v>
      </c>
      <c r="T762" s="29">
        <f t="shared" si="46"/>
        <v>359901</v>
      </c>
    </row>
    <row r="763" spans="1:20" ht="21" customHeight="1" x14ac:dyDescent="0.25">
      <c r="A763" s="21">
        <v>355</v>
      </c>
      <c r="B763" s="75" t="s">
        <v>2264</v>
      </c>
      <c r="C763" s="24" t="s">
        <v>2265</v>
      </c>
      <c r="D763" s="24" t="s">
        <v>23</v>
      </c>
      <c r="E763" s="24" t="s">
        <v>2266</v>
      </c>
      <c r="F763" s="25" t="s">
        <v>25</v>
      </c>
      <c r="G763" s="26">
        <v>3520</v>
      </c>
      <c r="H763" s="91" t="s">
        <v>26</v>
      </c>
      <c r="I763" s="25" t="s">
        <v>2267</v>
      </c>
      <c r="J763" s="25">
        <v>1204</v>
      </c>
      <c r="K763" s="25">
        <v>1204</v>
      </c>
      <c r="L763" s="28">
        <v>1320</v>
      </c>
      <c r="M763" s="29">
        <v>2243380</v>
      </c>
      <c r="N763" s="30">
        <v>0</v>
      </c>
      <c r="O763" s="30">
        <v>0</v>
      </c>
      <c r="P763" s="30">
        <v>0</v>
      </c>
      <c r="Q763" s="29">
        <v>0</v>
      </c>
      <c r="R763" s="29">
        <v>2243380</v>
      </c>
      <c r="S763" s="29">
        <v>3000</v>
      </c>
      <c r="T763" s="29">
        <f t="shared" si="46"/>
        <v>2246380</v>
      </c>
    </row>
    <row r="764" spans="1:20" ht="21" customHeight="1" x14ac:dyDescent="0.25">
      <c r="A764" s="21">
        <v>356</v>
      </c>
      <c r="B764" s="75" t="s">
        <v>2268</v>
      </c>
      <c r="C764" s="24" t="s">
        <v>2269</v>
      </c>
      <c r="D764" s="24" t="s">
        <v>23</v>
      </c>
      <c r="E764" s="24" t="s">
        <v>2270</v>
      </c>
      <c r="F764" s="25" t="s">
        <v>25</v>
      </c>
      <c r="G764" s="26">
        <v>6160</v>
      </c>
      <c r="H764" s="91" t="s">
        <v>26</v>
      </c>
      <c r="I764" s="25" t="s">
        <v>2271</v>
      </c>
      <c r="J764" s="25">
        <v>2100</v>
      </c>
      <c r="K764" s="25">
        <v>2100</v>
      </c>
      <c r="L764" s="28">
        <v>2310</v>
      </c>
      <c r="M764" s="29">
        <v>3925914</v>
      </c>
      <c r="N764" s="30">
        <v>0</v>
      </c>
      <c r="O764" s="30">
        <v>0</v>
      </c>
      <c r="P764" s="30">
        <v>0</v>
      </c>
      <c r="Q764" s="29">
        <v>0</v>
      </c>
      <c r="R764" s="29">
        <v>3925914</v>
      </c>
      <c r="S764" s="29">
        <v>3000</v>
      </c>
      <c r="T764" s="29">
        <f t="shared" si="46"/>
        <v>3928914</v>
      </c>
    </row>
    <row r="765" spans="1:20" ht="21" customHeight="1" x14ac:dyDescent="0.25">
      <c r="A765" s="21">
        <v>357</v>
      </c>
      <c r="B765" s="75" t="s">
        <v>2272</v>
      </c>
      <c r="C765" s="24" t="s">
        <v>2273</v>
      </c>
      <c r="D765" s="24" t="s">
        <v>30</v>
      </c>
      <c r="E765" s="24" t="s">
        <v>1890</v>
      </c>
      <c r="F765" s="25" t="s">
        <v>25</v>
      </c>
      <c r="G765" s="26">
        <v>9520</v>
      </c>
      <c r="H765" s="91" t="s">
        <v>26</v>
      </c>
      <c r="I765" s="25" t="s">
        <v>2274</v>
      </c>
      <c r="J765" s="25">
        <v>3248</v>
      </c>
      <c r="K765" s="25">
        <v>3248</v>
      </c>
      <c r="L765" s="28">
        <v>3570</v>
      </c>
      <c r="M765" s="29">
        <v>6067322</v>
      </c>
      <c r="N765" s="30">
        <v>0</v>
      </c>
      <c r="O765" s="30">
        <v>0</v>
      </c>
      <c r="P765" s="30">
        <v>0</v>
      </c>
      <c r="Q765" s="29">
        <v>10000</v>
      </c>
      <c r="R765" s="29">
        <v>6077322</v>
      </c>
      <c r="S765" s="29">
        <v>3000</v>
      </c>
      <c r="T765" s="29">
        <f t="shared" si="46"/>
        <v>6080322</v>
      </c>
    </row>
    <row r="766" spans="1:20" ht="21" customHeight="1" x14ac:dyDescent="0.25">
      <c r="A766" s="21">
        <v>358</v>
      </c>
      <c r="B766" s="75" t="s">
        <v>2275</v>
      </c>
      <c r="C766" s="24" t="s">
        <v>2273</v>
      </c>
      <c r="D766" s="24" t="s">
        <v>23</v>
      </c>
      <c r="E766" s="24" t="s">
        <v>1890</v>
      </c>
      <c r="F766" s="25" t="s">
        <v>25</v>
      </c>
      <c r="G766" s="26">
        <v>9440</v>
      </c>
      <c r="H766" s="91" t="s">
        <v>26</v>
      </c>
      <c r="I766" s="25" t="s">
        <v>2276</v>
      </c>
      <c r="J766" s="25">
        <v>3220</v>
      </c>
      <c r="K766" s="25">
        <v>3220</v>
      </c>
      <c r="L766" s="28">
        <v>3540</v>
      </c>
      <c r="M766" s="29">
        <v>6016336</v>
      </c>
      <c r="N766" s="30">
        <v>0</v>
      </c>
      <c r="O766" s="30">
        <v>0</v>
      </c>
      <c r="P766" s="30">
        <v>0</v>
      </c>
      <c r="Q766" s="29">
        <v>10000</v>
      </c>
      <c r="R766" s="29">
        <v>6026336</v>
      </c>
      <c r="S766" s="29">
        <v>3000</v>
      </c>
      <c r="T766" s="29">
        <f t="shared" si="46"/>
        <v>6029336</v>
      </c>
    </row>
    <row r="767" spans="1:20" ht="21" customHeight="1" x14ac:dyDescent="0.25">
      <c r="A767" s="21">
        <v>359</v>
      </c>
      <c r="B767" s="75" t="s">
        <v>2277</v>
      </c>
      <c r="C767" s="24" t="s">
        <v>98</v>
      </c>
      <c r="D767" s="24" t="s">
        <v>23</v>
      </c>
      <c r="E767" s="24" t="s">
        <v>2278</v>
      </c>
      <c r="F767" s="25" t="s">
        <v>25</v>
      </c>
      <c r="G767" s="26">
        <v>4400</v>
      </c>
      <c r="H767" s="91" t="s">
        <v>26</v>
      </c>
      <c r="I767" s="25" t="s">
        <v>2279</v>
      </c>
      <c r="J767" s="25">
        <v>0</v>
      </c>
      <c r="K767" s="25">
        <v>0</v>
      </c>
      <c r="L767" s="28">
        <v>1650</v>
      </c>
      <c r="M767" s="29">
        <v>2804225</v>
      </c>
      <c r="N767" s="30">
        <v>0</v>
      </c>
      <c r="O767" s="30">
        <v>0</v>
      </c>
      <c r="P767" s="30">
        <v>0</v>
      </c>
      <c r="Q767" s="29">
        <v>0</v>
      </c>
      <c r="R767" s="29">
        <v>2804225</v>
      </c>
      <c r="S767" s="29">
        <v>3000</v>
      </c>
      <c r="T767" s="29">
        <f t="shared" si="46"/>
        <v>2807225</v>
      </c>
    </row>
    <row r="768" spans="1:20" ht="21" customHeight="1" x14ac:dyDescent="0.25">
      <c r="A768" s="21">
        <v>360</v>
      </c>
      <c r="B768" s="75" t="s">
        <v>2280</v>
      </c>
      <c r="C768" s="24" t="s">
        <v>2281</v>
      </c>
      <c r="D768" s="24" t="s">
        <v>30</v>
      </c>
      <c r="E768" s="24" t="s">
        <v>1986</v>
      </c>
      <c r="F768" s="25" t="s">
        <v>25</v>
      </c>
      <c r="G768" s="26">
        <v>9360</v>
      </c>
      <c r="H768" s="91" t="s">
        <v>26</v>
      </c>
      <c r="I768" s="25" t="s">
        <v>2282</v>
      </c>
      <c r="J768" s="25">
        <v>3192</v>
      </c>
      <c r="K768" s="25">
        <v>3192</v>
      </c>
      <c r="L768" s="28">
        <v>3510</v>
      </c>
      <c r="M768" s="29">
        <v>5965350</v>
      </c>
      <c r="N768" s="30">
        <v>0</v>
      </c>
      <c r="O768" s="30">
        <v>0</v>
      </c>
      <c r="P768" s="30">
        <v>0</v>
      </c>
      <c r="Q768" s="29">
        <v>10000</v>
      </c>
      <c r="R768" s="29">
        <v>5975350</v>
      </c>
      <c r="S768" s="29">
        <v>3000</v>
      </c>
      <c r="T768" s="29">
        <f t="shared" si="46"/>
        <v>5978350</v>
      </c>
    </row>
    <row r="769" spans="1:20" s="35" customFormat="1" ht="21" customHeight="1" x14ac:dyDescent="0.25">
      <c r="A769" s="22"/>
      <c r="B769" s="22"/>
      <c r="C769" s="22"/>
      <c r="D769" s="22"/>
      <c r="E769" s="22"/>
      <c r="F769" s="25"/>
      <c r="G769" s="26"/>
      <c r="H769" s="28"/>
      <c r="I769" s="25"/>
      <c r="J769" s="25"/>
      <c r="K769" s="25"/>
      <c r="L769" s="28"/>
      <c r="M769" s="29"/>
      <c r="N769" s="48"/>
      <c r="O769" s="48"/>
      <c r="P769" s="48"/>
      <c r="Q769" s="47"/>
      <c r="R769" s="47"/>
      <c r="S769" s="47"/>
      <c r="T769" s="47"/>
    </row>
    <row r="770" spans="1:20" ht="37.5" customHeight="1" x14ac:dyDescent="0.25">
      <c r="A770" s="44" t="s">
        <v>179</v>
      </c>
      <c r="B770" s="20"/>
      <c r="C770" s="20"/>
      <c r="D770" s="20"/>
      <c r="E770" s="20"/>
      <c r="F770" s="20"/>
      <c r="G770" s="70">
        <v>1575940</v>
      </c>
      <c r="H770" s="70">
        <v>0</v>
      </c>
      <c r="I770" s="70">
        <v>0</v>
      </c>
      <c r="J770" s="70"/>
      <c r="K770" s="70"/>
      <c r="L770" s="70">
        <v>380879</v>
      </c>
      <c r="M770" s="70">
        <v>647315286</v>
      </c>
      <c r="N770" s="70">
        <v>0</v>
      </c>
      <c r="O770" s="70">
        <v>0</v>
      </c>
      <c r="P770" s="70">
        <v>0</v>
      </c>
      <c r="Q770" s="152">
        <f>SUM(Q727:Q769)</f>
        <v>100000</v>
      </c>
      <c r="R770" s="152">
        <f t="shared" ref="R770:T770" si="47">SUM(R727:R769)</f>
        <v>647415286</v>
      </c>
      <c r="S770" s="152">
        <f t="shared" si="47"/>
        <v>1080000</v>
      </c>
      <c r="T770" s="152">
        <f t="shared" si="47"/>
        <v>648495286</v>
      </c>
    </row>
    <row r="771" spans="1:20" ht="21" customHeight="1" x14ac:dyDescent="0.25">
      <c r="A771" s="96"/>
      <c r="B771" s="97"/>
      <c r="C771" s="15"/>
      <c r="H771" s="100"/>
      <c r="L771" s="41"/>
    </row>
    <row r="772" spans="1:20" ht="21" customHeight="1" x14ac:dyDescent="0.25">
      <c r="A772" s="96"/>
      <c r="B772" s="93"/>
      <c r="C772" s="94"/>
      <c r="D772" s="94"/>
      <c r="E772" s="94"/>
      <c r="F772" s="93"/>
      <c r="G772" s="93"/>
      <c r="L772" s="41"/>
    </row>
    <row r="773" spans="1:20" s="93" customFormat="1" ht="42" customHeight="1" x14ac:dyDescent="0.25">
      <c r="A773" s="31" t="s">
        <v>4</v>
      </c>
      <c r="B773" s="31" t="s">
        <v>5</v>
      </c>
      <c r="C773" s="31" t="s">
        <v>6</v>
      </c>
      <c r="D773" s="22"/>
      <c r="E773" s="31" t="s">
        <v>7</v>
      </c>
      <c r="F773" s="31" t="s">
        <v>8</v>
      </c>
      <c r="G773" s="31" t="s">
        <v>9</v>
      </c>
      <c r="H773" s="31" t="s">
        <v>10</v>
      </c>
      <c r="I773" s="31" t="s">
        <v>11</v>
      </c>
      <c r="J773" s="31" t="s">
        <v>12</v>
      </c>
      <c r="K773" s="31" t="s">
        <v>13</v>
      </c>
      <c r="L773" s="31" t="s">
        <v>14</v>
      </c>
      <c r="M773" s="141" t="s">
        <v>15</v>
      </c>
      <c r="N773" s="142" t="s">
        <v>16</v>
      </c>
      <c r="O773" s="142" t="s">
        <v>17</v>
      </c>
      <c r="P773" s="142" t="s">
        <v>18</v>
      </c>
      <c r="Q773" s="141" t="s">
        <v>19</v>
      </c>
      <c r="R773" s="141" t="s">
        <v>20</v>
      </c>
      <c r="S773" s="141" t="s">
        <v>3655</v>
      </c>
      <c r="T773" s="141" t="s">
        <v>3656</v>
      </c>
    </row>
    <row r="774" spans="1:20" ht="21" customHeight="1" x14ac:dyDescent="0.25">
      <c r="A774" s="21"/>
      <c r="B774" s="22"/>
      <c r="C774" s="23"/>
      <c r="D774" s="23"/>
      <c r="E774" s="23"/>
      <c r="F774" s="22"/>
      <c r="G774" s="22"/>
      <c r="H774" s="27"/>
      <c r="I774" s="25"/>
      <c r="J774" s="25"/>
      <c r="K774" s="25"/>
      <c r="L774" s="28"/>
      <c r="M774" s="29"/>
      <c r="N774" s="30"/>
      <c r="O774" s="30"/>
      <c r="P774" s="30"/>
      <c r="Q774" s="29"/>
      <c r="R774" s="29"/>
      <c r="S774" s="29"/>
      <c r="T774" s="29"/>
    </row>
    <row r="775" spans="1:20" ht="21" customHeight="1" x14ac:dyDescent="0.25">
      <c r="A775" s="21"/>
      <c r="B775" s="22"/>
      <c r="C775" s="23"/>
      <c r="D775" s="23"/>
      <c r="E775" s="45" t="s">
        <v>181</v>
      </c>
      <c r="F775" s="22"/>
      <c r="G775" s="32">
        <v>1575940</v>
      </c>
      <c r="H775" s="32">
        <v>0</v>
      </c>
      <c r="I775" s="32">
        <v>0</v>
      </c>
      <c r="J775" s="32"/>
      <c r="K775" s="32"/>
      <c r="L775" s="32">
        <v>380879</v>
      </c>
      <c r="M775" s="33">
        <v>647315286</v>
      </c>
      <c r="N775" s="34">
        <v>0</v>
      </c>
      <c r="O775" s="34">
        <v>0</v>
      </c>
      <c r="P775" s="34">
        <v>0</v>
      </c>
      <c r="Q775" s="33">
        <f>Q770</f>
        <v>100000</v>
      </c>
      <c r="R775" s="33">
        <f t="shared" ref="R775:T775" si="48">R770</f>
        <v>647415286</v>
      </c>
      <c r="S775" s="33">
        <f t="shared" si="48"/>
        <v>1080000</v>
      </c>
      <c r="T775" s="33">
        <f t="shared" si="48"/>
        <v>648495286</v>
      </c>
    </row>
    <row r="776" spans="1:20" ht="21" customHeight="1" x14ac:dyDescent="0.25">
      <c r="A776" s="21">
        <v>361</v>
      </c>
      <c r="B776" s="75" t="s">
        <v>2283</v>
      </c>
      <c r="C776" s="24" t="s">
        <v>2284</v>
      </c>
      <c r="D776" s="24" t="s">
        <v>23</v>
      </c>
      <c r="E776" s="24" t="s">
        <v>2069</v>
      </c>
      <c r="F776" s="25" t="s">
        <v>25</v>
      </c>
      <c r="G776" s="26">
        <v>13920</v>
      </c>
      <c r="H776" s="91" t="s">
        <v>26</v>
      </c>
      <c r="I776" s="25" t="s">
        <v>2285</v>
      </c>
      <c r="J776" s="25">
        <v>4732</v>
      </c>
      <c r="K776" s="25">
        <v>4732</v>
      </c>
      <c r="L776" s="28">
        <v>5220</v>
      </c>
      <c r="M776" s="29">
        <v>8871547</v>
      </c>
      <c r="N776" s="30">
        <v>0</v>
      </c>
      <c r="O776" s="30">
        <v>0</v>
      </c>
      <c r="P776" s="30">
        <v>0</v>
      </c>
      <c r="Q776" s="29">
        <v>10000</v>
      </c>
      <c r="R776" s="29">
        <v>8881547</v>
      </c>
      <c r="S776" s="29">
        <v>3000</v>
      </c>
      <c r="T776" s="29">
        <f t="shared" ref="T776:T784" si="49">R776+S776</f>
        <v>8884547</v>
      </c>
    </row>
    <row r="777" spans="1:20" ht="21" customHeight="1" x14ac:dyDescent="0.25">
      <c r="A777" s="21">
        <v>362</v>
      </c>
      <c r="B777" s="75" t="s">
        <v>2286</v>
      </c>
      <c r="C777" s="24" t="s">
        <v>2287</v>
      </c>
      <c r="D777" s="24" t="s">
        <v>23</v>
      </c>
      <c r="E777" s="24" t="s">
        <v>2288</v>
      </c>
      <c r="F777" s="25" t="s">
        <v>25</v>
      </c>
      <c r="G777" s="26">
        <v>1840</v>
      </c>
      <c r="H777" s="91" t="s">
        <v>26</v>
      </c>
      <c r="I777" s="25" t="s">
        <v>2289</v>
      </c>
      <c r="J777" s="25">
        <v>0</v>
      </c>
      <c r="K777" s="25">
        <v>0</v>
      </c>
      <c r="L777" s="28">
        <v>690</v>
      </c>
      <c r="M777" s="29">
        <v>1172676</v>
      </c>
      <c r="N777" s="30">
        <v>0</v>
      </c>
      <c r="O777" s="30">
        <v>0</v>
      </c>
      <c r="P777" s="30">
        <v>0</v>
      </c>
      <c r="Q777" s="29">
        <v>0</v>
      </c>
      <c r="R777" s="29">
        <v>1172676</v>
      </c>
      <c r="S777" s="29">
        <v>3000</v>
      </c>
      <c r="T777" s="29">
        <f t="shared" si="49"/>
        <v>1175676</v>
      </c>
    </row>
    <row r="778" spans="1:20" ht="21" customHeight="1" x14ac:dyDescent="0.25">
      <c r="A778" s="21">
        <v>363</v>
      </c>
      <c r="B778" s="75" t="s">
        <v>2290</v>
      </c>
      <c r="C778" s="24" t="s">
        <v>2291</v>
      </c>
      <c r="D778" s="24" t="s">
        <v>23</v>
      </c>
      <c r="E778" s="24" t="s">
        <v>2292</v>
      </c>
      <c r="F778" s="25" t="s">
        <v>25</v>
      </c>
      <c r="G778" s="26">
        <v>3620</v>
      </c>
      <c r="H778" s="91" t="s">
        <v>26</v>
      </c>
      <c r="I778" s="25" t="s">
        <v>2293</v>
      </c>
      <c r="J778" s="25">
        <v>1232</v>
      </c>
      <c r="K778" s="25">
        <v>1232</v>
      </c>
      <c r="L778" s="28">
        <v>1358</v>
      </c>
      <c r="M778" s="29">
        <v>2307962</v>
      </c>
      <c r="N778" s="30">
        <v>0</v>
      </c>
      <c r="O778" s="30">
        <v>0</v>
      </c>
      <c r="P778" s="30">
        <v>0</v>
      </c>
      <c r="Q778" s="29">
        <v>0</v>
      </c>
      <c r="R778" s="29">
        <v>2307962</v>
      </c>
      <c r="S778" s="29">
        <v>3000</v>
      </c>
      <c r="T778" s="29">
        <f t="shared" si="49"/>
        <v>2310962</v>
      </c>
    </row>
    <row r="779" spans="1:20" ht="21" customHeight="1" x14ac:dyDescent="0.25">
      <c r="A779" s="21">
        <v>364</v>
      </c>
      <c r="B779" s="75" t="s">
        <v>2294</v>
      </c>
      <c r="C779" s="24" t="s">
        <v>2295</v>
      </c>
      <c r="D779" s="24" t="s">
        <v>23</v>
      </c>
      <c r="E779" s="24" t="s">
        <v>2292</v>
      </c>
      <c r="F779" s="25" t="s">
        <v>25</v>
      </c>
      <c r="G779" s="26">
        <v>7700</v>
      </c>
      <c r="H779" s="91" t="s">
        <v>26</v>
      </c>
      <c r="I779" s="25" t="s">
        <v>2296</v>
      </c>
      <c r="J779" s="25">
        <v>0</v>
      </c>
      <c r="K779" s="25">
        <v>0</v>
      </c>
      <c r="L779" s="28">
        <v>2888</v>
      </c>
      <c r="M779" s="29">
        <v>4908243</v>
      </c>
      <c r="N779" s="30">
        <v>0</v>
      </c>
      <c r="O779" s="30">
        <v>0</v>
      </c>
      <c r="P779" s="30">
        <v>0</v>
      </c>
      <c r="Q779" s="29">
        <v>0</v>
      </c>
      <c r="R779" s="29">
        <v>4908243</v>
      </c>
      <c r="S779" s="29">
        <v>3000</v>
      </c>
      <c r="T779" s="29">
        <f t="shared" si="49"/>
        <v>4911243</v>
      </c>
    </row>
    <row r="780" spans="1:20" ht="21" customHeight="1" x14ac:dyDescent="0.25">
      <c r="A780" s="21">
        <v>365</v>
      </c>
      <c r="B780" s="75" t="s">
        <v>2297</v>
      </c>
      <c r="C780" s="24" t="s">
        <v>2298</v>
      </c>
      <c r="D780" s="24" t="s">
        <v>30</v>
      </c>
      <c r="E780" s="24" t="s">
        <v>2278</v>
      </c>
      <c r="F780" s="25" t="s">
        <v>25</v>
      </c>
      <c r="G780" s="26">
        <v>5500</v>
      </c>
      <c r="H780" s="91" t="s">
        <v>26</v>
      </c>
      <c r="I780" s="25" t="s">
        <v>2299</v>
      </c>
      <c r="J780" s="25">
        <v>1876</v>
      </c>
      <c r="K780" s="25">
        <v>1876</v>
      </c>
      <c r="L780" s="28">
        <v>2063</v>
      </c>
      <c r="M780" s="29">
        <v>3506130</v>
      </c>
      <c r="N780" s="30">
        <v>0</v>
      </c>
      <c r="O780" s="30">
        <v>0</v>
      </c>
      <c r="P780" s="30">
        <v>0</v>
      </c>
      <c r="Q780" s="29">
        <v>0</v>
      </c>
      <c r="R780" s="29">
        <v>3506130</v>
      </c>
      <c r="S780" s="29">
        <v>3000</v>
      </c>
      <c r="T780" s="29">
        <f t="shared" si="49"/>
        <v>3509130</v>
      </c>
    </row>
    <row r="781" spans="1:20" ht="21" customHeight="1" x14ac:dyDescent="0.25">
      <c r="A781" s="21">
        <v>366</v>
      </c>
      <c r="B781" s="75" t="s">
        <v>2300</v>
      </c>
      <c r="C781" s="24" t="s">
        <v>2301</v>
      </c>
      <c r="D781" s="24" t="s">
        <v>23</v>
      </c>
      <c r="E781" s="24" t="s">
        <v>2278</v>
      </c>
      <c r="F781" s="25" t="s">
        <v>25</v>
      </c>
      <c r="G781" s="26">
        <v>2000</v>
      </c>
      <c r="H781" s="91" t="s">
        <v>26</v>
      </c>
      <c r="I781" s="25" t="s">
        <v>2302</v>
      </c>
      <c r="J781" s="25">
        <v>0</v>
      </c>
      <c r="K781" s="25">
        <v>0</v>
      </c>
      <c r="L781" s="28">
        <v>750</v>
      </c>
      <c r="M781" s="29">
        <v>1274648</v>
      </c>
      <c r="N781" s="30">
        <v>0</v>
      </c>
      <c r="O781" s="30">
        <v>0</v>
      </c>
      <c r="P781" s="30">
        <v>0</v>
      </c>
      <c r="Q781" s="29">
        <v>0</v>
      </c>
      <c r="R781" s="29">
        <v>1274648</v>
      </c>
      <c r="S781" s="29">
        <v>3000</v>
      </c>
      <c r="T781" s="29">
        <f t="shared" si="49"/>
        <v>1277648</v>
      </c>
    </row>
    <row r="782" spans="1:20" ht="21" customHeight="1" x14ac:dyDescent="0.25">
      <c r="A782" s="21">
        <v>367</v>
      </c>
      <c r="B782" s="75" t="s">
        <v>2303</v>
      </c>
      <c r="C782" s="24" t="s">
        <v>98</v>
      </c>
      <c r="D782" s="24" t="s">
        <v>23</v>
      </c>
      <c r="E782" s="24" t="s">
        <v>2278</v>
      </c>
      <c r="F782" s="25" t="s">
        <v>25</v>
      </c>
      <c r="G782" s="26">
        <v>4400</v>
      </c>
      <c r="H782" s="91" t="s">
        <v>26</v>
      </c>
      <c r="I782" s="25" t="s">
        <v>2304</v>
      </c>
      <c r="J782" s="25">
        <v>1512</v>
      </c>
      <c r="K782" s="25">
        <v>1512</v>
      </c>
      <c r="L782" s="28">
        <v>1650</v>
      </c>
      <c r="M782" s="29">
        <v>2804225</v>
      </c>
      <c r="N782" s="30">
        <v>0</v>
      </c>
      <c r="O782" s="30">
        <v>0</v>
      </c>
      <c r="P782" s="30">
        <v>0</v>
      </c>
      <c r="Q782" s="29">
        <v>0</v>
      </c>
      <c r="R782" s="29">
        <v>2804225</v>
      </c>
      <c r="S782" s="29">
        <v>3000</v>
      </c>
      <c r="T782" s="29">
        <f t="shared" si="49"/>
        <v>2807225</v>
      </c>
    </row>
    <row r="783" spans="1:20" ht="21" customHeight="1" x14ac:dyDescent="0.25">
      <c r="A783" s="21">
        <v>368</v>
      </c>
      <c r="B783" s="75" t="s">
        <v>2305</v>
      </c>
      <c r="C783" s="24" t="s">
        <v>2306</v>
      </c>
      <c r="D783" s="24" t="s">
        <v>23</v>
      </c>
      <c r="E783" s="24" t="s">
        <v>2307</v>
      </c>
      <c r="F783" s="25" t="s">
        <v>25</v>
      </c>
      <c r="G783" s="26">
        <v>5240</v>
      </c>
      <c r="H783" s="91" t="s">
        <v>26</v>
      </c>
      <c r="I783" s="25" t="s">
        <v>2308</v>
      </c>
      <c r="J783" s="25">
        <v>1792</v>
      </c>
      <c r="K783" s="25">
        <v>1792</v>
      </c>
      <c r="L783" s="28">
        <v>1965</v>
      </c>
      <c r="M783" s="29">
        <v>3339576</v>
      </c>
      <c r="N783" s="30">
        <v>0</v>
      </c>
      <c r="O783" s="30">
        <v>0</v>
      </c>
      <c r="P783" s="30">
        <v>0</v>
      </c>
      <c r="Q783" s="29">
        <v>0</v>
      </c>
      <c r="R783" s="29">
        <v>3339576</v>
      </c>
      <c r="S783" s="29">
        <v>3000</v>
      </c>
      <c r="T783" s="29">
        <f t="shared" si="49"/>
        <v>3342576</v>
      </c>
    </row>
    <row r="784" spans="1:20" ht="21" customHeight="1" x14ac:dyDescent="0.25">
      <c r="A784" s="21">
        <v>369</v>
      </c>
      <c r="B784" s="75" t="s">
        <v>2309</v>
      </c>
      <c r="C784" s="24" t="s">
        <v>2310</v>
      </c>
      <c r="D784" s="101" t="s">
        <v>84</v>
      </c>
      <c r="E784" s="102" t="s">
        <v>2311</v>
      </c>
      <c r="F784" s="25" t="s">
        <v>25</v>
      </c>
      <c r="G784" s="26">
        <v>1300</v>
      </c>
      <c r="H784" s="91" t="s">
        <v>26</v>
      </c>
      <c r="I784" s="25" t="s">
        <v>2312</v>
      </c>
      <c r="J784" s="25">
        <v>152</v>
      </c>
      <c r="K784" s="25">
        <v>309</v>
      </c>
      <c r="L784" s="28">
        <v>157</v>
      </c>
      <c r="M784" s="29">
        <v>266826</v>
      </c>
      <c r="N784" s="30">
        <v>0</v>
      </c>
      <c r="O784" s="30">
        <v>0</v>
      </c>
      <c r="P784" s="30">
        <v>0</v>
      </c>
      <c r="Q784" s="29">
        <v>0</v>
      </c>
      <c r="R784" s="29">
        <v>266826</v>
      </c>
      <c r="S784" s="29">
        <v>3000</v>
      </c>
      <c r="T784" s="29">
        <f t="shared" si="49"/>
        <v>269826</v>
      </c>
    </row>
    <row r="785" spans="1:20" ht="21" customHeight="1" x14ac:dyDescent="0.25">
      <c r="A785" s="21"/>
      <c r="B785" s="75"/>
      <c r="C785" s="24"/>
      <c r="D785" s="103"/>
      <c r="E785" s="104"/>
      <c r="F785" s="25"/>
      <c r="G785" s="56"/>
      <c r="H785" s="91"/>
      <c r="I785" s="25"/>
      <c r="J785" s="25"/>
      <c r="K785" s="25"/>
      <c r="L785" s="28"/>
      <c r="M785" s="29"/>
      <c r="N785" s="30"/>
      <c r="O785" s="30"/>
      <c r="P785" s="30"/>
      <c r="Q785" s="29"/>
      <c r="R785" s="29"/>
      <c r="S785" s="29"/>
      <c r="T785" s="29"/>
    </row>
    <row r="786" spans="1:20" ht="36.75" customHeight="1" x14ac:dyDescent="0.25">
      <c r="A786" s="44" t="s">
        <v>2313</v>
      </c>
      <c r="B786" s="20"/>
      <c r="C786" s="20"/>
      <c r="D786" s="105"/>
      <c r="E786" s="106"/>
      <c r="F786" s="20"/>
      <c r="G786" s="46">
        <v>1621460</v>
      </c>
      <c r="H786" s="46">
        <v>0</v>
      </c>
      <c r="I786" s="46">
        <v>0</v>
      </c>
      <c r="J786" s="46"/>
      <c r="K786" s="46"/>
      <c r="L786" s="46">
        <v>397620</v>
      </c>
      <c r="M786" s="46">
        <v>675767119</v>
      </c>
      <c r="N786" s="46">
        <v>0</v>
      </c>
      <c r="O786" s="46">
        <v>0</v>
      </c>
      <c r="P786" s="46">
        <v>0</v>
      </c>
      <c r="Q786" s="152">
        <f>SUM(Q774:Q785)</f>
        <v>110000</v>
      </c>
      <c r="R786" s="152">
        <f t="shared" ref="R786:T786" si="50">SUM(R774:R785)</f>
        <v>675877119</v>
      </c>
      <c r="S786" s="152">
        <f t="shared" si="50"/>
        <v>1107000</v>
      </c>
      <c r="T786" s="152">
        <f t="shared" si="50"/>
        <v>676984119</v>
      </c>
    </row>
    <row r="787" spans="1:20" ht="21" customHeight="1" x14ac:dyDescent="0.25">
      <c r="A787" s="107"/>
      <c r="B787" s="18"/>
      <c r="C787" s="18"/>
      <c r="D787" s="18"/>
      <c r="E787" s="18"/>
      <c r="F787" s="18"/>
      <c r="G787" s="49"/>
      <c r="H787" s="49"/>
      <c r="I787" s="49"/>
      <c r="J787" s="49"/>
      <c r="K787" s="49"/>
      <c r="L787" s="38"/>
    </row>
    <row r="788" spans="1:20" ht="21" customHeight="1" x14ac:dyDescent="0.25">
      <c r="A788" s="107"/>
      <c r="B788" s="18"/>
      <c r="C788" s="18"/>
      <c r="D788" s="18"/>
      <c r="E788" s="18"/>
      <c r="F788" s="18"/>
      <c r="G788" s="49"/>
      <c r="H788" s="49"/>
      <c r="I788" s="49"/>
      <c r="J788" s="49"/>
      <c r="K788" s="49"/>
      <c r="L788" s="38"/>
    </row>
    <row r="789" spans="1:20" ht="21" customHeight="1" x14ac:dyDescent="0.25">
      <c r="A789" s="108" t="s">
        <v>2314</v>
      </c>
      <c r="C789" s="15"/>
      <c r="D789" s="15"/>
      <c r="E789" s="15"/>
      <c r="G789" s="53"/>
      <c r="L789" s="41"/>
    </row>
    <row r="790" spans="1:20" s="93" customFormat="1" ht="42" customHeight="1" x14ac:dyDescent="0.25">
      <c r="A790" s="31" t="s">
        <v>4</v>
      </c>
      <c r="B790" s="31" t="s">
        <v>5</v>
      </c>
      <c r="C790" s="31" t="s">
        <v>6</v>
      </c>
      <c r="D790" s="22"/>
      <c r="E790" s="31" t="s">
        <v>7</v>
      </c>
      <c r="F790" s="31" t="s">
        <v>8</v>
      </c>
      <c r="G790" s="31" t="s">
        <v>9</v>
      </c>
      <c r="H790" s="31" t="s">
        <v>10</v>
      </c>
      <c r="I790" s="31" t="s">
        <v>11</v>
      </c>
      <c r="J790" s="31" t="s">
        <v>12</v>
      </c>
      <c r="K790" s="31" t="s">
        <v>13</v>
      </c>
      <c r="L790" s="31" t="s">
        <v>14</v>
      </c>
      <c r="M790" s="141" t="s">
        <v>15</v>
      </c>
      <c r="N790" s="142" t="s">
        <v>16</v>
      </c>
      <c r="O790" s="142" t="s">
        <v>17</v>
      </c>
      <c r="P790" s="142" t="s">
        <v>18</v>
      </c>
      <c r="Q790" s="141" t="s">
        <v>19</v>
      </c>
      <c r="R790" s="141" t="s">
        <v>20</v>
      </c>
      <c r="S790" s="141" t="s">
        <v>3655</v>
      </c>
      <c r="T790" s="141" t="s">
        <v>3656</v>
      </c>
    </row>
    <row r="791" spans="1:20" ht="21" customHeight="1" x14ac:dyDescent="0.25">
      <c r="A791" s="60"/>
      <c r="B791" s="20"/>
      <c r="C791" s="45"/>
      <c r="D791" s="45"/>
      <c r="E791" s="45"/>
      <c r="F791" s="25"/>
      <c r="G791" s="55"/>
      <c r="H791" s="55"/>
      <c r="I791" s="25"/>
      <c r="J791" s="25"/>
      <c r="K791" s="25"/>
      <c r="L791" s="28"/>
      <c r="M791" s="29"/>
      <c r="N791" s="30"/>
      <c r="O791" s="30"/>
      <c r="P791" s="30"/>
      <c r="Q791" s="29"/>
      <c r="R791" s="29"/>
      <c r="S791" s="29"/>
      <c r="T791" s="29"/>
    </row>
    <row r="792" spans="1:20" ht="21" customHeight="1" x14ac:dyDescent="0.25">
      <c r="A792" s="21">
        <v>1</v>
      </c>
      <c r="B792" s="109">
        <v>514100536137</v>
      </c>
      <c r="C792" s="110" t="s">
        <v>370</v>
      </c>
      <c r="D792" s="23" t="s">
        <v>23</v>
      </c>
      <c r="E792" s="2" t="s">
        <v>371</v>
      </c>
      <c r="F792" s="1" t="s">
        <v>25</v>
      </c>
      <c r="G792" s="8">
        <v>4310</v>
      </c>
      <c r="H792" s="61" t="s">
        <v>26</v>
      </c>
      <c r="I792" s="61" t="s">
        <v>2315</v>
      </c>
      <c r="J792" s="11">
        <v>87415</v>
      </c>
      <c r="K792" s="11">
        <v>88907</v>
      </c>
      <c r="L792" s="11">
        <v>1492</v>
      </c>
      <c r="M792" s="51">
        <v>2535699</v>
      </c>
      <c r="N792" s="51">
        <v>0</v>
      </c>
      <c r="O792" s="51">
        <v>0</v>
      </c>
      <c r="P792" s="30">
        <v>0</v>
      </c>
      <c r="Q792" s="29">
        <v>0</v>
      </c>
      <c r="R792" s="29">
        <v>2535699</v>
      </c>
      <c r="S792" s="29">
        <v>3000</v>
      </c>
      <c r="T792" s="29">
        <f t="shared" ref="T792:T831" si="51">R792+S792</f>
        <v>2538699</v>
      </c>
    </row>
    <row r="793" spans="1:20" ht="21" customHeight="1" x14ac:dyDescent="0.25">
      <c r="A793" s="21">
        <v>2</v>
      </c>
      <c r="B793" s="109">
        <v>514100540468</v>
      </c>
      <c r="C793" s="110" t="s">
        <v>3589</v>
      </c>
      <c r="D793" s="23" t="s">
        <v>30</v>
      </c>
      <c r="E793" s="62" t="s">
        <v>2316</v>
      </c>
      <c r="F793" s="63" t="s">
        <v>25</v>
      </c>
      <c r="G793" s="64">
        <v>2800</v>
      </c>
      <c r="H793" s="61" t="s">
        <v>26</v>
      </c>
      <c r="I793" s="61" t="s">
        <v>2317</v>
      </c>
      <c r="J793" s="11">
        <v>0</v>
      </c>
      <c r="K793" s="11">
        <v>0</v>
      </c>
      <c r="L793" s="11">
        <v>1050</v>
      </c>
      <c r="M793" s="51">
        <v>1784507</v>
      </c>
      <c r="N793" s="51">
        <v>0</v>
      </c>
      <c r="O793" s="51">
        <v>0</v>
      </c>
      <c r="P793" s="30">
        <v>0</v>
      </c>
      <c r="Q793" s="29">
        <v>0</v>
      </c>
      <c r="R793" s="29">
        <v>1784507</v>
      </c>
      <c r="S793" s="29">
        <v>3000</v>
      </c>
      <c r="T793" s="29">
        <f t="shared" si="51"/>
        <v>1787507</v>
      </c>
    </row>
    <row r="794" spans="1:20" ht="21" customHeight="1" x14ac:dyDescent="0.25">
      <c r="A794" s="21">
        <v>3</v>
      </c>
      <c r="B794" s="109">
        <v>514100540874</v>
      </c>
      <c r="C794" s="110" t="s">
        <v>3590</v>
      </c>
      <c r="D794" s="23" t="s">
        <v>30</v>
      </c>
      <c r="E794" s="62" t="s">
        <v>2318</v>
      </c>
      <c r="F794" s="63" t="s">
        <v>25</v>
      </c>
      <c r="G794" s="64">
        <v>10600</v>
      </c>
      <c r="H794" s="61" t="s">
        <v>26</v>
      </c>
      <c r="I794" s="61" t="s">
        <v>342</v>
      </c>
      <c r="J794" s="11">
        <v>0</v>
      </c>
      <c r="K794" s="11">
        <v>0</v>
      </c>
      <c r="L794" s="11">
        <v>3975</v>
      </c>
      <c r="M794" s="51">
        <v>6755632</v>
      </c>
      <c r="N794" s="51">
        <v>0</v>
      </c>
      <c r="O794" s="51">
        <v>0</v>
      </c>
      <c r="P794" s="30">
        <v>0</v>
      </c>
      <c r="Q794" s="29">
        <v>10000</v>
      </c>
      <c r="R794" s="29">
        <v>6765632</v>
      </c>
      <c r="S794" s="29">
        <v>3000</v>
      </c>
      <c r="T794" s="29">
        <f t="shared" si="51"/>
        <v>6768632</v>
      </c>
    </row>
    <row r="795" spans="1:20" ht="21" customHeight="1" x14ac:dyDescent="0.25">
      <c r="A795" s="21">
        <v>4</v>
      </c>
      <c r="B795" s="109">
        <v>514100541071</v>
      </c>
      <c r="C795" s="110" t="s">
        <v>3591</v>
      </c>
      <c r="D795" s="23" t="s">
        <v>30</v>
      </c>
      <c r="E795" s="62" t="s">
        <v>359</v>
      </c>
      <c r="F795" s="63" t="s">
        <v>25</v>
      </c>
      <c r="G795" s="64">
        <v>3500</v>
      </c>
      <c r="H795" s="61" t="s">
        <v>26</v>
      </c>
      <c r="I795" s="61" t="s">
        <v>2319</v>
      </c>
      <c r="J795" s="11">
        <v>0</v>
      </c>
      <c r="K795" s="11">
        <v>0</v>
      </c>
      <c r="L795" s="11">
        <v>1313</v>
      </c>
      <c r="M795" s="51">
        <v>2231483</v>
      </c>
      <c r="N795" s="51">
        <v>0</v>
      </c>
      <c r="O795" s="51">
        <v>0</v>
      </c>
      <c r="P795" s="30">
        <v>0</v>
      </c>
      <c r="Q795" s="29">
        <v>0</v>
      </c>
      <c r="R795" s="29">
        <v>2231483</v>
      </c>
      <c r="S795" s="29">
        <v>3000</v>
      </c>
      <c r="T795" s="29">
        <f t="shared" si="51"/>
        <v>2234483</v>
      </c>
    </row>
    <row r="796" spans="1:20" ht="21" customHeight="1" x14ac:dyDescent="0.25">
      <c r="A796" s="21">
        <v>5</v>
      </c>
      <c r="B796" s="109">
        <v>514100541097</v>
      </c>
      <c r="C796" s="110" t="s">
        <v>3592</v>
      </c>
      <c r="D796" s="23" t="s">
        <v>30</v>
      </c>
      <c r="E796" s="2" t="s">
        <v>359</v>
      </c>
      <c r="F796" s="1" t="s">
        <v>25</v>
      </c>
      <c r="G796" s="8">
        <v>5500</v>
      </c>
      <c r="H796" s="61" t="s">
        <v>26</v>
      </c>
      <c r="I796" s="61" t="s">
        <v>2320</v>
      </c>
      <c r="J796" s="11">
        <v>12132</v>
      </c>
      <c r="K796" s="11">
        <v>14160</v>
      </c>
      <c r="L796" s="11">
        <v>2028</v>
      </c>
      <c r="M796" s="51">
        <v>3446647</v>
      </c>
      <c r="N796" s="51">
        <v>0</v>
      </c>
      <c r="O796" s="51">
        <v>0</v>
      </c>
      <c r="P796" s="30">
        <v>0</v>
      </c>
      <c r="Q796" s="29">
        <v>0</v>
      </c>
      <c r="R796" s="29">
        <v>3446647</v>
      </c>
      <c r="S796" s="29">
        <v>3000</v>
      </c>
      <c r="T796" s="29">
        <f t="shared" si="51"/>
        <v>3449647</v>
      </c>
    </row>
    <row r="797" spans="1:20" ht="21" customHeight="1" x14ac:dyDescent="0.25">
      <c r="A797" s="21">
        <v>6</v>
      </c>
      <c r="B797" s="109">
        <v>514100557528</v>
      </c>
      <c r="C797" s="110" t="s">
        <v>3593</v>
      </c>
      <c r="D797" s="23" t="s">
        <v>30</v>
      </c>
      <c r="E797" s="62" t="s">
        <v>2321</v>
      </c>
      <c r="F797" s="63" t="s">
        <v>25</v>
      </c>
      <c r="G797" s="64">
        <v>7700</v>
      </c>
      <c r="H797" s="61" t="s">
        <v>26</v>
      </c>
      <c r="I797" s="61" t="s">
        <v>525</v>
      </c>
      <c r="J797" s="11">
        <v>0</v>
      </c>
      <c r="K797" s="11">
        <v>0</v>
      </c>
      <c r="L797" s="11">
        <v>2888</v>
      </c>
      <c r="M797" s="51">
        <v>4908243</v>
      </c>
      <c r="N797" s="51">
        <v>0</v>
      </c>
      <c r="O797" s="51">
        <v>0</v>
      </c>
      <c r="P797" s="30">
        <v>0</v>
      </c>
      <c r="Q797" s="29">
        <v>0</v>
      </c>
      <c r="R797" s="29">
        <v>4908243</v>
      </c>
      <c r="S797" s="29">
        <v>3000</v>
      </c>
      <c r="T797" s="29">
        <f t="shared" si="51"/>
        <v>4911243</v>
      </c>
    </row>
    <row r="798" spans="1:20" ht="21" customHeight="1" x14ac:dyDescent="0.25">
      <c r="A798" s="21">
        <v>7</v>
      </c>
      <c r="B798" s="109">
        <v>514100569539</v>
      </c>
      <c r="C798" s="110" t="s">
        <v>2572</v>
      </c>
      <c r="D798" s="23" t="s">
        <v>30</v>
      </c>
      <c r="E798" s="62" t="s">
        <v>2322</v>
      </c>
      <c r="F798" s="63" t="s">
        <v>25</v>
      </c>
      <c r="G798" s="64">
        <v>9410</v>
      </c>
      <c r="H798" s="61" t="s">
        <v>26</v>
      </c>
      <c r="I798" s="61" t="s">
        <v>2323</v>
      </c>
      <c r="J798" s="11">
        <v>0</v>
      </c>
      <c r="K798" s="11">
        <v>0</v>
      </c>
      <c r="L798" s="11">
        <v>3529</v>
      </c>
      <c r="M798" s="51">
        <v>5997641</v>
      </c>
      <c r="N798" s="51">
        <v>0</v>
      </c>
      <c r="O798" s="51">
        <v>0</v>
      </c>
      <c r="P798" s="30">
        <v>0</v>
      </c>
      <c r="Q798" s="29">
        <v>10000</v>
      </c>
      <c r="R798" s="29">
        <v>6007641</v>
      </c>
      <c r="S798" s="29">
        <v>3000</v>
      </c>
      <c r="T798" s="29">
        <f t="shared" si="51"/>
        <v>6010641</v>
      </c>
    </row>
    <row r="799" spans="1:20" ht="21" customHeight="1" x14ac:dyDescent="0.25">
      <c r="A799" s="21">
        <v>8</v>
      </c>
      <c r="B799" s="109">
        <v>514100574615</v>
      </c>
      <c r="C799" s="110" t="s">
        <v>2525</v>
      </c>
      <c r="D799" s="23" t="s">
        <v>30</v>
      </c>
      <c r="E799" s="2" t="s">
        <v>2324</v>
      </c>
      <c r="F799" s="1" t="s">
        <v>25</v>
      </c>
      <c r="G799" s="8">
        <v>3500</v>
      </c>
      <c r="H799" s="61" t="s">
        <v>26</v>
      </c>
      <c r="I799" s="61" t="s">
        <v>849</v>
      </c>
      <c r="J799" s="11">
        <v>26769</v>
      </c>
      <c r="K799" s="11">
        <v>27206</v>
      </c>
      <c r="L799" s="11">
        <v>437</v>
      </c>
      <c r="M799" s="51">
        <v>742695</v>
      </c>
      <c r="N799" s="51">
        <v>0</v>
      </c>
      <c r="O799" s="51">
        <v>0</v>
      </c>
      <c r="P799" s="30">
        <v>0</v>
      </c>
      <c r="Q799" s="29">
        <v>0</v>
      </c>
      <c r="R799" s="29">
        <v>742695</v>
      </c>
      <c r="S799" s="29">
        <v>3000</v>
      </c>
      <c r="T799" s="29">
        <f t="shared" si="51"/>
        <v>745695</v>
      </c>
    </row>
    <row r="800" spans="1:20" ht="21" customHeight="1" x14ac:dyDescent="0.25">
      <c r="A800" s="21">
        <v>9</v>
      </c>
      <c r="B800" s="109">
        <v>514100576436</v>
      </c>
      <c r="C800" s="110" t="s">
        <v>2594</v>
      </c>
      <c r="D800" s="23" t="s">
        <v>30</v>
      </c>
      <c r="E800" s="62" t="s">
        <v>2325</v>
      </c>
      <c r="F800" s="63" t="s">
        <v>25</v>
      </c>
      <c r="G800" s="64">
        <v>2720</v>
      </c>
      <c r="H800" s="61" t="s">
        <v>26</v>
      </c>
      <c r="I800" s="61" t="s">
        <v>2326</v>
      </c>
      <c r="J800" s="11">
        <v>0</v>
      </c>
      <c r="K800" s="11">
        <v>0</v>
      </c>
      <c r="L800" s="11">
        <v>1020</v>
      </c>
      <c r="M800" s="51">
        <v>1733521</v>
      </c>
      <c r="N800" s="51">
        <v>0</v>
      </c>
      <c r="O800" s="51">
        <v>0</v>
      </c>
      <c r="P800" s="30">
        <v>0</v>
      </c>
      <c r="Q800" s="29">
        <v>0</v>
      </c>
      <c r="R800" s="29">
        <v>1733521</v>
      </c>
      <c r="S800" s="29">
        <v>3000</v>
      </c>
      <c r="T800" s="29">
        <f t="shared" si="51"/>
        <v>1736521</v>
      </c>
    </row>
    <row r="801" spans="1:20" ht="21" customHeight="1" x14ac:dyDescent="0.25">
      <c r="A801" s="21">
        <v>10</v>
      </c>
      <c r="B801" s="109">
        <v>514100576451</v>
      </c>
      <c r="C801" s="110" t="s">
        <v>3594</v>
      </c>
      <c r="D801" s="23" t="s">
        <v>30</v>
      </c>
      <c r="E801" s="62" t="s">
        <v>2327</v>
      </c>
      <c r="F801" s="63" t="s">
        <v>25</v>
      </c>
      <c r="G801" s="64">
        <v>16500</v>
      </c>
      <c r="H801" s="61" t="s">
        <v>26</v>
      </c>
      <c r="I801" s="61" t="s">
        <v>2328</v>
      </c>
      <c r="J801" s="11">
        <v>0</v>
      </c>
      <c r="K801" s="11">
        <v>0</v>
      </c>
      <c r="L801" s="11">
        <v>6188</v>
      </c>
      <c r="M801" s="51">
        <v>10516692</v>
      </c>
      <c r="N801" s="51">
        <v>0</v>
      </c>
      <c r="O801" s="51">
        <v>0</v>
      </c>
      <c r="P801" s="30">
        <v>0</v>
      </c>
      <c r="Q801" s="29">
        <v>10000</v>
      </c>
      <c r="R801" s="29">
        <v>10526692</v>
      </c>
      <c r="S801" s="29">
        <v>3000</v>
      </c>
      <c r="T801" s="29">
        <f t="shared" si="51"/>
        <v>10529692</v>
      </c>
    </row>
    <row r="802" spans="1:20" ht="21" customHeight="1" x14ac:dyDescent="0.25">
      <c r="A802" s="21">
        <v>11</v>
      </c>
      <c r="B802" s="109">
        <v>514100580138</v>
      </c>
      <c r="C802" s="110" t="s">
        <v>3595</v>
      </c>
      <c r="D802" s="23" t="s">
        <v>30</v>
      </c>
      <c r="E802" s="62" t="s">
        <v>2329</v>
      </c>
      <c r="F802" s="63" t="s">
        <v>25</v>
      </c>
      <c r="G802" s="64">
        <v>5500</v>
      </c>
      <c r="H802" s="61" t="s">
        <v>26</v>
      </c>
      <c r="I802" s="61" t="s">
        <v>334</v>
      </c>
      <c r="J802" s="11">
        <v>2513</v>
      </c>
      <c r="K802" s="11">
        <v>4136</v>
      </c>
      <c r="L802" s="11">
        <v>1623</v>
      </c>
      <c r="M802" s="51">
        <v>2758337</v>
      </c>
      <c r="N802" s="51">
        <v>0</v>
      </c>
      <c r="O802" s="51">
        <v>0</v>
      </c>
      <c r="P802" s="30">
        <v>0</v>
      </c>
      <c r="Q802" s="29">
        <v>0</v>
      </c>
      <c r="R802" s="29">
        <v>2758337</v>
      </c>
      <c r="S802" s="29">
        <v>3000</v>
      </c>
      <c r="T802" s="29">
        <f t="shared" si="51"/>
        <v>2761337</v>
      </c>
    </row>
    <row r="803" spans="1:20" ht="21" customHeight="1" x14ac:dyDescent="0.25">
      <c r="A803" s="21">
        <v>12</v>
      </c>
      <c r="B803" s="109">
        <v>514100585370</v>
      </c>
      <c r="C803" s="110" t="s">
        <v>3596</v>
      </c>
      <c r="D803" s="23" t="s">
        <v>30</v>
      </c>
      <c r="E803" s="62" t="s">
        <v>359</v>
      </c>
      <c r="F803" s="63" t="s">
        <v>25</v>
      </c>
      <c r="G803" s="64">
        <v>7700</v>
      </c>
      <c r="H803" s="61" t="s">
        <v>26</v>
      </c>
      <c r="I803" s="61" t="s">
        <v>2330</v>
      </c>
      <c r="J803" s="11">
        <v>0</v>
      </c>
      <c r="K803" s="11">
        <v>0</v>
      </c>
      <c r="L803" s="11">
        <v>2888</v>
      </c>
      <c r="M803" s="51">
        <v>4908243</v>
      </c>
      <c r="N803" s="51">
        <v>0</v>
      </c>
      <c r="O803" s="51">
        <v>0</v>
      </c>
      <c r="P803" s="30">
        <v>0</v>
      </c>
      <c r="Q803" s="29">
        <v>0</v>
      </c>
      <c r="R803" s="29">
        <v>4908243</v>
      </c>
      <c r="S803" s="29">
        <v>3000</v>
      </c>
      <c r="T803" s="29">
        <f t="shared" si="51"/>
        <v>4911243</v>
      </c>
    </row>
    <row r="804" spans="1:20" ht="21" customHeight="1" x14ac:dyDescent="0.25">
      <c r="A804" s="21">
        <v>13</v>
      </c>
      <c r="B804" s="109">
        <v>514100585425</v>
      </c>
      <c r="C804" s="110" t="s">
        <v>3597</v>
      </c>
      <c r="D804" s="23" t="s">
        <v>30</v>
      </c>
      <c r="E804" s="2" t="s">
        <v>2331</v>
      </c>
      <c r="F804" s="1" t="s">
        <v>25</v>
      </c>
      <c r="G804" s="8">
        <v>3500</v>
      </c>
      <c r="H804" s="61" t="s">
        <v>26</v>
      </c>
      <c r="I804" s="61" t="s">
        <v>2332</v>
      </c>
      <c r="J804" s="11">
        <v>61067</v>
      </c>
      <c r="K804" s="11">
        <v>62279</v>
      </c>
      <c r="L804" s="11">
        <v>1212</v>
      </c>
      <c r="M804" s="51">
        <v>2059830</v>
      </c>
      <c r="N804" s="51">
        <v>0</v>
      </c>
      <c r="O804" s="51">
        <v>0</v>
      </c>
      <c r="P804" s="30">
        <v>0</v>
      </c>
      <c r="Q804" s="29">
        <v>0</v>
      </c>
      <c r="R804" s="29">
        <v>2059830</v>
      </c>
      <c r="S804" s="29">
        <v>3000</v>
      </c>
      <c r="T804" s="29">
        <f t="shared" si="51"/>
        <v>2062830</v>
      </c>
    </row>
    <row r="805" spans="1:20" ht="21" customHeight="1" x14ac:dyDescent="0.25">
      <c r="A805" s="21">
        <v>14</v>
      </c>
      <c r="B805" s="109">
        <v>514100587652</v>
      </c>
      <c r="C805" s="110" t="s">
        <v>358</v>
      </c>
      <c r="D805" s="23" t="s">
        <v>30</v>
      </c>
      <c r="E805" s="2" t="s">
        <v>2333</v>
      </c>
      <c r="F805" s="1" t="s">
        <v>25</v>
      </c>
      <c r="G805" s="8">
        <v>4400</v>
      </c>
      <c r="H805" s="61" t="s">
        <v>26</v>
      </c>
      <c r="I805" s="61" t="s">
        <v>2334</v>
      </c>
      <c r="J805" s="11">
        <v>25572</v>
      </c>
      <c r="K805" s="11">
        <v>26980</v>
      </c>
      <c r="L805" s="11">
        <v>1408</v>
      </c>
      <c r="M805" s="51">
        <v>2392938</v>
      </c>
      <c r="N805" s="51">
        <v>0</v>
      </c>
      <c r="O805" s="51">
        <v>0</v>
      </c>
      <c r="P805" s="30">
        <v>0</v>
      </c>
      <c r="Q805" s="29">
        <v>0</v>
      </c>
      <c r="R805" s="29">
        <v>2392938</v>
      </c>
      <c r="S805" s="29">
        <v>3000</v>
      </c>
      <c r="T805" s="29">
        <f t="shared" si="51"/>
        <v>2395938</v>
      </c>
    </row>
    <row r="806" spans="1:20" ht="21" customHeight="1" x14ac:dyDescent="0.25">
      <c r="A806" s="21">
        <v>15</v>
      </c>
      <c r="B806" s="109">
        <v>514100587869</v>
      </c>
      <c r="C806" s="110" t="s">
        <v>2942</v>
      </c>
      <c r="D806" s="23" t="s">
        <v>30</v>
      </c>
      <c r="E806" s="2" t="s">
        <v>2335</v>
      </c>
      <c r="F806" s="1" t="s">
        <v>25</v>
      </c>
      <c r="G806" s="8">
        <v>1500</v>
      </c>
      <c r="H806" s="61" t="s">
        <v>26</v>
      </c>
      <c r="I806" s="61" t="s">
        <v>2336</v>
      </c>
      <c r="J806" s="11">
        <v>2107</v>
      </c>
      <c r="K806" s="11">
        <v>3152</v>
      </c>
      <c r="L806" s="11">
        <v>1045</v>
      </c>
      <c r="M806" s="51">
        <v>1776009</v>
      </c>
      <c r="N806" s="51">
        <v>0</v>
      </c>
      <c r="O806" s="51">
        <v>0</v>
      </c>
      <c r="P806" s="30">
        <v>0</v>
      </c>
      <c r="Q806" s="29">
        <v>0</v>
      </c>
      <c r="R806" s="29">
        <v>1776009</v>
      </c>
      <c r="S806" s="29">
        <v>3000</v>
      </c>
      <c r="T806" s="29">
        <f t="shared" si="51"/>
        <v>1779009</v>
      </c>
    </row>
    <row r="807" spans="1:20" ht="21" customHeight="1" x14ac:dyDescent="0.25">
      <c r="A807" s="21">
        <v>16</v>
      </c>
      <c r="B807" s="109">
        <v>514100591951</v>
      </c>
      <c r="C807" s="110" t="s">
        <v>3598</v>
      </c>
      <c r="D807" s="23" t="s">
        <v>30</v>
      </c>
      <c r="E807" s="62" t="s">
        <v>2337</v>
      </c>
      <c r="F807" s="63" t="s">
        <v>25</v>
      </c>
      <c r="G807" s="64">
        <v>23000</v>
      </c>
      <c r="H807" s="61" t="s">
        <v>26</v>
      </c>
      <c r="I807" s="61" t="s">
        <v>2338</v>
      </c>
      <c r="J807" s="11">
        <v>0</v>
      </c>
      <c r="K807" s="11">
        <v>0</v>
      </c>
      <c r="L807" s="11">
        <v>8625</v>
      </c>
      <c r="M807" s="51">
        <v>14658446</v>
      </c>
      <c r="N807" s="51">
        <v>0</v>
      </c>
      <c r="O807" s="51">
        <v>0</v>
      </c>
      <c r="P807" s="30">
        <v>0</v>
      </c>
      <c r="Q807" s="29">
        <v>10000</v>
      </c>
      <c r="R807" s="29">
        <v>14668446</v>
      </c>
      <c r="S807" s="29">
        <v>3000</v>
      </c>
      <c r="T807" s="29">
        <f t="shared" si="51"/>
        <v>14671446</v>
      </c>
    </row>
    <row r="808" spans="1:20" ht="21" customHeight="1" x14ac:dyDescent="0.25">
      <c r="A808" s="21">
        <v>17</v>
      </c>
      <c r="B808" s="109">
        <v>514100596881</v>
      </c>
      <c r="C808" s="110" t="s">
        <v>2578</v>
      </c>
      <c r="D808" s="23" t="s">
        <v>30</v>
      </c>
      <c r="E808" s="62" t="s">
        <v>2339</v>
      </c>
      <c r="F808" s="63" t="s">
        <v>25</v>
      </c>
      <c r="G808" s="64">
        <v>800</v>
      </c>
      <c r="H808" s="61" t="s">
        <v>26</v>
      </c>
      <c r="I808" s="61" t="s">
        <v>40</v>
      </c>
      <c r="J808" s="11">
        <v>1</v>
      </c>
      <c r="K808" s="11">
        <v>1</v>
      </c>
      <c r="L808" s="11">
        <v>300</v>
      </c>
      <c r="M808" s="51">
        <v>509859</v>
      </c>
      <c r="N808" s="51">
        <v>0</v>
      </c>
      <c r="O808" s="51">
        <v>0</v>
      </c>
      <c r="P808" s="30">
        <v>0</v>
      </c>
      <c r="Q808" s="29">
        <v>0</v>
      </c>
      <c r="R808" s="29">
        <v>509859</v>
      </c>
      <c r="S808" s="29">
        <v>3000</v>
      </c>
      <c r="T808" s="29">
        <f t="shared" si="51"/>
        <v>512859</v>
      </c>
    </row>
    <row r="809" spans="1:20" ht="21" customHeight="1" x14ac:dyDescent="0.25">
      <c r="A809" s="21">
        <v>18</v>
      </c>
      <c r="B809" s="109">
        <v>514100603674</v>
      </c>
      <c r="C809" s="110" t="s">
        <v>3599</v>
      </c>
      <c r="D809" s="23" t="s">
        <v>30</v>
      </c>
      <c r="E809" s="62" t="s">
        <v>2340</v>
      </c>
      <c r="F809" s="63" t="s">
        <v>25</v>
      </c>
      <c r="G809" s="64">
        <v>7700</v>
      </c>
      <c r="H809" s="61" t="s">
        <v>26</v>
      </c>
      <c r="I809" s="61" t="s">
        <v>2341</v>
      </c>
      <c r="J809" s="11">
        <v>0</v>
      </c>
      <c r="K809" s="11">
        <v>0</v>
      </c>
      <c r="L809" s="11">
        <v>2888</v>
      </c>
      <c r="M809" s="51">
        <v>4908243</v>
      </c>
      <c r="N809" s="51">
        <v>0</v>
      </c>
      <c r="O809" s="51">
        <v>0</v>
      </c>
      <c r="P809" s="30">
        <v>0</v>
      </c>
      <c r="Q809" s="29">
        <v>0</v>
      </c>
      <c r="R809" s="29">
        <v>4908243</v>
      </c>
      <c r="S809" s="29">
        <v>3000</v>
      </c>
      <c r="T809" s="29">
        <f t="shared" si="51"/>
        <v>4911243</v>
      </c>
    </row>
    <row r="810" spans="1:20" ht="21" customHeight="1" x14ac:dyDescent="0.25">
      <c r="A810" s="21">
        <v>19</v>
      </c>
      <c r="B810" s="109">
        <v>514100604220</v>
      </c>
      <c r="C810" s="110" t="s">
        <v>3600</v>
      </c>
      <c r="D810" s="23" t="s">
        <v>30</v>
      </c>
      <c r="E810" s="62" t="s">
        <v>2342</v>
      </c>
      <c r="F810" s="63" t="s">
        <v>25</v>
      </c>
      <c r="G810" s="64">
        <v>7700</v>
      </c>
      <c r="H810" s="61" t="s">
        <v>26</v>
      </c>
      <c r="I810" s="61" t="s">
        <v>2343</v>
      </c>
      <c r="J810" s="11">
        <v>0</v>
      </c>
      <c r="K810" s="11">
        <v>0</v>
      </c>
      <c r="L810" s="11">
        <v>2888</v>
      </c>
      <c r="M810" s="51">
        <v>4908243</v>
      </c>
      <c r="N810" s="51">
        <v>0</v>
      </c>
      <c r="O810" s="51">
        <v>0</v>
      </c>
      <c r="P810" s="30">
        <v>0</v>
      </c>
      <c r="Q810" s="29">
        <v>0</v>
      </c>
      <c r="R810" s="29">
        <v>4908243</v>
      </c>
      <c r="S810" s="29">
        <v>3000</v>
      </c>
      <c r="T810" s="29">
        <f t="shared" si="51"/>
        <v>4911243</v>
      </c>
    </row>
    <row r="811" spans="1:20" ht="21" customHeight="1" x14ac:dyDescent="0.25">
      <c r="A811" s="21">
        <v>20</v>
      </c>
      <c r="B811" s="109">
        <v>514100611924</v>
      </c>
      <c r="C811" s="110" t="s">
        <v>3601</v>
      </c>
      <c r="D811" s="23" t="s">
        <v>30</v>
      </c>
      <c r="E811" s="62" t="s">
        <v>2344</v>
      </c>
      <c r="F811" s="63" t="s">
        <v>25</v>
      </c>
      <c r="G811" s="64">
        <v>27650</v>
      </c>
      <c r="H811" s="61" t="s">
        <v>26</v>
      </c>
      <c r="I811" s="61" t="s">
        <v>515</v>
      </c>
      <c r="J811" s="11">
        <v>0</v>
      </c>
      <c r="K811" s="11">
        <v>0</v>
      </c>
      <c r="L811" s="11">
        <v>10369</v>
      </c>
      <c r="M811" s="51">
        <v>17622427</v>
      </c>
      <c r="N811" s="51">
        <v>0</v>
      </c>
      <c r="O811" s="51">
        <v>0</v>
      </c>
      <c r="P811" s="30">
        <v>0</v>
      </c>
      <c r="Q811" s="29">
        <v>10000</v>
      </c>
      <c r="R811" s="29">
        <v>17632427</v>
      </c>
      <c r="S811" s="29">
        <v>3000</v>
      </c>
      <c r="T811" s="29">
        <f t="shared" si="51"/>
        <v>17635427</v>
      </c>
    </row>
    <row r="812" spans="1:20" ht="21" customHeight="1" x14ac:dyDescent="0.25">
      <c r="A812" s="21">
        <v>21</v>
      </c>
      <c r="B812" s="109">
        <v>514100611932</v>
      </c>
      <c r="C812" s="110" t="s">
        <v>2488</v>
      </c>
      <c r="D812" s="23" t="s">
        <v>30</v>
      </c>
      <c r="E812" s="2" t="s">
        <v>2345</v>
      </c>
      <c r="F812" s="1" t="s">
        <v>25</v>
      </c>
      <c r="G812" s="8">
        <v>4400</v>
      </c>
      <c r="H812" s="61" t="s">
        <v>26</v>
      </c>
      <c r="I812" s="61" t="s">
        <v>2346</v>
      </c>
      <c r="J812" s="11">
        <v>80937</v>
      </c>
      <c r="K812" s="11">
        <v>82541</v>
      </c>
      <c r="L812" s="11">
        <v>1604</v>
      </c>
      <c r="M812" s="51">
        <v>2726046</v>
      </c>
      <c r="N812" s="51">
        <v>0</v>
      </c>
      <c r="O812" s="51">
        <v>0</v>
      </c>
      <c r="P812" s="30">
        <v>0</v>
      </c>
      <c r="Q812" s="29">
        <v>0</v>
      </c>
      <c r="R812" s="29">
        <v>2726046</v>
      </c>
      <c r="S812" s="29">
        <v>3000</v>
      </c>
      <c r="T812" s="29">
        <f t="shared" si="51"/>
        <v>2729046</v>
      </c>
    </row>
    <row r="813" spans="1:20" ht="21" customHeight="1" x14ac:dyDescent="0.25">
      <c r="A813" s="21">
        <v>22</v>
      </c>
      <c r="B813" s="109">
        <v>514100616024</v>
      </c>
      <c r="C813" s="110" t="s">
        <v>3602</v>
      </c>
      <c r="D813" s="23" t="s">
        <v>30</v>
      </c>
      <c r="E813" s="62" t="s">
        <v>2347</v>
      </c>
      <c r="F813" s="63" t="s">
        <v>25</v>
      </c>
      <c r="G813" s="64">
        <v>16030</v>
      </c>
      <c r="H813" s="61" t="s">
        <v>26</v>
      </c>
      <c r="I813" s="61" t="s">
        <v>2348</v>
      </c>
      <c r="J813" s="11">
        <v>0</v>
      </c>
      <c r="K813" s="11">
        <v>0</v>
      </c>
      <c r="L813" s="11">
        <v>6011</v>
      </c>
      <c r="M813" s="51">
        <v>10215875</v>
      </c>
      <c r="N813" s="51">
        <v>0</v>
      </c>
      <c r="O813" s="51">
        <v>0</v>
      </c>
      <c r="P813" s="30">
        <v>0</v>
      </c>
      <c r="Q813" s="29">
        <v>10000</v>
      </c>
      <c r="R813" s="29">
        <v>10225875</v>
      </c>
      <c r="S813" s="29">
        <v>3000</v>
      </c>
      <c r="T813" s="29">
        <f t="shared" si="51"/>
        <v>10228875</v>
      </c>
    </row>
    <row r="814" spans="1:20" ht="21" customHeight="1" x14ac:dyDescent="0.25">
      <c r="A814" s="21">
        <v>23</v>
      </c>
      <c r="B814" s="109">
        <v>514100616032</v>
      </c>
      <c r="C814" s="110" t="s">
        <v>3603</v>
      </c>
      <c r="D814" s="23" t="s">
        <v>30</v>
      </c>
      <c r="E814" s="62" t="s">
        <v>2349</v>
      </c>
      <c r="F814" s="63" t="s">
        <v>25</v>
      </c>
      <c r="G814" s="64">
        <v>10600</v>
      </c>
      <c r="H814" s="61" t="s">
        <v>26</v>
      </c>
      <c r="I814" s="61" t="s">
        <v>2350</v>
      </c>
      <c r="J814" s="11">
        <v>0</v>
      </c>
      <c r="K814" s="11">
        <v>0</v>
      </c>
      <c r="L814" s="11">
        <v>3975</v>
      </c>
      <c r="M814" s="51">
        <v>6755632</v>
      </c>
      <c r="N814" s="51">
        <v>0</v>
      </c>
      <c r="O814" s="51">
        <v>0</v>
      </c>
      <c r="P814" s="30">
        <v>0</v>
      </c>
      <c r="Q814" s="29">
        <v>10000</v>
      </c>
      <c r="R814" s="29">
        <v>6765632</v>
      </c>
      <c r="S814" s="29">
        <v>3000</v>
      </c>
      <c r="T814" s="29">
        <f t="shared" si="51"/>
        <v>6768632</v>
      </c>
    </row>
    <row r="815" spans="1:20" ht="21" customHeight="1" x14ac:dyDescent="0.25">
      <c r="A815" s="21">
        <v>24</v>
      </c>
      <c r="B815" s="109">
        <v>514100616377</v>
      </c>
      <c r="C815" s="110" t="s">
        <v>3604</v>
      </c>
      <c r="D815" s="23" t="s">
        <v>30</v>
      </c>
      <c r="E815" s="62" t="s">
        <v>2351</v>
      </c>
      <c r="F815" s="63" t="s">
        <v>25</v>
      </c>
      <c r="G815" s="64">
        <v>17600</v>
      </c>
      <c r="H815" s="61" t="s">
        <v>26</v>
      </c>
      <c r="I815" s="61" t="s">
        <v>2352</v>
      </c>
      <c r="J815" s="11">
        <v>0</v>
      </c>
      <c r="K815" s="11">
        <v>0</v>
      </c>
      <c r="L815" s="11">
        <v>6600</v>
      </c>
      <c r="M815" s="51">
        <v>11216898</v>
      </c>
      <c r="N815" s="51">
        <v>0</v>
      </c>
      <c r="O815" s="51">
        <v>0</v>
      </c>
      <c r="P815" s="30">
        <v>0</v>
      </c>
      <c r="Q815" s="29">
        <v>10000</v>
      </c>
      <c r="R815" s="29">
        <v>11226898</v>
      </c>
      <c r="S815" s="29">
        <v>3000</v>
      </c>
      <c r="T815" s="29">
        <f t="shared" si="51"/>
        <v>11229898</v>
      </c>
    </row>
    <row r="816" spans="1:20" ht="21" customHeight="1" x14ac:dyDescent="0.25">
      <c r="A816" s="21">
        <v>25</v>
      </c>
      <c r="B816" s="109">
        <v>514100618285</v>
      </c>
      <c r="C816" s="110" t="s">
        <v>2552</v>
      </c>
      <c r="D816" s="23" t="s">
        <v>30</v>
      </c>
      <c r="E816" s="62" t="s">
        <v>2353</v>
      </c>
      <c r="F816" s="63" t="s">
        <v>25</v>
      </c>
      <c r="G816" s="64">
        <v>16500</v>
      </c>
      <c r="H816" s="61" t="s">
        <v>26</v>
      </c>
      <c r="I816" s="61" t="s">
        <v>2354</v>
      </c>
      <c r="J816" s="11">
        <v>0</v>
      </c>
      <c r="K816" s="11">
        <v>0</v>
      </c>
      <c r="L816" s="11">
        <v>6188</v>
      </c>
      <c r="M816" s="51">
        <v>10516692</v>
      </c>
      <c r="N816" s="51">
        <v>0</v>
      </c>
      <c r="O816" s="51">
        <v>0</v>
      </c>
      <c r="P816" s="30">
        <v>0</v>
      </c>
      <c r="Q816" s="29">
        <v>10000</v>
      </c>
      <c r="R816" s="29">
        <v>10526692</v>
      </c>
      <c r="S816" s="29">
        <v>3000</v>
      </c>
      <c r="T816" s="29">
        <f t="shared" si="51"/>
        <v>10529692</v>
      </c>
    </row>
    <row r="817" spans="1:20" ht="21" customHeight="1" x14ac:dyDescent="0.25">
      <c r="A817" s="21">
        <v>26</v>
      </c>
      <c r="B817" s="109">
        <v>514100618443</v>
      </c>
      <c r="C817" s="110" t="s">
        <v>2555</v>
      </c>
      <c r="D817" s="23" t="s">
        <v>30</v>
      </c>
      <c r="E817" s="62" t="s">
        <v>2355</v>
      </c>
      <c r="F817" s="63" t="s">
        <v>25</v>
      </c>
      <c r="G817" s="64">
        <v>7700</v>
      </c>
      <c r="H817" s="61" t="s">
        <v>26</v>
      </c>
      <c r="I817" s="61" t="s">
        <v>2356</v>
      </c>
      <c r="J817" s="11">
        <v>0</v>
      </c>
      <c r="K817" s="11">
        <v>0</v>
      </c>
      <c r="L817" s="11">
        <v>2888</v>
      </c>
      <c r="M817" s="51">
        <v>4908243</v>
      </c>
      <c r="N817" s="51">
        <v>0</v>
      </c>
      <c r="O817" s="51">
        <v>0</v>
      </c>
      <c r="P817" s="30">
        <v>0</v>
      </c>
      <c r="Q817" s="29">
        <v>0</v>
      </c>
      <c r="R817" s="29">
        <v>4908243</v>
      </c>
      <c r="S817" s="29">
        <v>3000</v>
      </c>
      <c r="T817" s="29">
        <f t="shared" si="51"/>
        <v>4911243</v>
      </c>
    </row>
    <row r="818" spans="1:20" ht="21" customHeight="1" x14ac:dyDescent="0.25">
      <c r="A818" s="21">
        <v>27</v>
      </c>
      <c r="B818" s="109">
        <v>514100633232</v>
      </c>
      <c r="C818" s="110" t="s">
        <v>3605</v>
      </c>
      <c r="D818" s="23" t="s">
        <v>30</v>
      </c>
      <c r="E818" s="62" t="s">
        <v>2357</v>
      </c>
      <c r="F818" s="63" t="s">
        <v>25</v>
      </c>
      <c r="G818" s="64">
        <v>5500</v>
      </c>
      <c r="H818" s="61" t="s">
        <v>26</v>
      </c>
      <c r="I818" s="61" t="s">
        <v>790</v>
      </c>
      <c r="J818" s="11">
        <v>0</v>
      </c>
      <c r="K818" s="11">
        <v>0</v>
      </c>
      <c r="L818" s="11">
        <v>2063</v>
      </c>
      <c r="M818" s="51">
        <v>3506130</v>
      </c>
      <c r="N818" s="51">
        <v>0</v>
      </c>
      <c r="O818" s="51">
        <v>0</v>
      </c>
      <c r="P818" s="30">
        <v>0</v>
      </c>
      <c r="Q818" s="29">
        <v>0</v>
      </c>
      <c r="R818" s="29">
        <v>3506130</v>
      </c>
      <c r="S818" s="29">
        <v>3000</v>
      </c>
      <c r="T818" s="29">
        <f t="shared" si="51"/>
        <v>3509130</v>
      </c>
    </row>
    <row r="819" spans="1:20" ht="21" customHeight="1" x14ac:dyDescent="0.25">
      <c r="A819" s="21">
        <v>28</v>
      </c>
      <c r="B819" s="109">
        <v>514100633240</v>
      </c>
      <c r="C819" s="110" t="s">
        <v>3606</v>
      </c>
      <c r="D819" s="23" t="s">
        <v>23</v>
      </c>
      <c r="E819" s="2" t="s">
        <v>2358</v>
      </c>
      <c r="F819" s="1" t="s">
        <v>25</v>
      </c>
      <c r="G819" s="8">
        <v>3500</v>
      </c>
      <c r="H819" s="61" t="s">
        <v>26</v>
      </c>
      <c r="I819" s="61" t="s">
        <v>2359</v>
      </c>
      <c r="J819" s="11">
        <v>54718</v>
      </c>
      <c r="K819" s="11">
        <v>55968</v>
      </c>
      <c r="L819" s="11">
        <v>1250</v>
      </c>
      <c r="M819" s="51">
        <v>2124413</v>
      </c>
      <c r="N819" s="51">
        <v>0</v>
      </c>
      <c r="O819" s="51">
        <v>0</v>
      </c>
      <c r="P819" s="30">
        <v>0</v>
      </c>
      <c r="Q819" s="29">
        <v>0</v>
      </c>
      <c r="R819" s="29">
        <v>2124413</v>
      </c>
      <c r="S819" s="29">
        <v>3000</v>
      </c>
      <c r="T819" s="29">
        <f t="shared" si="51"/>
        <v>2127413</v>
      </c>
    </row>
    <row r="820" spans="1:20" ht="21" customHeight="1" x14ac:dyDescent="0.25">
      <c r="A820" s="21">
        <v>29</v>
      </c>
      <c r="B820" s="109">
        <v>514100633273</v>
      </c>
      <c r="C820" s="110" t="s">
        <v>3607</v>
      </c>
      <c r="D820" s="23" t="s">
        <v>30</v>
      </c>
      <c r="E820" s="2" t="s">
        <v>2360</v>
      </c>
      <c r="F820" s="1" t="s">
        <v>25</v>
      </c>
      <c r="G820" s="8">
        <v>3500</v>
      </c>
      <c r="H820" s="61" t="s">
        <v>26</v>
      </c>
      <c r="I820" s="61" t="s">
        <v>793</v>
      </c>
      <c r="J820" s="11">
        <v>36330</v>
      </c>
      <c r="K820" s="11">
        <v>36861</v>
      </c>
      <c r="L820" s="11">
        <v>531</v>
      </c>
      <c r="M820" s="51">
        <v>902450</v>
      </c>
      <c r="N820" s="51">
        <v>0</v>
      </c>
      <c r="O820" s="51">
        <v>0</v>
      </c>
      <c r="P820" s="30">
        <v>0</v>
      </c>
      <c r="Q820" s="29">
        <v>0</v>
      </c>
      <c r="R820" s="29">
        <v>902450</v>
      </c>
      <c r="S820" s="29">
        <v>3000</v>
      </c>
      <c r="T820" s="29">
        <f t="shared" si="51"/>
        <v>905450</v>
      </c>
    </row>
    <row r="821" spans="1:20" ht="21" customHeight="1" x14ac:dyDescent="0.25">
      <c r="A821" s="21">
        <v>30</v>
      </c>
      <c r="B821" s="109">
        <v>514100633329</v>
      </c>
      <c r="C821" s="110" t="s">
        <v>3608</v>
      </c>
      <c r="D821" s="23" t="s">
        <v>30</v>
      </c>
      <c r="E821" s="62" t="s">
        <v>2361</v>
      </c>
      <c r="F821" s="63" t="s">
        <v>25</v>
      </c>
      <c r="G821" s="64">
        <v>17600</v>
      </c>
      <c r="H821" s="61" t="s">
        <v>26</v>
      </c>
      <c r="I821" s="61" t="s">
        <v>2362</v>
      </c>
      <c r="J821" s="11">
        <v>0</v>
      </c>
      <c r="K821" s="11">
        <v>0</v>
      </c>
      <c r="L821" s="11">
        <v>6600</v>
      </c>
      <c r="M821" s="51">
        <v>11216898</v>
      </c>
      <c r="N821" s="51">
        <v>0</v>
      </c>
      <c r="O821" s="51">
        <v>0</v>
      </c>
      <c r="P821" s="30">
        <v>0</v>
      </c>
      <c r="Q821" s="29">
        <v>10000</v>
      </c>
      <c r="R821" s="29">
        <v>11226898</v>
      </c>
      <c r="S821" s="29">
        <v>3000</v>
      </c>
      <c r="T821" s="29">
        <f t="shared" si="51"/>
        <v>11229898</v>
      </c>
    </row>
    <row r="822" spans="1:20" ht="21" customHeight="1" x14ac:dyDescent="0.25">
      <c r="A822" s="21">
        <v>31</v>
      </c>
      <c r="B822" s="109">
        <v>514100633337</v>
      </c>
      <c r="C822" s="110" t="s">
        <v>3609</v>
      </c>
      <c r="D822" s="23" t="s">
        <v>30</v>
      </c>
      <c r="E822" s="62" t="s">
        <v>2363</v>
      </c>
      <c r="F822" s="63" t="s">
        <v>25</v>
      </c>
      <c r="G822" s="64">
        <v>16520</v>
      </c>
      <c r="H822" s="61" t="s">
        <v>26</v>
      </c>
      <c r="I822" s="61" t="s">
        <v>2364</v>
      </c>
      <c r="J822" s="11">
        <v>0</v>
      </c>
      <c r="K822" s="11">
        <v>0</v>
      </c>
      <c r="L822" s="11">
        <v>6195</v>
      </c>
      <c r="M822" s="51">
        <v>10528588</v>
      </c>
      <c r="N822" s="51">
        <v>0</v>
      </c>
      <c r="O822" s="51">
        <v>0</v>
      </c>
      <c r="P822" s="30">
        <v>0</v>
      </c>
      <c r="Q822" s="29">
        <v>10000</v>
      </c>
      <c r="R822" s="29">
        <v>10538588</v>
      </c>
      <c r="S822" s="29">
        <v>3000</v>
      </c>
      <c r="T822" s="29">
        <f t="shared" si="51"/>
        <v>10541588</v>
      </c>
    </row>
    <row r="823" spans="1:20" ht="21" customHeight="1" x14ac:dyDescent="0.25">
      <c r="A823" s="21">
        <v>32</v>
      </c>
      <c r="B823" s="109">
        <v>514100633345</v>
      </c>
      <c r="C823" s="110" t="s">
        <v>3610</v>
      </c>
      <c r="D823" s="23" t="s">
        <v>30</v>
      </c>
      <c r="E823" s="2" t="s">
        <v>2365</v>
      </c>
      <c r="F823" s="1" t="s">
        <v>25</v>
      </c>
      <c r="G823" s="8">
        <v>4400</v>
      </c>
      <c r="H823" s="61" t="s">
        <v>26</v>
      </c>
      <c r="I823" s="61" t="s">
        <v>635</v>
      </c>
      <c r="J823" s="11">
        <v>94840</v>
      </c>
      <c r="K823" s="11">
        <v>96829</v>
      </c>
      <c r="L823" s="11">
        <v>1989</v>
      </c>
      <c r="M823" s="51">
        <v>3380365</v>
      </c>
      <c r="N823" s="51">
        <v>0</v>
      </c>
      <c r="O823" s="51">
        <v>0</v>
      </c>
      <c r="P823" s="30">
        <v>0</v>
      </c>
      <c r="Q823" s="29">
        <v>0</v>
      </c>
      <c r="R823" s="29">
        <v>3380365</v>
      </c>
      <c r="S823" s="29">
        <v>3000</v>
      </c>
      <c r="T823" s="29">
        <f t="shared" si="51"/>
        <v>3383365</v>
      </c>
    </row>
    <row r="824" spans="1:20" ht="21" customHeight="1" x14ac:dyDescent="0.25">
      <c r="A824" s="21">
        <v>33</v>
      </c>
      <c r="B824" s="109">
        <v>514100633378</v>
      </c>
      <c r="C824" s="110" t="s">
        <v>3611</v>
      </c>
      <c r="D824" s="23" t="s">
        <v>30</v>
      </c>
      <c r="E824" s="62" t="s">
        <v>2366</v>
      </c>
      <c r="F824" s="63" t="s">
        <v>25</v>
      </c>
      <c r="G824" s="64">
        <v>10600</v>
      </c>
      <c r="H824" s="61" t="s">
        <v>26</v>
      </c>
      <c r="I824" s="61" t="s">
        <v>380</v>
      </c>
      <c r="J824" s="11">
        <v>0</v>
      </c>
      <c r="K824" s="11">
        <v>0</v>
      </c>
      <c r="L824" s="11">
        <v>3975</v>
      </c>
      <c r="M824" s="51">
        <v>6755632</v>
      </c>
      <c r="N824" s="51">
        <v>0</v>
      </c>
      <c r="O824" s="51">
        <v>0</v>
      </c>
      <c r="P824" s="30">
        <v>0</v>
      </c>
      <c r="Q824" s="29">
        <v>10000</v>
      </c>
      <c r="R824" s="29">
        <v>6765632</v>
      </c>
      <c r="S824" s="29">
        <v>3000</v>
      </c>
      <c r="T824" s="29">
        <f t="shared" si="51"/>
        <v>6768632</v>
      </c>
    </row>
    <row r="825" spans="1:20" ht="21" customHeight="1" x14ac:dyDescent="0.25">
      <c r="A825" s="21">
        <v>34</v>
      </c>
      <c r="B825" s="109">
        <v>514100633386</v>
      </c>
      <c r="C825" s="110" t="s">
        <v>3612</v>
      </c>
      <c r="D825" s="23" t="s">
        <v>30</v>
      </c>
      <c r="E825" s="62" t="s">
        <v>2367</v>
      </c>
      <c r="F825" s="63" t="s">
        <v>25</v>
      </c>
      <c r="G825" s="64">
        <v>7070</v>
      </c>
      <c r="H825" s="61" t="s">
        <v>26</v>
      </c>
      <c r="I825" s="61" t="s">
        <v>2368</v>
      </c>
      <c r="J825" s="11">
        <v>0</v>
      </c>
      <c r="K825" s="11">
        <v>0</v>
      </c>
      <c r="L825" s="11">
        <v>2651</v>
      </c>
      <c r="M825" s="51">
        <v>4505454</v>
      </c>
      <c r="N825" s="51">
        <v>0</v>
      </c>
      <c r="O825" s="51">
        <v>0</v>
      </c>
      <c r="P825" s="30">
        <v>0</v>
      </c>
      <c r="Q825" s="29">
        <v>0</v>
      </c>
      <c r="R825" s="29">
        <v>4505454</v>
      </c>
      <c r="S825" s="29">
        <v>3000</v>
      </c>
      <c r="T825" s="29">
        <f t="shared" si="51"/>
        <v>4508454</v>
      </c>
    </row>
    <row r="826" spans="1:20" ht="21" customHeight="1" x14ac:dyDescent="0.25">
      <c r="A826" s="21">
        <v>35</v>
      </c>
      <c r="B826" s="109">
        <v>514100633394</v>
      </c>
      <c r="C826" s="110" t="s">
        <v>3613</v>
      </c>
      <c r="D826" s="23" t="s">
        <v>30</v>
      </c>
      <c r="E826" s="2" t="s">
        <v>2369</v>
      </c>
      <c r="F826" s="1" t="s">
        <v>25</v>
      </c>
      <c r="G826" s="8">
        <v>5500</v>
      </c>
      <c r="H826" s="61" t="s">
        <v>26</v>
      </c>
      <c r="I826" s="61" t="s">
        <v>271</v>
      </c>
      <c r="J826" s="11">
        <v>9562</v>
      </c>
      <c r="K826" s="11">
        <v>11564</v>
      </c>
      <c r="L826" s="11">
        <v>2002</v>
      </c>
      <c r="M826" s="51">
        <v>3402459</v>
      </c>
      <c r="N826" s="51">
        <v>0</v>
      </c>
      <c r="O826" s="51">
        <v>0</v>
      </c>
      <c r="P826" s="30">
        <v>0</v>
      </c>
      <c r="Q826" s="29">
        <v>0</v>
      </c>
      <c r="R826" s="29">
        <v>3402459</v>
      </c>
      <c r="S826" s="29">
        <v>3000</v>
      </c>
      <c r="T826" s="29">
        <f t="shared" si="51"/>
        <v>3405459</v>
      </c>
    </row>
    <row r="827" spans="1:20" ht="21" customHeight="1" x14ac:dyDescent="0.25">
      <c r="A827" s="21">
        <v>36</v>
      </c>
      <c r="B827" s="109">
        <v>514100633528</v>
      </c>
      <c r="C827" s="110" t="s">
        <v>3614</v>
      </c>
      <c r="D827" s="23" t="s">
        <v>30</v>
      </c>
      <c r="E827" s="2" t="s">
        <v>2370</v>
      </c>
      <c r="F827" s="1" t="s">
        <v>25</v>
      </c>
      <c r="G827" s="8">
        <v>3500</v>
      </c>
      <c r="H827" s="61" t="s">
        <v>26</v>
      </c>
      <c r="I827" s="61" t="s">
        <v>320</v>
      </c>
      <c r="J827" s="11">
        <v>33852</v>
      </c>
      <c r="K827" s="11">
        <v>34707</v>
      </c>
      <c r="L827" s="11">
        <v>855</v>
      </c>
      <c r="M827" s="51">
        <v>1453098</v>
      </c>
      <c r="N827" s="51">
        <v>0</v>
      </c>
      <c r="O827" s="51">
        <v>0</v>
      </c>
      <c r="P827" s="30">
        <v>0</v>
      </c>
      <c r="Q827" s="29">
        <v>0</v>
      </c>
      <c r="R827" s="29">
        <v>1453098</v>
      </c>
      <c r="S827" s="29">
        <v>3000</v>
      </c>
      <c r="T827" s="29">
        <f t="shared" si="51"/>
        <v>1456098</v>
      </c>
    </row>
    <row r="828" spans="1:20" ht="21" customHeight="1" x14ac:dyDescent="0.25">
      <c r="A828" s="21">
        <v>37</v>
      </c>
      <c r="B828" s="109">
        <v>514100672817</v>
      </c>
      <c r="C828" s="110" t="s">
        <v>3615</v>
      </c>
      <c r="D828" s="23" t="s">
        <v>30</v>
      </c>
      <c r="E828" s="62" t="s">
        <v>2371</v>
      </c>
      <c r="F828" s="63" t="s">
        <v>25</v>
      </c>
      <c r="G828" s="64">
        <v>7700</v>
      </c>
      <c r="H828" s="61" t="s">
        <v>26</v>
      </c>
      <c r="I828" s="61" t="s">
        <v>2372</v>
      </c>
      <c r="J828" s="11">
        <v>0</v>
      </c>
      <c r="K828" s="11">
        <v>0</v>
      </c>
      <c r="L828" s="11">
        <v>2888</v>
      </c>
      <c r="M828" s="51">
        <v>4908243</v>
      </c>
      <c r="N828" s="51">
        <v>0</v>
      </c>
      <c r="O828" s="51">
        <v>0</v>
      </c>
      <c r="P828" s="30">
        <v>0</v>
      </c>
      <c r="Q828" s="29">
        <v>0</v>
      </c>
      <c r="R828" s="29">
        <v>4908243</v>
      </c>
      <c r="S828" s="29">
        <v>3000</v>
      </c>
      <c r="T828" s="29">
        <f t="shared" si="51"/>
        <v>4911243</v>
      </c>
    </row>
    <row r="829" spans="1:20" ht="21" customHeight="1" x14ac:dyDescent="0.25">
      <c r="A829" s="21">
        <v>38</v>
      </c>
      <c r="B829" s="109">
        <v>514100673118</v>
      </c>
      <c r="C829" s="110" t="s">
        <v>3616</v>
      </c>
      <c r="D829" s="23" t="s">
        <v>30</v>
      </c>
      <c r="E829" s="2" t="s">
        <v>2321</v>
      </c>
      <c r="F829" s="1" t="s">
        <v>25</v>
      </c>
      <c r="G829" s="8">
        <v>2200</v>
      </c>
      <c r="H829" s="61" t="s">
        <v>26</v>
      </c>
      <c r="I829" s="61" t="s">
        <v>589</v>
      </c>
      <c r="J829" s="11">
        <v>26793</v>
      </c>
      <c r="K829" s="11">
        <v>27301</v>
      </c>
      <c r="L829" s="11">
        <v>508</v>
      </c>
      <c r="M829" s="51">
        <v>863361</v>
      </c>
      <c r="N829" s="51">
        <v>0</v>
      </c>
      <c r="O829" s="51">
        <v>0</v>
      </c>
      <c r="P829" s="30">
        <v>0</v>
      </c>
      <c r="Q829" s="29">
        <v>0</v>
      </c>
      <c r="R829" s="29">
        <v>863361</v>
      </c>
      <c r="S829" s="29">
        <v>3000</v>
      </c>
      <c r="T829" s="29">
        <f t="shared" si="51"/>
        <v>866361</v>
      </c>
    </row>
    <row r="830" spans="1:20" ht="21" customHeight="1" x14ac:dyDescent="0.25">
      <c r="A830" s="21">
        <v>39</v>
      </c>
      <c r="B830" s="109">
        <v>514100673126</v>
      </c>
      <c r="C830" s="110" t="s">
        <v>3617</v>
      </c>
      <c r="D830" s="23" t="s">
        <v>30</v>
      </c>
      <c r="E830" s="2" t="s">
        <v>2373</v>
      </c>
      <c r="F830" s="1" t="s">
        <v>25</v>
      </c>
      <c r="G830" s="8">
        <v>3500</v>
      </c>
      <c r="H830" s="61" t="s">
        <v>26</v>
      </c>
      <c r="I830" s="61" t="s">
        <v>43</v>
      </c>
      <c r="J830" s="11">
        <v>23629</v>
      </c>
      <c r="K830" s="11">
        <v>23829</v>
      </c>
      <c r="L830" s="11">
        <v>200</v>
      </c>
      <c r="M830" s="51">
        <v>339906</v>
      </c>
      <c r="N830" s="51">
        <v>0</v>
      </c>
      <c r="O830" s="51">
        <v>0</v>
      </c>
      <c r="P830" s="30">
        <v>0</v>
      </c>
      <c r="Q830" s="29">
        <v>0</v>
      </c>
      <c r="R830" s="29">
        <v>339906</v>
      </c>
      <c r="S830" s="29">
        <v>3000</v>
      </c>
      <c r="T830" s="29">
        <f t="shared" si="51"/>
        <v>342906</v>
      </c>
    </row>
    <row r="831" spans="1:20" ht="21" customHeight="1" x14ac:dyDescent="0.25">
      <c r="A831" s="21">
        <v>40</v>
      </c>
      <c r="B831" s="109">
        <v>514100715619</v>
      </c>
      <c r="C831" s="110" t="s">
        <v>3618</v>
      </c>
      <c r="D831" s="23" t="s">
        <v>30</v>
      </c>
      <c r="E831" s="2" t="s">
        <v>2363</v>
      </c>
      <c r="F831" s="1" t="s">
        <v>25</v>
      </c>
      <c r="G831" s="8">
        <v>2500</v>
      </c>
      <c r="H831" s="61" t="s">
        <v>26</v>
      </c>
      <c r="I831" s="61" t="s">
        <v>2374</v>
      </c>
      <c r="J831" s="11">
        <v>995</v>
      </c>
      <c r="K831" s="11">
        <v>1616</v>
      </c>
      <c r="L831" s="11">
        <v>621</v>
      </c>
      <c r="M831" s="51">
        <v>1055408</v>
      </c>
      <c r="N831" s="51">
        <v>0</v>
      </c>
      <c r="O831" s="51">
        <v>0</v>
      </c>
      <c r="P831" s="30">
        <v>0</v>
      </c>
      <c r="Q831" s="29">
        <v>0</v>
      </c>
      <c r="R831" s="29">
        <v>1055408</v>
      </c>
      <c r="S831" s="29">
        <v>3000</v>
      </c>
      <c r="T831" s="29">
        <f t="shared" si="51"/>
        <v>1058408</v>
      </c>
    </row>
    <row r="832" spans="1:20" ht="21" customHeight="1" x14ac:dyDescent="0.25">
      <c r="A832" s="21"/>
      <c r="B832" s="109"/>
      <c r="C832" s="110"/>
      <c r="D832" s="23"/>
      <c r="E832" s="2"/>
      <c r="F832" s="1"/>
      <c r="G832" s="8"/>
      <c r="H832" s="61"/>
      <c r="I832" s="61"/>
      <c r="J832" s="11"/>
      <c r="K832" s="11"/>
      <c r="L832" s="11"/>
      <c r="M832" s="51"/>
      <c r="N832" s="51"/>
      <c r="O832" s="51"/>
      <c r="P832" s="30"/>
      <c r="Q832" s="29"/>
      <c r="R832" s="29"/>
      <c r="S832" s="29"/>
      <c r="T832" s="29"/>
    </row>
    <row r="833" spans="1:20" ht="36.75" customHeight="1" x14ac:dyDescent="0.25">
      <c r="A833" s="21"/>
      <c r="B833" s="22"/>
      <c r="C833" s="23"/>
      <c r="D833" s="23"/>
      <c r="E833" s="24" t="s">
        <v>179</v>
      </c>
      <c r="F833" s="22"/>
      <c r="G833" s="111">
        <v>322410</v>
      </c>
      <c r="H833" s="61"/>
      <c r="I833" s="111">
        <v>0</v>
      </c>
      <c r="J833" s="111"/>
      <c r="K833" s="111"/>
      <c r="L833" s="111">
        <v>116760</v>
      </c>
      <c r="M833" s="33">
        <v>198437126</v>
      </c>
      <c r="N833" s="34">
        <v>0</v>
      </c>
      <c r="O833" s="34">
        <v>0</v>
      </c>
      <c r="P833" s="34">
        <v>0</v>
      </c>
      <c r="Q833" s="33">
        <f>SUM(Q791:Q832)</f>
        <v>120000</v>
      </c>
      <c r="R833" s="33">
        <f t="shared" ref="R833:T833" si="52">SUM(R791:R832)</f>
        <v>198557126</v>
      </c>
      <c r="S833" s="33">
        <f t="shared" si="52"/>
        <v>120000</v>
      </c>
      <c r="T833" s="33">
        <f t="shared" si="52"/>
        <v>198677126</v>
      </c>
    </row>
    <row r="834" spans="1:20" ht="21" customHeight="1" x14ac:dyDescent="0.25">
      <c r="A834" s="96"/>
      <c r="B834" s="93"/>
      <c r="C834" s="94"/>
      <c r="D834" s="94"/>
      <c r="E834" s="94"/>
      <c r="F834" s="93"/>
      <c r="G834" s="112"/>
      <c r="H834" s="41"/>
      <c r="L834" s="41"/>
    </row>
    <row r="835" spans="1:20" ht="21" customHeight="1" x14ac:dyDescent="0.25">
      <c r="A835" s="96"/>
      <c r="B835" s="93"/>
      <c r="C835" s="94"/>
      <c r="D835" s="94"/>
      <c r="E835" s="94"/>
      <c r="F835" s="93"/>
      <c r="G835" s="112"/>
      <c r="L835" s="41"/>
    </row>
    <row r="836" spans="1:20" s="93" customFormat="1" ht="42" customHeight="1" x14ac:dyDescent="0.25">
      <c r="A836" s="31" t="s">
        <v>4</v>
      </c>
      <c r="B836" s="31" t="s">
        <v>5</v>
      </c>
      <c r="C836" s="31" t="s">
        <v>6</v>
      </c>
      <c r="D836" s="22"/>
      <c r="E836" s="31" t="s">
        <v>7</v>
      </c>
      <c r="F836" s="31" t="s">
        <v>8</v>
      </c>
      <c r="G836" s="31" t="s">
        <v>9</v>
      </c>
      <c r="H836" s="31" t="s">
        <v>10</v>
      </c>
      <c r="I836" s="31" t="s">
        <v>11</v>
      </c>
      <c r="J836" s="31" t="s">
        <v>12</v>
      </c>
      <c r="K836" s="31" t="s">
        <v>13</v>
      </c>
      <c r="L836" s="31" t="s">
        <v>14</v>
      </c>
      <c r="M836" s="141" t="s">
        <v>15</v>
      </c>
      <c r="N836" s="142" t="s">
        <v>16</v>
      </c>
      <c r="O836" s="142" t="s">
        <v>17</v>
      </c>
      <c r="P836" s="142" t="s">
        <v>18</v>
      </c>
      <c r="Q836" s="141" t="s">
        <v>19</v>
      </c>
      <c r="R836" s="141" t="s">
        <v>20</v>
      </c>
      <c r="S836" s="141" t="s">
        <v>3655</v>
      </c>
      <c r="T836" s="141" t="s">
        <v>3656</v>
      </c>
    </row>
    <row r="837" spans="1:20" ht="21" customHeight="1" x14ac:dyDescent="0.25">
      <c r="A837" s="21"/>
      <c r="B837" s="22"/>
      <c r="C837" s="23"/>
      <c r="D837" s="23"/>
      <c r="E837" s="23"/>
      <c r="F837" s="22"/>
      <c r="G837" s="22"/>
      <c r="H837" s="27"/>
      <c r="I837" s="25" t="s">
        <v>0</v>
      </c>
      <c r="J837" s="25"/>
      <c r="K837" s="25"/>
      <c r="L837" s="28" t="s">
        <v>0</v>
      </c>
      <c r="M837" s="29"/>
      <c r="N837" s="30"/>
      <c r="O837" s="30"/>
      <c r="P837" s="30"/>
      <c r="Q837" s="29"/>
      <c r="R837" s="29"/>
      <c r="S837" s="29"/>
      <c r="T837" s="29"/>
    </row>
    <row r="838" spans="1:20" ht="21" customHeight="1" x14ac:dyDescent="0.25">
      <c r="A838" s="21"/>
      <c r="B838" s="22"/>
      <c r="C838" s="23"/>
      <c r="D838" s="23"/>
      <c r="E838" s="45" t="s">
        <v>181</v>
      </c>
      <c r="F838" s="22"/>
      <c r="G838" s="32">
        <v>322410</v>
      </c>
      <c r="H838" s="32">
        <v>0</v>
      </c>
      <c r="I838" s="32">
        <v>0</v>
      </c>
      <c r="J838" s="32"/>
      <c r="K838" s="32"/>
      <c r="L838" s="32">
        <v>116760</v>
      </c>
      <c r="M838" s="33">
        <v>198437126</v>
      </c>
      <c r="N838" s="34">
        <v>0</v>
      </c>
      <c r="O838" s="34">
        <v>0</v>
      </c>
      <c r="P838" s="34">
        <v>0</v>
      </c>
      <c r="Q838" s="33">
        <f>Q833</f>
        <v>120000</v>
      </c>
      <c r="R838" s="33">
        <f t="shared" ref="R838:T838" si="53">R833</f>
        <v>198557126</v>
      </c>
      <c r="S838" s="33">
        <f t="shared" si="53"/>
        <v>120000</v>
      </c>
      <c r="T838" s="33">
        <f t="shared" si="53"/>
        <v>198677126</v>
      </c>
    </row>
    <row r="839" spans="1:20" ht="21" customHeight="1" x14ac:dyDescent="0.25">
      <c r="A839" s="21">
        <v>41</v>
      </c>
      <c r="B839" s="109">
        <v>514100715627</v>
      </c>
      <c r="C839" s="110" t="s">
        <v>3619</v>
      </c>
      <c r="D839" s="23" t="s">
        <v>30</v>
      </c>
      <c r="E839" s="62" t="s">
        <v>2363</v>
      </c>
      <c r="F839" s="63" t="s">
        <v>25</v>
      </c>
      <c r="G839" s="64">
        <v>5070</v>
      </c>
      <c r="H839" s="61" t="s">
        <v>26</v>
      </c>
      <c r="I839" s="61" t="s">
        <v>425</v>
      </c>
      <c r="J839" s="11">
        <v>21777</v>
      </c>
      <c r="K839" s="11">
        <v>22660</v>
      </c>
      <c r="L839" s="11">
        <v>883</v>
      </c>
      <c r="M839" s="51">
        <v>1500685</v>
      </c>
      <c r="N839" s="11">
        <v>0</v>
      </c>
      <c r="O839" s="11">
        <v>0</v>
      </c>
      <c r="P839" s="11">
        <v>0</v>
      </c>
      <c r="Q839" s="157">
        <v>0</v>
      </c>
      <c r="R839" s="29">
        <v>1500685</v>
      </c>
      <c r="S839" s="29">
        <v>3000</v>
      </c>
      <c r="T839" s="29">
        <f t="shared" ref="T839:T878" si="54">R839+S839</f>
        <v>1503685</v>
      </c>
    </row>
    <row r="840" spans="1:20" ht="21" customHeight="1" x14ac:dyDescent="0.25">
      <c r="A840" s="21">
        <v>42</v>
      </c>
      <c r="B840" s="109">
        <v>514100720737</v>
      </c>
      <c r="C840" s="110" t="s">
        <v>3620</v>
      </c>
      <c r="D840" s="23" t="s">
        <v>23</v>
      </c>
      <c r="E840" s="62" t="s">
        <v>2375</v>
      </c>
      <c r="F840" s="63" t="s">
        <v>25</v>
      </c>
      <c r="G840" s="64">
        <v>9000</v>
      </c>
      <c r="H840" s="61" t="s">
        <v>26</v>
      </c>
      <c r="I840" s="61" t="s">
        <v>2376</v>
      </c>
      <c r="J840" s="11">
        <v>284293</v>
      </c>
      <c r="K840" s="11">
        <v>285781</v>
      </c>
      <c r="L840" s="11">
        <v>1488</v>
      </c>
      <c r="M840" s="51">
        <v>2528901</v>
      </c>
      <c r="N840" s="11">
        <v>0</v>
      </c>
      <c r="O840" s="11">
        <v>0</v>
      </c>
      <c r="P840" s="11">
        <v>0</v>
      </c>
      <c r="Q840" s="157">
        <v>0</v>
      </c>
      <c r="R840" s="29">
        <v>2528901</v>
      </c>
      <c r="S840" s="29">
        <v>3000</v>
      </c>
      <c r="T840" s="29">
        <f t="shared" si="54"/>
        <v>2531901</v>
      </c>
    </row>
    <row r="841" spans="1:20" ht="21" customHeight="1" x14ac:dyDescent="0.25">
      <c r="A841" s="21">
        <v>43</v>
      </c>
      <c r="B841" s="109">
        <v>514100720745</v>
      </c>
      <c r="C841" s="110" t="s">
        <v>3621</v>
      </c>
      <c r="D841" s="23" t="s">
        <v>30</v>
      </c>
      <c r="E841" s="62" t="s">
        <v>2375</v>
      </c>
      <c r="F841" s="63" t="s">
        <v>25</v>
      </c>
      <c r="G841" s="64">
        <v>6880</v>
      </c>
      <c r="H841" s="61" t="s">
        <v>26</v>
      </c>
      <c r="I841" s="61" t="s">
        <v>376</v>
      </c>
      <c r="J841" s="11">
        <v>267934</v>
      </c>
      <c r="K841" s="11">
        <v>269394</v>
      </c>
      <c r="L841" s="11">
        <v>1460</v>
      </c>
      <c r="M841" s="51">
        <v>2481314</v>
      </c>
      <c r="N841" s="11">
        <v>0</v>
      </c>
      <c r="O841" s="11">
        <v>0</v>
      </c>
      <c r="P841" s="11">
        <v>0</v>
      </c>
      <c r="Q841" s="157">
        <v>0</v>
      </c>
      <c r="R841" s="29">
        <v>2481314</v>
      </c>
      <c r="S841" s="29">
        <v>3000</v>
      </c>
      <c r="T841" s="29">
        <f t="shared" si="54"/>
        <v>2484314</v>
      </c>
    </row>
    <row r="842" spans="1:20" ht="21" customHeight="1" x14ac:dyDescent="0.25">
      <c r="A842" s="21">
        <v>44</v>
      </c>
      <c r="B842" s="109">
        <v>514100722582</v>
      </c>
      <c r="C842" s="110" t="s">
        <v>3622</v>
      </c>
      <c r="D842" s="23" t="s">
        <v>30</v>
      </c>
      <c r="E842" s="62" t="s">
        <v>2377</v>
      </c>
      <c r="F842" s="63" t="s">
        <v>25</v>
      </c>
      <c r="G842" s="64">
        <v>400</v>
      </c>
      <c r="H842" s="61" t="s">
        <v>26</v>
      </c>
      <c r="I842" s="61" t="s">
        <v>2378</v>
      </c>
      <c r="J842" s="11">
        <v>751</v>
      </c>
      <c r="K842" s="11">
        <v>759</v>
      </c>
      <c r="L842" s="11">
        <v>16</v>
      </c>
      <c r="M842" s="51">
        <v>27192</v>
      </c>
      <c r="N842" s="11">
        <v>0</v>
      </c>
      <c r="O842" s="11">
        <v>0</v>
      </c>
      <c r="P842" s="11">
        <v>0</v>
      </c>
      <c r="Q842" s="157">
        <v>0</v>
      </c>
      <c r="R842" s="29">
        <v>27192</v>
      </c>
      <c r="S842" s="29">
        <v>3000</v>
      </c>
      <c r="T842" s="29">
        <f t="shared" si="54"/>
        <v>30192</v>
      </c>
    </row>
    <row r="843" spans="1:20" ht="21" customHeight="1" x14ac:dyDescent="0.25">
      <c r="A843" s="21">
        <v>45</v>
      </c>
      <c r="B843" s="109">
        <v>514100722590</v>
      </c>
      <c r="C843" s="110" t="s">
        <v>3623</v>
      </c>
      <c r="D843" s="23" t="s">
        <v>23</v>
      </c>
      <c r="E843" s="62" t="s">
        <v>2379</v>
      </c>
      <c r="F843" s="63" t="s">
        <v>25</v>
      </c>
      <c r="G843" s="64">
        <v>3500</v>
      </c>
      <c r="H843" s="61" t="s">
        <v>26</v>
      </c>
      <c r="I843" s="61" t="s">
        <v>653</v>
      </c>
      <c r="J843" s="11">
        <v>41850</v>
      </c>
      <c r="K843" s="11">
        <v>42579</v>
      </c>
      <c r="L843" s="11">
        <v>729</v>
      </c>
      <c r="M843" s="51">
        <v>1238957</v>
      </c>
      <c r="N843" s="11">
        <v>0</v>
      </c>
      <c r="O843" s="11">
        <v>0</v>
      </c>
      <c r="P843" s="11">
        <v>0</v>
      </c>
      <c r="Q843" s="157">
        <v>0</v>
      </c>
      <c r="R843" s="29">
        <v>1238957</v>
      </c>
      <c r="S843" s="29">
        <v>3000</v>
      </c>
      <c r="T843" s="29">
        <f t="shared" si="54"/>
        <v>1241957</v>
      </c>
    </row>
    <row r="844" spans="1:20" ht="21" customHeight="1" x14ac:dyDescent="0.25">
      <c r="A844" s="21">
        <v>46</v>
      </c>
      <c r="B844" s="109">
        <v>514100722603</v>
      </c>
      <c r="C844" s="110" t="s">
        <v>3624</v>
      </c>
      <c r="D844" s="23" t="s">
        <v>23</v>
      </c>
      <c r="E844" s="62" t="s">
        <v>2379</v>
      </c>
      <c r="F844" s="63" t="s">
        <v>25</v>
      </c>
      <c r="G844" s="64">
        <v>3500</v>
      </c>
      <c r="H844" s="61" t="s">
        <v>26</v>
      </c>
      <c r="I844" s="61" t="s">
        <v>706</v>
      </c>
      <c r="J844" s="11">
        <v>58291</v>
      </c>
      <c r="K844" s="11">
        <v>59273</v>
      </c>
      <c r="L844" s="11">
        <v>982</v>
      </c>
      <c r="M844" s="51">
        <v>1668938</v>
      </c>
      <c r="N844" s="11">
        <v>0</v>
      </c>
      <c r="O844" s="11">
        <v>0</v>
      </c>
      <c r="P844" s="11">
        <v>0</v>
      </c>
      <c r="Q844" s="157">
        <v>0</v>
      </c>
      <c r="R844" s="29">
        <v>1668938</v>
      </c>
      <c r="S844" s="29">
        <v>3000</v>
      </c>
      <c r="T844" s="29">
        <f t="shared" si="54"/>
        <v>1671938</v>
      </c>
    </row>
    <row r="845" spans="1:20" ht="21" customHeight="1" x14ac:dyDescent="0.25">
      <c r="A845" s="21">
        <v>47</v>
      </c>
      <c r="B845" s="109">
        <v>514100768877</v>
      </c>
      <c r="C845" s="110" t="s">
        <v>3625</v>
      </c>
      <c r="D845" s="23" t="s">
        <v>30</v>
      </c>
      <c r="E845" s="2" t="s">
        <v>2380</v>
      </c>
      <c r="F845" s="1" t="s">
        <v>25</v>
      </c>
      <c r="G845" s="8">
        <v>2200</v>
      </c>
      <c r="H845" s="61" t="s">
        <v>26</v>
      </c>
      <c r="I845" s="61" t="s">
        <v>2381</v>
      </c>
      <c r="J845" s="11">
        <v>526</v>
      </c>
      <c r="K845" s="11">
        <v>599</v>
      </c>
      <c r="L845" s="11">
        <v>88</v>
      </c>
      <c r="M845" s="51">
        <v>149559</v>
      </c>
      <c r="N845" s="11">
        <v>0</v>
      </c>
      <c r="O845" s="11">
        <v>0</v>
      </c>
      <c r="P845" s="11">
        <v>0</v>
      </c>
      <c r="Q845" s="157">
        <v>0</v>
      </c>
      <c r="R845" s="29">
        <v>149559</v>
      </c>
      <c r="S845" s="29">
        <v>3000</v>
      </c>
      <c r="T845" s="29">
        <f t="shared" si="54"/>
        <v>152559</v>
      </c>
    </row>
    <row r="846" spans="1:20" ht="21" customHeight="1" x14ac:dyDescent="0.25">
      <c r="A846" s="21">
        <v>48</v>
      </c>
      <c r="B846" s="109">
        <v>514100844327</v>
      </c>
      <c r="C846" s="110" t="s">
        <v>3626</v>
      </c>
      <c r="D846" s="23" t="s">
        <v>30</v>
      </c>
      <c r="E846" s="62" t="s">
        <v>2382</v>
      </c>
      <c r="F846" s="63" t="s">
        <v>25</v>
      </c>
      <c r="G846" s="64">
        <v>3500</v>
      </c>
      <c r="H846" s="61" t="s">
        <v>26</v>
      </c>
      <c r="I846" s="61" t="s">
        <v>2383</v>
      </c>
      <c r="J846" s="11">
        <v>27029</v>
      </c>
      <c r="K846" s="11">
        <v>28767</v>
      </c>
      <c r="L846" s="11">
        <v>1738</v>
      </c>
      <c r="M846" s="51">
        <v>2953783</v>
      </c>
      <c r="N846" s="11">
        <v>0</v>
      </c>
      <c r="O846" s="11">
        <v>0</v>
      </c>
      <c r="P846" s="11">
        <v>0</v>
      </c>
      <c r="Q846" s="157">
        <v>0</v>
      </c>
      <c r="R846" s="29">
        <v>2953783</v>
      </c>
      <c r="S846" s="29">
        <v>3000</v>
      </c>
      <c r="T846" s="29">
        <f t="shared" si="54"/>
        <v>2956783</v>
      </c>
    </row>
    <row r="847" spans="1:20" ht="21" customHeight="1" x14ac:dyDescent="0.25">
      <c r="A847" s="21">
        <v>49</v>
      </c>
      <c r="B847" s="109">
        <v>514100844335</v>
      </c>
      <c r="C847" s="110" t="s">
        <v>3627</v>
      </c>
      <c r="D847" s="23" t="s">
        <v>23</v>
      </c>
      <c r="E847" s="62" t="s">
        <v>2384</v>
      </c>
      <c r="F847" s="63" t="s">
        <v>25</v>
      </c>
      <c r="G847" s="64">
        <v>3500</v>
      </c>
      <c r="H847" s="61" t="s">
        <v>26</v>
      </c>
      <c r="I847" s="61" t="s">
        <v>2385</v>
      </c>
      <c r="J847" s="11">
        <v>25776</v>
      </c>
      <c r="K847" s="11">
        <v>27639</v>
      </c>
      <c r="L847" s="11">
        <v>1863</v>
      </c>
      <c r="M847" s="51">
        <v>3166224</v>
      </c>
      <c r="N847" s="11">
        <v>0</v>
      </c>
      <c r="O847" s="11">
        <v>0</v>
      </c>
      <c r="P847" s="11">
        <v>0</v>
      </c>
      <c r="Q847" s="157">
        <v>0</v>
      </c>
      <c r="R847" s="29">
        <v>3166224</v>
      </c>
      <c r="S847" s="29">
        <v>3000</v>
      </c>
      <c r="T847" s="29">
        <f t="shared" si="54"/>
        <v>3169224</v>
      </c>
    </row>
    <row r="848" spans="1:20" ht="21" customHeight="1" x14ac:dyDescent="0.25">
      <c r="A848" s="21">
        <v>50</v>
      </c>
      <c r="B848" s="109">
        <v>514100844343</v>
      </c>
      <c r="C848" s="110" t="s">
        <v>3628</v>
      </c>
      <c r="D848" s="23" t="s">
        <v>30</v>
      </c>
      <c r="E848" s="62" t="s">
        <v>2386</v>
      </c>
      <c r="F848" s="63" t="s">
        <v>25</v>
      </c>
      <c r="G848" s="64">
        <v>3500</v>
      </c>
      <c r="H848" s="61" t="s">
        <v>26</v>
      </c>
      <c r="I848" s="61" t="s">
        <v>2387</v>
      </c>
      <c r="J848" s="11">
        <v>149261</v>
      </c>
      <c r="K848" s="11">
        <v>150944</v>
      </c>
      <c r="L848" s="11">
        <v>1683</v>
      </c>
      <c r="M848" s="51">
        <v>2860309</v>
      </c>
      <c r="N848" s="11">
        <v>0</v>
      </c>
      <c r="O848" s="11">
        <v>0</v>
      </c>
      <c r="P848" s="11">
        <v>0</v>
      </c>
      <c r="Q848" s="157">
        <v>0</v>
      </c>
      <c r="R848" s="29">
        <v>2860309</v>
      </c>
      <c r="S848" s="29">
        <v>3000</v>
      </c>
      <c r="T848" s="29">
        <f t="shared" si="54"/>
        <v>2863309</v>
      </c>
    </row>
    <row r="849" spans="1:20" ht="21" customHeight="1" x14ac:dyDescent="0.25">
      <c r="A849" s="21">
        <v>51</v>
      </c>
      <c r="B849" s="109">
        <v>514100844350</v>
      </c>
      <c r="C849" s="110" t="s">
        <v>3629</v>
      </c>
      <c r="D849" s="23" t="s">
        <v>30</v>
      </c>
      <c r="E849" s="62" t="s">
        <v>2388</v>
      </c>
      <c r="F849" s="63" t="s">
        <v>25</v>
      </c>
      <c r="G849" s="64">
        <v>3500</v>
      </c>
      <c r="H849" s="61" t="s">
        <v>26</v>
      </c>
      <c r="I849" s="61" t="s">
        <v>2389</v>
      </c>
      <c r="J849" s="11">
        <v>49241</v>
      </c>
      <c r="K849" s="11">
        <v>49241</v>
      </c>
      <c r="L849" s="11">
        <v>140</v>
      </c>
      <c r="M849" s="51">
        <v>237934</v>
      </c>
      <c r="N849" s="11">
        <v>0</v>
      </c>
      <c r="O849" s="11">
        <v>0</v>
      </c>
      <c r="P849" s="11">
        <v>0</v>
      </c>
      <c r="Q849" s="157">
        <v>0</v>
      </c>
      <c r="R849" s="29">
        <v>237934</v>
      </c>
      <c r="S849" s="29">
        <v>3000</v>
      </c>
      <c r="T849" s="29">
        <f t="shared" si="54"/>
        <v>240934</v>
      </c>
    </row>
    <row r="850" spans="1:20" ht="21" customHeight="1" x14ac:dyDescent="0.25">
      <c r="A850" s="21">
        <v>52</v>
      </c>
      <c r="B850" s="109">
        <v>514100844368</v>
      </c>
      <c r="C850" s="110" t="s">
        <v>3630</v>
      </c>
      <c r="D850" s="23" t="s">
        <v>30</v>
      </c>
      <c r="E850" s="62" t="s">
        <v>2390</v>
      </c>
      <c r="F850" s="63" t="s">
        <v>25</v>
      </c>
      <c r="G850" s="64">
        <v>3500</v>
      </c>
      <c r="H850" s="61" t="s">
        <v>26</v>
      </c>
      <c r="I850" s="61" t="s">
        <v>2391</v>
      </c>
      <c r="J850" s="11">
        <v>119418</v>
      </c>
      <c r="K850" s="11">
        <v>120401</v>
      </c>
      <c r="L850" s="11">
        <v>983</v>
      </c>
      <c r="M850" s="51">
        <v>1670638</v>
      </c>
      <c r="N850" s="11">
        <v>0</v>
      </c>
      <c r="O850" s="11">
        <v>0</v>
      </c>
      <c r="P850" s="11">
        <v>0</v>
      </c>
      <c r="Q850" s="157">
        <v>0</v>
      </c>
      <c r="R850" s="29">
        <v>1670638</v>
      </c>
      <c r="S850" s="29">
        <v>3000</v>
      </c>
      <c r="T850" s="29">
        <f t="shared" si="54"/>
        <v>1673638</v>
      </c>
    </row>
    <row r="851" spans="1:20" ht="21" customHeight="1" x14ac:dyDescent="0.25">
      <c r="A851" s="21">
        <v>53</v>
      </c>
      <c r="B851" s="109">
        <v>514100844376</v>
      </c>
      <c r="C851" s="110" t="s">
        <v>3631</v>
      </c>
      <c r="D851" s="23" t="s">
        <v>30</v>
      </c>
      <c r="E851" s="62" t="s">
        <v>2392</v>
      </c>
      <c r="F851" s="63" t="s">
        <v>25</v>
      </c>
      <c r="G851" s="64">
        <v>3500</v>
      </c>
      <c r="H851" s="61" t="s">
        <v>26</v>
      </c>
      <c r="I851" s="61" t="s">
        <v>2393</v>
      </c>
      <c r="J851" s="11">
        <v>24572</v>
      </c>
      <c r="K851" s="11">
        <v>26317</v>
      </c>
      <c r="L851" s="11">
        <v>1745</v>
      </c>
      <c r="M851" s="51">
        <v>2965680</v>
      </c>
      <c r="N851" s="11">
        <v>0</v>
      </c>
      <c r="O851" s="11">
        <v>0</v>
      </c>
      <c r="P851" s="11">
        <v>0</v>
      </c>
      <c r="Q851" s="157">
        <v>0</v>
      </c>
      <c r="R851" s="29">
        <v>2965680</v>
      </c>
      <c r="S851" s="29">
        <v>3000</v>
      </c>
      <c r="T851" s="29">
        <f t="shared" si="54"/>
        <v>2968680</v>
      </c>
    </row>
    <row r="852" spans="1:20" ht="21" customHeight="1" x14ac:dyDescent="0.25">
      <c r="A852" s="21">
        <v>54</v>
      </c>
      <c r="B852" s="109">
        <v>514100844384</v>
      </c>
      <c r="C852" s="110" t="s">
        <v>3632</v>
      </c>
      <c r="D852" s="23" t="s">
        <v>30</v>
      </c>
      <c r="E852" s="62" t="s">
        <v>2394</v>
      </c>
      <c r="F852" s="63" t="s">
        <v>25</v>
      </c>
      <c r="G852" s="64">
        <v>5500</v>
      </c>
      <c r="H852" s="61" t="s">
        <v>26</v>
      </c>
      <c r="I852" s="61" t="s">
        <v>2395</v>
      </c>
      <c r="J852" s="11">
        <v>72553</v>
      </c>
      <c r="K852" s="11">
        <v>74118</v>
      </c>
      <c r="L852" s="11">
        <v>1565</v>
      </c>
      <c r="M852" s="51">
        <v>2659764</v>
      </c>
      <c r="N852" s="11">
        <v>0</v>
      </c>
      <c r="O852" s="11">
        <v>0</v>
      </c>
      <c r="P852" s="11">
        <v>0</v>
      </c>
      <c r="Q852" s="157">
        <v>0</v>
      </c>
      <c r="R852" s="29">
        <v>2659764</v>
      </c>
      <c r="S852" s="29">
        <v>3000</v>
      </c>
      <c r="T852" s="29">
        <f t="shared" si="54"/>
        <v>2662764</v>
      </c>
    </row>
    <row r="853" spans="1:20" ht="21" customHeight="1" x14ac:dyDescent="0.25">
      <c r="A853" s="21">
        <v>55</v>
      </c>
      <c r="B853" s="109">
        <v>514100844392</v>
      </c>
      <c r="C853" s="110" t="s">
        <v>3633</v>
      </c>
      <c r="D853" s="23" t="s">
        <v>30</v>
      </c>
      <c r="E853" s="62" t="s">
        <v>2396</v>
      </c>
      <c r="F853" s="63" t="s">
        <v>25</v>
      </c>
      <c r="G853" s="64">
        <v>3500</v>
      </c>
      <c r="H853" s="61" t="s">
        <v>26</v>
      </c>
      <c r="I853" s="61" t="s">
        <v>2397</v>
      </c>
      <c r="J853" s="11">
        <v>15143</v>
      </c>
      <c r="K853" s="11">
        <v>16211</v>
      </c>
      <c r="L853" s="11">
        <v>1068</v>
      </c>
      <c r="M853" s="51">
        <v>1815098</v>
      </c>
      <c r="N853" s="11">
        <v>0</v>
      </c>
      <c r="O853" s="11">
        <v>0</v>
      </c>
      <c r="P853" s="11">
        <v>0</v>
      </c>
      <c r="Q853" s="157">
        <v>0</v>
      </c>
      <c r="R853" s="29">
        <v>1815098</v>
      </c>
      <c r="S853" s="29">
        <v>3000</v>
      </c>
      <c r="T853" s="29">
        <f t="shared" si="54"/>
        <v>1818098</v>
      </c>
    </row>
    <row r="854" spans="1:20" ht="21" customHeight="1" x14ac:dyDescent="0.25">
      <c r="A854" s="21">
        <v>56</v>
      </c>
      <c r="B854" s="109">
        <v>514100844405</v>
      </c>
      <c r="C854" s="110" t="s">
        <v>2574</v>
      </c>
      <c r="D854" s="23" t="s">
        <v>30</v>
      </c>
      <c r="E854" s="62" t="s">
        <v>2398</v>
      </c>
      <c r="F854" s="63" t="s">
        <v>25</v>
      </c>
      <c r="G854" s="64">
        <v>5500</v>
      </c>
      <c r="H854" s="61" t="s">
        <v>26</v>
      </c>
      <c r="I854" s="61" t="s">
        <v>2399</v>
      </c>
      <c r="J854" s="11">
        <v>21878</v>
      </c>
      <c r="K854" s="11">
        <v>23158</v>
      </c>
      <c r="L854" s="11">
        <v>1280</v>
      </c>
      <c r="M854" s="51">
        <v>2175398</v>
      </c>
      <c r="N854" s="11">
        <v>0</v>
      </c>
      <c r="O854" s="11">
        <v>0</v>
      </c>
      <c r="P854" s="11">
        <v>0</v>
      </c>
      <c r="Q854" s="157">
        <v>0</v>
      </c>
      <c r="R854" s="29">
        <v>2175398</v>
      </c>
      <c r="S854" s="29">
        <v>3000</v>
      </c>
      <c r="T854" s="29">
        <f t="shared" si="54"/>
        <v>2178398</v>
      </c>
    </row>
    <row r="855" spans="1:20" ht="21" customHeight="1" x14ac:dyDescent="0.25">
      <c r="A855" s="21">
        <v>57</v>
      </c>
      <c r="B855" s="109">
        <v>514100844413</v>
      </c>
      <c r="C855" s="110" t="s">
        <v>3634</v>
      </c>
      <c r="D855" s="23" t="s">
        <v>30</v>
      </c>
      <c r="E855" s="2" t="s">
        <v>2400</v>
      </c>
      <c r="F855" s="1" t="s">
        <v>25</v>
      </c>
      <c r="G855" s="8">
        <v>3500</v>
      </c>
      <c r="H855" s="61" t="s">
        <v>26</v>
      </c>
      <c r="I855" s="61" t="s">
        <v>2401</v>
      </c>
      <c r="J855" s="11">
        <v>106886</v>
      </c>
      <c r="K855" s="11">
        <v>107471</v>
      </c>
      <c r="L855" s="11">
        <v>585</v>
      </c>
      <c r="M855" s="51">
        <v>994225</v>
      </c>
      <c r="N855" s="11">
        <v>0</v>
      </c>
      <c r="O855" s="11">
        <v>0</v>
      </c>
      <c r="P855" s="11">
        <v>0</v>
      </c>
      <c r="Q855" s="157">
        <v>0</v>
      </c>
      <c r="R855" s="29">
        <v>994225</v>
      </c>
      <c r="S855" s="29">
        <v>3000</v>
      </c>
      <c r="T855" s="29">
        <f t="shared" si="54"/>
        <v>997225</v>
      </c>
    </row>
    <row r="856" spans="1:20" ht="21" customHeight="1" x14ac:dyDescent="0.25">
      <c r="A856" s="21">
        <v>58</v>
      </c>
      <c r="B856" s="109">
        <v>514100844421</v>
      </c>
      <c r="C856" s="110" t="s">
        <v>3635</v>
      </c>
      <c r="D856" s="23" t="s">
        <v>30</v>
      </c>
      <c r="E856" s="62" t="s">
        <v>2402</v>
      </c>
      <c r="F856" s="63" t="s">
        <v>25</v>
      </c>
      <c r="G856" s="64">
        <v>3500</v>
      </c>
      <c r="H856" s="61" t="s">
        <v>26</v>
      </c>
      <c r="I856" s="61" t="s">
        <v>2403</v>
      </c>
      <c r="J856" s="11">
        <v>434</v>
      </c>
      <c r="K856" s="11">
        <v>1798</v>
      </c>
      <c r="L856" s="11">
        <v>1364</v>
      </c>
      <c r="M856" s="51">
        <v>2318159</v>
      </c>
      <c r="N856" s="11">
        <v>0</v>
      </c>
      <c r="O856" s="11">
        <v>0</v>
      </c>
      <c r="P856" s="11">
        <v>0</v>
      </c>
      <c r="Q856" s="157">
        <v>0</v>
      </c>
      <c r="R856" s="29">
        <v>2318159</v>
      </c>
      <c r="S856" s="29">
        <v>3000</v>
      </c>
      <c r="T856" s="29">
        <f t="shared" si="54"/>
        <v>2321159</v>
      </c>
    </row>
    <row r="857" spans="1:20" ht="21" customHeight="1" x14ac:dyDescent="0.25">
      <c r="A857" s="21">
        <v>59</v>
      </c>
      <c r="B857" s="109">
        <v>514100844439</v>
      </c>
      <c r="C857" s="110" t="s">
        <v>3636</v>
      </c>
      <c r="D857" s="23" t="s">
        <v>30</v>
      </c>
      <c r="E857" s="2" t="s">
        <v>2404</v>
      </c>
      <c r="F857" s="1" t="s">
        <v>25</v>
      </c>
      <c r="G857" s="8">
        <v>5500</v>
      </c>
      <c r="H857" s="61" t="s">
        <v>26</v>
      </c>
      <c r="I857" s="61" t="s">
        <v>323</v>
      </c>
      <c r="J857" s="11">
        <v>76932</v>
      </c>
      <c r="K857" s="11">
        <v>78217</v>
      </c>
      <c r="L857" s="11">
        <v>1285</v>
      </c>
      <c r="M857" s="51">
        <v>2183896</v>
      </c>
      <c r="N857" s="11">
        <v>0</v>
      </c>
      <c r="O857" s="11">
        <v>0</v>
      </c>
      <c r="P857" s="11">
        <v>0</v>
      </c>
      <c r="Q857" s="157">
        <v>0</v>
      </c>
      <c r="R857" s="29">
        <v>2183896</v>
      </c>
      <c r="S857" s="29">
        <v>3000</v>
      </c>
      <c r="T857" s="29">
        <f t="shared" si="54"/>
        <v>2186896</v>
      </c>
    </row>
    <row r="858" spans="1:20" ht="21" customHeight="1" x14ac:dyDescent="0.25">
      <c r="A858" s="21">
        <v>60</v>
      </c>
      <c r="B858" s="109">
        <v>514100844447</v>
      </c>
      <c r="C858" s="110" t="s">
        <v>3637</v>
      </c>
      <c r="D858" s="23" t="s">
        <v>30</v>
      </c>
      <c r="E858" s="62" t="s">
        <v>2382</v>
      </c>
      <c r="F858" s="63" t="s">
        <v>25</v>
      </c>
      <c r="G858" s="64">
        <v>3500</v>
      </c>
      <c r="H858" s="61" t="s">
        <v>26</v>
      </c>
      <c r="I858" s="61" t="s">
        <v>2405</v>
      </c>
      <c r="J858" s="11">
        <v>89165</v>
      </c>
      <c r="K858" s="11">
        <v>90412</v>
      </c>
      <c r="L858" s="11">
        <v>1247</v>
      </c>
      <c r="M858" s="51">
        <v>2119314</v>
      </c>
      <c r="N858" s="11">
        <v>0</v>
      </c>
      <c r="O858" s="11">
        <v>0</v>
      </c>
      <c r="P858" s="11">
        <v>0</v>
      </c>
      <c r="Q858" s="157">
        <v>0</v>
      </c>
      <c r="R858" s="29">
        <v>2119314</v>
      </c>
      <c r="S858" s="29">
        <v>3000</v>
      </c>
      <c r="T858" s="29">
        <f t="shared" si="54"/>
        <v>2122314</v>
      </c>
    </row>
    <row r="859" spans="1:20" ht="21" customHeight="1" x14ac:dyDescent="0.25">
      <c r="A859" s="21">
        <v>61</v>
      </c>
      <c r="B859" s="109">
        <v>514100844454</v>
      </c>
      <c r="C859" s="110" t="s">
        <v>3638</v>
      </c>
      <c r="D859" s="23" t="s">
        <v>30</v>
      </c>
      <c r="E859" s="62" t="s">
        <v>2406</v>
      </c>
      <c r="F859" s="63" t="s">
        <v>25</v>
      </c>
      <c r="G859" s="64">
        <v>4400</v>
      </c>
      <c r="H859" s="61" t="s">
        <v>26</v>
      </c>
      <c r="I859" s="61" t="s">
        <v>733</v>
      </c>
      <c r="J859" s="11">
        <v>109292</v>
      </c>
      <c r="K859" s="11">
        <v>110542</v>
      </c>
      <c r="L859" s="11">
        <v>1250</v>
      </c>
      <c r="M859" s="51">
        <v>2124413</v>
      </c>
      <c r="N859" s="11">
        <v>0</v>
      </c>
      <c r="O859" s="11">
        <v>0</v>
      </c>
      <c r="P859" s="11">
        <v>0</v>
      </c>
      <c r="Q859" s="157">
        <v>0</v>
      </c>
      <c r="R859" s="29">
        <v>2124413</v>
      </c>
      <c r="S859" s="29">
        <v>3000</v>
      </c>
      <c r="T859" s="29">
        <f t="shared" si="54"/>
        <v>2127413</v>
      </c>
    </row>
    <row r="860" spans="1:20" ht="21" customHeight="1" x14ac:dyDescent="0.25">
      <c r="A860" s="21">
        <v>62</v>
      </c>
      <c r="B860" s="109">
        <v>514100844470</v>
      </c>
      <c r="C860" s="110" t="s">
        <v>3639</v>
      </c>
      <c r="D860" s="23" t="s">
        <v>30</v>
      </c>
      <c r="E860" s="62" t="s">
        <v>2407</v>
      </c>
      <c r="F860" s="63" t="s">
        <v>25</v>
      </c>
      <c r="G860" s="64">
        <v>3500</v>
      </c>
      <c r="H860" s="61" t="s">
        <v>26</v>
      </c>
      <c r="I860" s="61" t="s">
        <v>2408</v>
      </c>
      <c r="J860" s="11">
        <v>45714</v>
      </c>
      <c r="K860" s="11">
        <v>46566</v>
      </c>
      <c r="L860" s="11">
        <v>852</v>
      </c>
      <c r="M860" s="51">
        <v>1448000</v>
      </c>
      <c r="N860" s="11">
        <v>0</v>
      </c>
      <c r="O860" s="11">
        <v>0</v>
      </c>
      <c r="P860" s="11">
        <v>0</v>
      </c>
      <c r="Q860" s="157">
        <v>0</v>
      </c>
      <c r="R860" s="29">
        <v>1448000</v>
      </c>
      <c r="S860" s="29">
        <v>3000</v>
      </c>
      <c r="T860" s="29">
        <f t="shared" si="54"/>
        <v>1451000</v>
      </c>
    </row>
    <row r="861" spans="1:20" ht="21" customHeight="1" x14ac:dyDescent="0.25">
      <c r="A861" s="21">
        <v>63</v>
      </c>
      <c r="B861" s="109">
        <v>514100844488</v>
      </c>
      <c r="C861" s="110" t="s">
        <v>3640</v>
      </c>
      <c r="D861" s="23" t="s">
        <v>23</v>
      </c>
      <c r="E861" s="2" t="s">
        <v>224</v>
      </c>
      <c r="F861" s="1" t="s">
        <v>25</v>
      </c>
      <c r="G861" s="8">
        <v>3500</v>
      </c>
      <c r="H861" s="61" t="s">
        <v>26</v>
      </c>
      <c r="I861" s="61" t="s">
        <v>240</v>
      </c>
      <c r="J861" s="11">
        <v>80706</v>
      </c>
      <c r="K861" s="11">
        <v>81104</v>
      </c>
      <c r="L861" s="11">
        <v>398</v>
      </c>
      <c r="M861" s="51">
        <v>676413</v>
      </c>
      <c r="N861" s="11">
        <v>0</v>
      </c>
      <c r="O861" s="11">
        <v>0</v>
      </c>
      <c r="P861" s="11">
        <v>0</v>
      </c>
      <c r="Q861" s="157">
        <v>0</v>
      </c>
      <c r="R861" s="29">
        <v>676413</v>
      </c>
      <c r="S861" s="29">
        <v>3000</v>
      </c>
      <c r="T861" s="29">
        <f t="shared" si="54"/>
        <v>679413</v>
      </c>
    </row>
    <row r="862" spans="1:20" ht="21" customHeight="1" x14ac:dyDescent="0.25">
      <c r="A862" s="21">
        <v>64</v>
      </c>
      <c r="B862" s="109">
        <v>514100844496</v>
      </c>
      <c r="C862" s="110" t="s">
        <v>3641</v>
      </c>
      <c r="D862" s="23" t="s">
        <v>30</v>
      </c>
      <c r="E862" s="62" t="s">
        <v>2409</v>
      </c>
      <c r="F862" s="63" t="s">
        <v>25</v>
      </c>
      <c r="G862" s="64">
        <v>3500</v>
      </c>
      <c r="H862" s="61" t="s">
        <v>26</v>
      </c>
      <c r="I862" s="61" t="s">
        <v>672</v>
      </c>
      <c r="J862" s="11">
        <v>14236</v>
      </c>
      <c r="K862" s="11">
        <v>15060</v>
      </c>
      <c r="L862" s="11">
        <v>824</v>
      </c>
      <c r="M862" s="51">
        <v>1400413</v>
      </c>
      <c r="N862" s="11">
        <v>0</v>
      </c>
      <c r="O862" s="11">
        <v>0</v>
      </c>
      <c r="P862" s="11">
        <v>0</v>
      </c>
      <c r="Q862" s="157">
        <v>0</v>
      </c>
      <c r="R862" s="29">
        <v>1400413</v>
      </c>
      <c r="S862" s="29">
        <v>3000</v>
      </c>
      <c r="T862" s="29">
        <f t="shared" si="54"/>
        <v>1403413</v>
      </c>
    </row>
    <row r="863" spans="1:20" ht="21" customHeight="1" x14ac:dyDescent="0.25">
      <c r="A863" s="21">
        <v>65</v>
      </c>
      <c r="B863" s="109">
        <v>514100844500</v>
      </c>
      <c r="C863" s="110" t="s">
        <v>3642</v>
      </c>
      <c r="D863" s="23" t="s">
        <v>30</v>
      </c>
      <c r="E863" s="62" t="s">
        <v>2410</v>
      </c>
      <c r="F863" s="63" t="s">
        <v>25</v>
      </c>
      <c r="G863" s="64">
        <v>4400</v>
      </c>
      <c r="H863" s="61" t="s">
        <v>26</v>
      </c>
      <c r="I863" s="61" t="s">
        <v>2411</v>
      </c>
      <c r="J863" s="11">
        <v>86002</v>
      </c>
      <c r="K863" s="11">
        <v>86667</v>
      </c>
      <c r="L863" s="11">
        <v>665</v>
      </c>
      <c r="M863" s="51">
        <v>1130187</v>
      </c>
      <c r="N863" s="11">
        <v>0</v>
      </c>
      <c r="O863" s="11">
        <v>0</v>
      </c>
      <c r="P863" s="11">
        <v>0</v>
      </c>
      <c r="Q863" s="157">
        <v>0</v>
      </c>
      <c r="R863" s="29">
        <v>1130187</v>
      </c>
      <c r="S863" s="29">
        <v>3000</v>
      </c>
      <c r="T863" s="29">
        <f t="shared" si="54"/>
        <v>1133187</v>
      </c>
    </row>
    <row r="864" spans="1:20" ht="21" customHeight="1" x14ac:dyDescent="0.25">
      <c r="A864" s="21">
        <v>66</v>
      </c>
      <c r="B864" s="109">
        <v>514100844518</v>
      </c>
      <c r="C864" s="110" t="s">
        <v>3643</v>
      </c>
      <c r="D864" s="23" t="s">
        <v>30</v>
      </c>
      <c r="E864" s="62" t="s">
        <v>2400</v>
      </c>
      <c r="F864" s="63" t="s">
        <v>25</v>
      </c>
      <c r="G864" s="64">
        <v>3500</v>
      </c>
      <c r="H864" s="61" t="s">
        <v>26</v>
      </c>
      <c r="I864" s="61" t="s">
        <v>2412</v>
      </c>
      <c r="J864" s="11">
        <v>172489</v>
      </c>
      <c r="K864" s="11">
        <v>173771</v>
      </c>
      <c r="L864" s="11">
        <v>1282</v>
      </c>
      <c r="M864" s="51">
        <v>2178797</v>
      </c>
      <c r="N864" s="11">
        <v>0</v>
      </c>
      <c r="O864" s="11">
        <v>0</v>
      </c>
      <c r="P864" s="11">
        <v>0</v>
      </c>
      <c r="Q864" s="157">
        <v>0</v>
      </c>
      <c r="R864" s="29">
        <v>2178797</v>
      </c>
      <c r="S864" s="29">
        <v>3000</v>
      </c>
      <c r="T864" s="29">
        <f t="shared" si="54"/>
        <v>2181797</v>
      </c>
    </row>
    <row r="865" spans="1:20" ht="21" customHeight="1" x14ac:dyDescent="0.25">
      <c r="A865" s="21">
        <v>67</v>
      </c>
      <c r="B865" s="109">
        <v>514100844526</v>
      </c>
      <c r="C865" s="110" t="s">
        <v>3644</v>
      </c>
      <c r="D865" s="23" t="s">
        <v>23</v>
      </c>
      <c r="E865" s="62" t="s">
        <v>2321</v>
      </c>
      <c r="F865" s="63" t="s">
        <v>25</v>
      </c>
      <c r="G865" s="64">
        <v>7700</v>
      </c>
      <c r="H865" s="61" t="s">
        <v>26</v>
      </c>
      <c r="I865" s="61" t="s">
        <v>676</v>
      </c>
      <c r="J865" s="11">
        <v>61131</v>
      </c>
      <c r="K865" s="11">
        <v>61930</v>
      </c>
      <c r="L865" s="11">
        <v>799</v>
      </c>
      <c r="M865" s="51">
        <v>1357924</v>
      </c>
      <c r="N865" s="11">
        <v>0</v>
      </c>
      <c r="O865" s="11">
        <v>0</v>
      </c>
      <c r="P865" s="11">
        <v>0</v>
      </c>
      <c r="Q865" s="157">
        <v>0</v>
      </c>
      <c r="R865" s="29">
        <v>1357924</v>
      </c>
      <c r="S865" s="29">
        <v>3000</v>
      </c>
      <c r="T865" s="29">
        <f t="shared" si="54"/>
        <v>1360924</v>
      </c>
    </row>
    <row r="866" spans="1:20" ht="21" customHeight="1" x14ac:dyDescent="0.25">
      <c r="A866" s="21">
        <v>68</v>
      </c>
      <c r="B866" s="109">
        <v>514100844534</v>
      </c>
      <c r="C866" s="110" t="s">
        <v>2536</v>
      </c>
      <c r="D866" s="23" t="s">
        <v>30</v>
      </c>
      <c r="E866" s="2" t="s">
        <v>2413</v>
      </c>
      <c r="F866" s="1" t="s">
        <v>25</v>
      </c>
      <c r="G866" s="8">
        <v>3500</v>
      </c>
      <c r="H866" s="61" t="s">
        <v>26</v>
      </c>
      <c r="I866" s="61" t="s">
        <v>2414</v>
      </c>
      <c r="J866" s="11">
        <v>169805</v>
      </c>
      <c r="K866" s="11">
        <v>170856</v>
      </c>
      <c r="L866" s="11">
        <v>1051</v>
      </c>
      <c r="M866" s="51">
        <v>1786206</v>
      </c>
      <c r="N866" s="11">
        <v>0</v>
      </c>
      <c r="O866" s="11">
        <v>0</v>
      </c>
      <c r="P866" s="11">
        <v>0</v>
      </c>
      <c r="Q866" s="157">
        <v>0</v>
      </c>
      <c r="R866" s="29">
        <v>1786206</v>
      </c>
      <c r="S866" s="29">
        <v>3000</v>
      </c>
      <c r="T866" s="29">
        <f t="shared" si="54"/>
        <v>1789206</v>
      </c>
    </row>
    <row r="867" spans="1:20" ht="21" customHeight="1" x14ac:dyDescent="0.25">
      <c r="A867" s="21">
        <v>69</v>
      </c>
      <c r="B867" s="109">
        <v>514100844542</v>
      </c>
      <c r="C867" s="110" t="s">
        <v>3645</v>
      </c>
      <c r="D867" s="23" t="s">
        <v>30</v>
      </c>
      <c r="E867" s="62" t="s">
        <v>2318</v>
      </c>
      <c r="F867" s="63" t="s">
        <v>25</v>
      </c>
      <c r="G867" s="64">
        <v>3500</v>
      </c>
      <c r="H867" s="61" t="s">
        <v>26</v>
      </c>
      <c r="I867" s="61" t="s">
        <v>32</v>
      </c>
      <c r="J867" s="11">
        <v>131270</v>
      </c>
      <c r="K867" s="11">
        <v>132745</v>
      </c>
      <c r="L867" s="11">
        <v>1475</v>
      </c>
      <c r="M867" s="51">
        <v>2506807</v>
      </c>
      <c r="N867" s="11">
        <v>0</v>
      </c>
      <c r="O867" s="11">
        <v>0</v>
      </c>
      <c r="P867" s="11">
        <v>0</v>
      </c>
      <c r="Q867" s="157">
        <v>0</v>
      </c>
      <c r="R867" s="29">
        <v>2506807</v>
      </c>
      <c r="S867" s="29">
        <v>3000</v>
      </c>
      <c r="T867" s="29">
        <f t="shared" si="54"/>
        <v>2509807</v>
      </c>
    </row>
    <row r="868" spans="1:20" ht="21" customHeight="1" x14ac:dyDescent="0.25">
      <c r="A868" s="21">
        <v>70</v>
      </c>
      <c r="B868" s="109">
        <v>514100844559</v>
      </c>
      <c r="C868" s="110" t="s">
        <v>3646</v>
      </c>
      <c r="D868" s="23" t="s">
        <v>23</v>
      </c>
      <c r="E868" s="62" t="s">
        <v>2415</v>
      </c>
      <c r="F868" s="63" t="s">
        <v>25</v>
      </c>
      <c r="G868" s="64">
        <v>5500</v>
      </c>
      <c r="H868" s="61" t="s">
        <v>26</v>
      </c>
      <c r="I868" s="61" t="s">
        <v>2416</v>
      </c>
      <c r="J868" s="11">
        <v>27417</v>
      </c>
      <c r="K868" s="11">
        <v>29136</v>
      </c>
      <c r="L868" s="11">
        <v>1719</v>
      </c>
      <c r="M868" s="51">
        <v>2921492</v>
      </c>
      <c r="N868" s="11">
        <v>0</v>
      </c>
      <c r="O868" s="11">
        <v>0</v>
      </c>
      <c r="P868" s="11">
        <v>0</v>
      </c>
      <c r="Q868" s="157">
        <v>0</v>
      </c>
      <c r="R868" s="29">
        <v>2921492</v>
      </c>
      <c r="S868" s="29">
        <v>3000</v>
      </c>
      <c r="T868" s="29">
        <f t="shared" si="54"/>
        <v>2924492</v>
      </c>
    </row>
    <row r="869" spans="1:20" ht="21" customHeight="1" x14ac:dyDescent="0.25">
      <c r="A869" s="21">
        <v>71</v>
      </c>
      <c r="B869" s="109">
        <v>514100844567</v>
      </c>
      <c r="C869" s="110" t="s">
        <v>3647</v>
      </c>
      <c r="D869" s="23" t="s">
        <v>23</v>
      </c>
      <c r="E869" s="2" t="s">
        <v>2318</v>
      </c>
      <c r="F869" s="1" t="s">
        <v>25</v>
      </c>
      <c r="G869" s="8">
        <v>3500</v>
      </c>
      <c r="H869" s="61" t="s">
        <v>26</v>
      </c>
      <c r="I869" s="61" t="s">
        <v>2417</v>
      </c>
      <c r="J869" s="11">
        <v>28569</v>
      </c>
      <c r="K869" s="11">
        <v>29949</v>
      </c>
      <c r="L869" s="11">
        <v>1380</v>
      </c>
      <c r="M869" s="51">
        <v>2345351</v>
      </c>
      <c r="N869" s="11">
        <v>0</v>
      </c>
      <c r="O869" s="11">
        <v>0</v>
      </c>
      <c r="P869" s="11">
        <v>0</v>
      </c>
      <c r="Q869" s="157">
        <v>0</v>
      </c>
      <c r="R869" s="29">
        <v>2345351</v>
      </c>
      <c r="S869" s="29">
        <v>3000</v>
      </c>
      <c r="T869" s="29">
        <f t="shared" si="54"/>
        <v>2348351</v>
      </c>
    </row>
    <row r="870" spans="1:20" ht="21" customHeight="1" x14ac:dyDescent="0.25">
      <c r="A870" s="21">
        <v>72</v>
      </c>
      <c r="B870" s="109">
        <v>514100844575</v>
      </c>
      <c r="C870" s="110" t="s">
        <v>3648</v>
      </c>
      <c r="D870" s="23" t="s">
        <v>84</v>
      </c>
      <c r="E870" s="62" t="s">
        <v>2392</v>
      </c>
      <c r="F870" s="63" t="s">
        <v>25</v>
      </c>
      <c r="G870" s="64">
        <v>3500</v>
      </c>
      <c r="H870" s="61" t="s">
        <v>26</v>
      </c>
      <c r="I870" s="61" t="s">
        <v>244</v>
      </c>
      <c r="J870" s="11">
        <v>110536</v>
      </c>
      <c r="K870" s="11">
        <v>111066</v>
      </c>
      <c r="L870" s="11">
        <v>530</v>
      </c>
      <c r="M870" s="51">
        <v>900751</v>
      </c>
      <c r="N870" s="11">
        <v>0</v>
      </c>
      <c r="O870" s="11">
        <v>0</v>
      </c>
      <c r="P870" s="11">
        <v>0</v>
      </c>
      <c r="Q870" s="157">
        <v>0</v>
      </c>
      <c r="R870" s="29">
        <v>900751</v>
      </c>
      <c r="S870" s="29">
        <v>3000</v>
      </c>
      <c r="T870" s="29">
        <f t="shared" si="54"/>
        <v>903751</v>
      </c>
    </row>
    <row r="871" spans="1:20" ht="21" customHeight="1" x14ac:dyDescent="0.25">
      <c r="A871" s="21">
        <v>73</v>
      </c>
      <c r="B871" s="109">
        <v>514100844583</v>
      </c>
      <c r="C871" s="110" t="s">
        <v>3590</v>
      </c>
      <c r="D871" s="23" t="s">
        <v>30</v>
      </c>
      <c r="E871" s="2" t="s">
        <v>2318</v>
      </c>
      <c r="F871" s="1" t="s">
        <v>25</v>
      </c>
      <c r="G871" s="8">
        <v>3500</v>
      </c>
      <c r="H871" s="61" t="s">
        <v>26</v>
      </c>
      <c r="I871" s="61" t="s">
        <v>456</v>
      </c>
      <c r="J871" s="11">
        <v>16453</v>
      </c>
      <c r="K871" s="11">
        <v>17440</v>
      </c>
      <c r="L871" s="11">
        <v>987</v>
      </c>
      <c r="M871" s="51">
        <v>1677436</v>
      </c>
      <c r="N871" s="11">
        <v>0</v>
      </c>
      <c r="O871" s="11">
        <v>0</v>
      </c>
      <c r="P871" s="11">
        <v>0</v>
      </c>
      <c r="Q871" s="157">
        <v>0</v>
      </c>
      <c r="R871" s="29">
        <v>1677436</v>
      </c>
      <c r="S871" s="29">
        <v>3000</v>
      </c>
      <c r="T871" s="29">
        <f t="shared" si="54"/>
        <v>1680436</v>
      </c>
    </row>
    <row r="872" spans="1:20" ht="21" customHeight="1" x14ac:dyDescent="0.25">
      <c r="A872" s="21">
        <v>74</v>
      </c>
      <c r="B872" s="109">
        <v>514100844591</v>
      </c>
      <c r="C872" s="110" t="s">
        <v>3649</v>
      </c>
      <c r="D872" s="23" t="s">
        <v>30</v>
      </c>
      <c r="E872" s="2" t="s">
        <v>2418</v>
      </c>
      <c r="F872" s="1" t="s">
        <v>25</v>
      </c>
      <c r="G872" s="8">
        <v>3500</v>
      </c>
      <c r="H872" s="61" t="s">
        <v>26</v>
      </c>
      <c r="I872" s="61" t="s">
        <v>2419</v>
      </c>
      <c r="J872" s="11">
        <v>59905</v>
      </c>
      <c r="K872" s="11">
        <v>60348</v>
      </c>
      <c r="L872" s="11">
        <v>443</v>
      </c>
      <c r="M872" s="51">
        <v>752892</v>
      </c>
      <c r="N872" s="11">
        <v>0</v>
      </c>
      <c r="O872" s="11">
        <v>0</v>
      </c>
      <c r="P872" s="11">
        <v>0</v>
      </c>
      <c r="Q872" s="157">
        <v>0</v>
      </c>
      <c r="R872" s="29">
        <v>752892</v>
      </c>
      <c r="S872" s="29">
        <v>3000</v>
      </c>
      <c r="T872" s="29">
        <f t="shared" si="54"/>
        <v>755892</v>
      </c>
    </row>
    <row r="873" spans="1:20" ht="21" customHeight="1" x14ac:dyDescent="0.25">
      <c r="A873" s="21">
        <v>75</v>
      </c>
      <c r="B873" s="109">
        <v>514100844604</v>
      </c>
      <c r="C873" s="110" t="s">
        <v>3650</v>
      </c>
      <c r="D873" s="23" t="s">
        <v>30</v>
      </c>
      <c r="E873" s="2" t="s">
        <v>2420</v>
      </c>
      <c r="F873" s="1" t="s">
        <v>25</v>
      </c>
      <c r="G873" s="8">
        <v>3500</v>
      </c>
      <c r="H873" s="61" t="s">
        <v>26</v>
      </c>
      <c r="I873" s="61" t="s">
        <v>2421</v>
      </c>
      <c r="J873" s="11">
        <v>105411</v>
      </c>
      <c r="K873" s="11">
        <v>106195</v>
      </c>
      <c r="L873" s="11">
        <v>784</v>
      </c>
      <c r="M873" s="51">
        <v>1332432</v>
      </c>
      <c r="N873" s="11">
        <v>0</v>
      </c>
      <c r="O873" s="11">
        <v>0</v>
      </c>
      <c r="P873" s="11">
        <v>0</v>
      </c>
      <c r="Q873" s="157">
        <v>0</v>
      </c>
      <c r="R873" s="29">
        <v>1332432</v>
      </c>
      <c r="S873" s="29">
        <v>3000</v>
      </c>
      <c r="T873" s="29">
        <f t="shared" si="54"/>
        <v>1335432</v>
      </c>
    </row>
    <row r="874" spans="1:20" ht="21" customHeight="1" x14ac:dyDescent="0.25">
      <c r="A874" s="21">
        <v>76</v>
      </c>
      <c r="B874" s="109">
        <v>514100844612</v>
      </c>
      <c r="C874" s="110" t="s">
        <v>521</v>
      </c>
      <c r="D874" s="23" t="s">
        <v>30</v>
      </c>
      <c r="E874" s="2" t="s">
        <v>224</v>
      </c>
      <c r="F874" s="1" t="s">
        <v>25</v>
      </c>
      <c r="G874" s="8">
        <v>3500</v>
      </c>
      <c r="H874" s="61" t="s">
        <v>26</v>
      </c>
      <c r="I874" s="61" t="s">
        <v>82</v>
      </c>
      <c r="J874" s="11">
        <v>15802</v>
      </c>
      <c r="K874" s="11">
        <v>16828</v>
      </c>
      <c r="L874" s="11">
        <v>1026</v>
      </c>
      <c r="M874" s="51">
        <v>1743718</v>
      </c>
      <c r="N874" s="11">
        <v>0</v>
      </c>
      <c r="O874" s="11">
        <v>0</v>
      </c>
      <c r="P874" s="11">
        <v>0</v>
      </c>
      <c r="Q874" s="157">
        <v>0</v>
      </c>
      <c r="R874" s="29">
        <v>1743718</v>
      </c>
      <c r="S874" s="29">
        <v>3000</v>
      </c>
      <c r="T874" s="29">
        <f t="shared" si="54"/>
        <v>1746718</v>
      </c>
    </row>
    <row r="875" spans="1:20" ht="21" customHeight="1" x14ac:dyDescent="0.25">
      <c r="A875" s="21">
        <v>77</v>
      </c>
      <c r="B875" s="109">
        <v>514100844620</v>
      </c>
      <c r="C875" s="110" t="s">
        <v>2574</v>
      </c>
      <c r="D875" s="23" t="s">
        <v>30</v>
      </c>
      <c r="E875" s="2" t="s">
        <v>725</v>
      </c>
      <c r="F875" s="1" t="s">
        <v>25</v>
      </c>
      <c r="G875" s="8">
        <v>5500</v>
      </c>
      <c r="H875" s="61" t="s">
        <v>26</v>
      </c>
      <c r="I875" s="61" t="s">
        <v>174</v>
      </c>
      <c r="J875" s="11">
        <v>24071</v>
      </c>
      <c r="K875" s="11">
        <v>25487</v>
      </c>
      <c r="L875" s="11">
        <v>1416</v>
      </c>
      <c r="M875" s="51">
        <v>2406534</v>
      </c>
      <c r="N875" s="11">
        <v>0</v>
      </c>
      <c r="O875" s="11">
        <v>0</v>
      </c>
      <c r="P875" s="11">
        <v>0</v>
      </c>
      <c r="Q875" s="157">
        <v>0</v>
      </c>
      <c r="R875" s="29">
        <v>2406534</v>
      </c>
      <c r="S875" s="29">
        <v>3000</v>
      </c>
      <c r="T875" s="29">
        <f t="shared" si="54"/>
        <v>2409534</v>
      </c>
    </row>
    <row r="876" spans="1:20" ht="21" customHeight="1" x14ac:dyDescent="0.25">
      <c r="A876" s="21">
        <v>78</v>
      </c>
      <c r="B876" s="109">
        <v>514100844638</v>
      </c>
      <c r="C876" s="110" t="s">
        <v>3651</v>
      </c>
      <c r="D876" s="23" t="s">
        <v>30</v>
      </c>
      <c r="E876" s="2" t="s">
        <v>2392</v>
      </c>
      <c r="F876" s="1" t="s">
        <v>25</v>
      </c>
      <c r="G876" s="8">
        <v>3500</v>
      </c>
      <c r="H876" s="61" t="s">
        <v>26</v>
      </c>
      <c r="I876" s="61" t="s">
        <v>27</v>
      </c>
      <c r="J876" s="11">
        <v>23366</v>
      </c>
      <c r="K876" s="11">
        <v>24482</v>
      </c>
      <c r="L876" s="11">
        <v>1116</v>
      </c>
      <c r="M876" s="51">
        <v>1896675</v>
      </c>
      <c r="N876" s="11">
        <v>0</v>
      </c>
      <c r="O876" s="11">
        <v>0</v>
      </c>
      <c r="P876" s="11">
        <v>0</v>
      </c>
      <c r="Q876" s="157">
        <v>0</v>
      </c>
      <c r="R876" s="29">
        <v>1896675</v>
      </c>
      <c r="S876" s="29">
        <v>3000</v>
      </c>
      <c r="T876" s="29">
        <f t="shared" si="54"/>
        <v>1899675</v>
      </c>
    </row>
    <row r="877" spans="1:20" ht="21" customHeight="1" x14ac:dyDescent="0.25">
      <c r="A877" s="21">
        <v>79</v>
      </c>
      <c r="B877" s="109">
        <v>514100844646</v>
      </c>
      <c r="C877" s="110" t="s">
        <v>3652</v>
      </c>
      <c r="D877" s="23" t="s">
        <v>30</v>
      </c>
      <c r="E877" s="2" t="s">
        <v>2422</v>
      </c>
      <c r="F877" s="1" t="s">
        <v>25</v>
      </c>
      <c r="G877" s="8">
        <v>3500</v>
      </c>
      <c r="H877" s="61" t="s">
        <v>26</v>
      </c>
      <c r="I877" s="61" t="s">
        <v>162</v>
      </c>
      <c r="J877" s="11">
        <v>77351</v>
      </c>
      <c r="K877" s="11">
        <v>78339</v>
      </c>
      <c r="L877" s="11">
        <v>988</v>
      </c>
      <c r="M877" s="51">
        <v>1679136</v>
      </c>
      <c r="N877" s="11">
        <v>0</v>
      </c>
      <c r="O877" s="11">
        <v>0</v>
      </c>
      <c r="P877" s="11">
        <v>0</v>
      </c>
      <c r="Q877" s="157">
        <v>0</v>
      </c>
      <c r="R877" s="29">
        <v>1679136</v>
      </c>
      <c r="S877" s="29">
        <v>3000</v>
      </c>
      <c r="T877" s="29">
        <f t="shared" si="54"/>
        <v>1682136</v>
      </c>
    </row>
    <row r="878" spans="1:20" ht="21" customHeight="1" x14ac:dyDescent="0.25">
      <c r="A878" s="21">
        <v>80</v>
      </c>
      <c r="B878" s="109">
        <v>514100844653</v>
      </c>
      <c r="C878" s="110" t="s">
        <v>3653</v>
      </c>
      <c r="D878" s="23" t="s">
        <v>30</v>
      </c>
      <c r="E878" s="2" t="s">
        <v>2409</v>
      </c>
      <c r="F878" s="1" t="s">
        <v>25</v>
      </c>
      <c r="G878" s="8">
        <v>5500</v>
      </c>
      <c r="H878" s="61" t="s">
        <v>26</v>
      </c>
      <c r="I878" s="61" t="s">
        <v>452</v>
      </c>
      <c r="J878" s="11">
        <v>23856</v>
      </c>
      <c r="K878" s="11">
        <v>25459</v>
      </c>
      <c r="L878" s="11">
        <v>1603</v>
      </c>
      <c r="M878" s="51">
        <v>2724347</v>
      </c>
      <c r="N878" s="11">
        <v>0</v>
      </c>
      <c r="O878" s="11">
        <v>0</v>
      </c>
      <c r="P878" s="11">
        <v>0</v>
      </c>
      <c r="Q878" s="157">
        <v>0</v>
      </c>
      <c r="R878" s="29">
        <v>2724347</v>
      </c>
      <c r="S878" s="29">
        <v>3000</v>
      </c>
      <c r="T878" s="29">
        <f t="shared" si="54"/>
        <v>2727347</v>
      </c>
    </row>
    <row r="879" spans="1:20" ht="21" customHeight="1" x14ac:dyDescent="0.25">
      <c r="A879" s="21"/>
      <c r="B879" s="109"/>
      <c r="C879" s="110"/>
      <c r="D879" s="23"/>
      <c r="E879" s="2"/>
      <c r="F879" s="1"/>
      <c r="G879" s="8"/>
      <c r="H879" s="61"/>
      <c r="I879" s="61"/>
      <c r="J879" s="11"/>
      <c r="K879" s="11"/>
      <c r="L879" s="11"/>
      <c r="M879" s="51"/>
      <c r="N879" s="11"/>
      <c r="O879" s="11"/>
      <c r="P879" s="11"/>
      <c r="Q879" s="157"/>
      <c r="R879" s="29"/>
      <c r="S879" s="29"/>
      <c r="T879" s="29"/>
    </row>
    <row r="880" spans="1:20" ht="36.75" customHeight="1" x14ac:dyDescent="0.25">
      <c r="A880" s="21"/>
      <c r="B880" s="22"/>
      <c r="C880" s="23"/>
      <c r="D880" s="23"/>
      <c r="E880" s="24" t="s">
        <v>179</v>
      </c>
      <c r="F880" s="22"/>
      <c r="G880" s="111">
        <v>486460</v>
      </c>
      <c r="H880" s="111">
        <v>0</v>
      </c>
      <c r="I880" s="111">
        <v>0</v>
      </c>
      <c r="J880" s="111"/>
      <c r="K880" s="111"/>
      <c r="L880" s="111">
        <v>159540</v>
      </c>
      <c r="M880" s="33">
        <v>271143018</v>
      </c>
      <c r="N880" s="34">
        <v>0</v>
      </c>
      <c r="O880" s="34">
        <v>0</v>
      </c>
      <c r="P880" s="34">
        <v>0</v>
      </c>
      <c r="Q880" s="33">
        <f>SUM(Q837:Q879)</f>
        <v>120000</v>
      </c>
      <c r="R880" s="33">
        <f t="shared" ref="R880:T880" si="55">SUM(R837:R879)</f>
        <v>271263018</v>
      </c>
      <c r="S880" s="33">
        <f t="shared" si="55"/>
        <v>240000</v>
      </c>
      <c r="T880" s="33">
        <f t="shared" si="55"/>
        <v>271503018</v>
      </c>
    </row>
    <row r="881" spans="1:20" ht="21" customHeight="1" x14ac:dyDescent="0.25">
      <c r="A881" s="96"/>
      <c r="B881" s="93"/>
      <c r="C881" s="94"/>
      <c r="D881" s="94"/>
      <c r="F881" s="93"/>
      <c r="G881" s="112"/>
      <c r="H881" s="112"/>
      <c r="L881" s="41"/>
      <c r="M881" s="113"/>
      <c r="N881" s="114"/>
      <c r="O881" s="114"/>
      <c r="P881" s="114"/>
      <c r="Q881" s="113"/>
      <c r="R881" s="113"/>
      <c r="S881" s="113"/>
      <c r="T881" s="113"/>
    </row>
    <row r="882" spans="1:20" ht="21" customHeight="1" x14ac:dyDescent="0.25">
      <c r="A882" s="96"/>
      <c r="B882" s="93"/>
      <c r="C882" s="94"/>
      <c r="D882" s="94"/>
      <c r="E882" s="94"/>
      <c r="F882" s="93"/>
      <c r="G882" s="112"/>
      <c r="L882" s="41"/>
      <c r="M882" s="113"/>
      <c r="N882" s="114"/>
      <c r="O882" s="114"/>
      <c r="P882" s="114"/>
      <c r="Q882" s="113"/>
      <c r="R882" s="113"/>
      <c r="S882" s="113"/>
      <c r="T882" s="113"/>
    </row>
    <row r="883" spans="1:20" s="93" customFormat="1" ht="42" customHeight="1" x14ac:dyDescent="0.25">
      <c r="A883" s="31" t="s">
        <v>4</v>
      </c>
      <c r="B883" s="31" t="s">
        <v>5</v>
      </c>
      <c r="C883" s="31" t="s">
        <v>6</v>
      </c>
      <c r="D883" s="22"/>
      <c r="E883" s="31" t="s">
        <v>7</v>
      </c>
      <c r="F883" s="31" t="s">
        <v>8</v>
      </c>
      <c r="G883" s="31" t="s">
        <v>9</v>
      </c>
      <c r="H883" s="31" t="s">
        <v>10</v>
      </c>
      <c r="I883" s="31" t="s">
        <v>11</v>
      </c>
      <c r="J883" s="31" t="s">
        <v>12</v>
      </c>
      <c r="K883" s="31" t="s">
        <v>13</v>
      </c>
      <c r="L883" s="31" t="s">
        <v>14</v>
      </c>
      <c r="M883" s="141" t="s">
        <v>15</v>
      </c>
      <c r="N883" s="142" t="s">
        <v>16</v>
      </c>
      <c r="O883" s="142" t="s">
        <v>17</v>
      </c>
      <c r="P883" s="142" t="s">
        <v>18</v>
      </c>
      <c r="Q883" s="141" t="s">
        <v>19</v>
      </c>
      <c r="R883" s="141" t="s">
        <v>20</v>
      </c>
      <c r="S883" s="141" t="s">
        <v>3655</v>
      </c>
      <c r="T883" s="141" t="s">
        <v>3656</v>
      </c>
    </row>
    <row r="884" spans="1:20" ht="21" customHeight="1" x14ac:dyDescent="0.25">
      <c r="A884" s="21"/>
      <c r="B884" s="22"/>
      <c r="C884" s="23"/>
      <c r="D884" s="23"/>
      <c r="E884" s="23"/>
      <c r="F884" s="22"/>
      <c r="G884" s="22"/>
      <c r="H884" s="27"/>
      <c r="I884" s="25"/>
      <c r="J884" s="25"/>
      <c r="K884" s="25"/>
      <c r="L884" s="28"/>
      <c r="M884" s="29"/>
      <c r="N884" s="30"/>
      <c r="O884" s="30"/>
      <c r="P884" s="30"/>
      <c r="Q884" s="29"/>
      <c r="R884" s="29"/>
      <c r="S884" s="29"/>
      <c r="T884" s="29"/>
    </row>
    <row r="885" spans="1:20" ht="21" customHeight="1" x14ac:dyDescent="0.25">
      <c r="A885" s="21"/>
      <c r="B885" s="22"/>
      <c r="C885" s="23"/>
      <c r="D885" s="23"/>
      <c r="E885" s="45" t="s">
        <v>181</v>
      </c>
      <c r="F885" s="22"/>
      <c r="G885" s="32">
        <v>486460</v>
      </c>
      <c r="H885" s="32">
        <v>0</v>
      </c>
      <c r="I885" s="32">
        <v>0</v>
      </c>
      <c r="J885" s="32"/>
      <c r="K885" s="32"/>
      <c r="L885" s="32">
        <v>159540</v>
      </c>
      <c r="M885" s="33">
        <v>271143018</v>
      </c>
      <c r="N885" s="34">
        <v>0</v>
      </c>
      <c r="O885" s="34">
        <v>0</v>
      </c>
      <c r="P885" s="34">
        <v>0</v>
      </c>
      <c r="Q885" s="33">
        <f>Q880</f>
        <v>120000</v>
      </c>
      <c r="R885" s="33">
        <f t="shared" ref="R885:T885" si="56">R880</f>
        <v>271263018</v>
      </c>
      <c r="S885" s="33">
        <f t="shared" si="56"/>
        <v>240000</v>
      </c>
      <c r="T885" s="33">
        <f t="shared" si="56"/>
        <v>271503018</v>
      </c>
    </row>
    <row r="886" spans="1:20" ht="21" customHeight="1" x14ac:dyDescent="0.25">
      <c r="A886" s="21">
        <v>81</v>
      </c>
      <c r="B886" s="7">
        <v>514100844661</v>
      </c>
      <c r="C886" s="2" t="s">
        <v>2423</v>
      </c>
      <c r="D886" s="23" t="s">
        <v>30</v>
      </c>
      <c r="E886" s="2" t="s">
        <v>2424</v>
      </c>
      <c r="F886" s="1" t="s">
        <v>25</v>
      </c>
      <c r="G886" s="8">
        <v>3500</v>
      </c>
      <c r="H886" s="61" t="s">
        <v>26</v>
      </c>
      <c r="I886" s="61" t="s">
        <v>2425</v>
      </c>
      <c r="J886" s="11">
        <v>18511</v>
      </c>
      <c r="K886" s="11">
        <v>19750</v>
      </c>
      <c r="L886" s="11">
        <v>1239</v>
      </c>
      <c r="M886" s="51">
        <v>2105718</v>
      </c>
      <c r="N886" s="11">
        <v>0</v>
      </c>
      <c r="O886" s="11">
        <v>0</v>
      </c>
      <c r="P886" s="11">
        <v>0</v>
      </c>
      <c r="Q886" s="157">
        <v>0</v>
      </c>
      <c r="R886" s="29">
        <v>2105718</v>
      </c>
      <c r="S886" s="29">
        <v>3000</v>
      </c>
      <c r="T886" s="29">
        <f t="shared" ref="T886:T925" si="57">R886+S886</f>
        <v>2108718</v>
      </c>
    </row>
    <row r="887" spans="1:20" ht="21" customHeight="1" x14ac:dyDescent="0.25">
      <c r="A887" s="21">
        <v>82</v>
      </c>
      <c r="B887" s="7">
        <v>514100844679</v>
      </c>
      <c r="C887" s="2" t="s">
        <v>2426</v>
      </c>
      <c r="D887" s="23" t="s">
        <v>84</v>
      </c>
      <c r="E887" s="2" t="s">
        <v>2407</v>
      </c>
      <c r="F887" s="1" t="s">
        <v>25</v>
      </c>
      <c r="G887" s="8">
        <v>3500</v>
      </c>
      <c r="H887" s="61" t="s">
        <v>26</v>
      </c>
      <c r="I887" s="61" t="s">
        <v>2427</v>
      </c>
      <c r="J887" s="11">
        <v>17569</v>
      </c>
      <c r="K887" s="11">
        <v>19075</v>
      </c>
      <c r="L887" s="11">
        <v>1506</v>
      </c>
      <c r="M887" s="51">
        <v>2559492</v>
      </c>
      <c r="N887" s="11">
        <v>0</v>
      </c>
      <c r="O887" s="11">
        <v>0</v>
      </c>
      <c r="P887" s="11">
        <v>0</v>
      </c>
      <c r="Q887" s="157">
        <v>0</v>
      </c>
      <c r="R887" s="29">
        <v>2559492</v>
      </c>
      <c r="S887" s="29">
        <v>3000</v>
      </c>
      <c r="T887" s="29">
        <f t="shared" si="57"/>
        <v>2562492</v>
      </c>
    </row>
    <row r="888" spans="1:20" ht="21" customHeight="1" x14ac:dyDescent="0.25">
      <c r="A888" s="21">
        <v>83</v>
      </c>
      <c r="B888" s="7">
        <v>514100844687</v>
      </c>
      <c r="C888" s="2" t="s">
        <v>2428</v>
      </c>
      <c r="D888" s="24" t="s">
        <v>23</v>
      </c>
      <c r="E888" s="2" t="s">
        <v>483</v>
      </c>
      <c r="F888" s="1" t="s">
        <v>25</v>
      </c>
      <c r="G888" s="8">
        <v>7700</v>
      </c>
      <c r="H888" s="61" t="s">
        <v>26</v>
      </c>
      <c r="I888" s="61" t="s">
        <v>593</v>
      </c>
      <c r="J888" s="11">
        <v>4455</v>
      </c>
      <c r="K888" s="11">
        <v>6489</v>
      </c>
      <c r="L888" s="11">
        <v>2034</v>
      </c>
      <c r="M888" s="51">
        <v>3456844</v>
      </c>
      <c r="N888" s="11">
        <v>0</v>
      </c>
      <c r="O888" s="11">
        <v>0</v>
      </c>
      <c r="P888" s="11">
        <v>0</v>
      </c>
      <c r="Q888" s="157">
        <v>0</v>
      </c>
      <c r="R888" s="29">
        <v>3456844</v>
      </c>
      <c r="S888" s="29">
        <v>3000</v>
      </c>
      <c r="T888" s="29">
        <f t="shared" si="57"/>
        <v>3459844</v>
      </c>
    </row>
    <row r="889" spans="1:20" ht="21" customHeight="1" x14ac:dyDescent="0.25">
      <c r="A889" s="21">
        <v>84</v>
      </c>
      <c r="B889" s="7">
        <v>514100844695</v>
      </c>
      <c r="C889" s="2" t="s">
        <v>2429</v>
      </c>
      <c r="D889" s="24" t="s">
        <v>30</v>
      </c>
      <c r="E889" s="2" t="s">
        <v>2430</v>
      </c>
      <c r="F889" s="1" t="s">
        <v>25</v>
      </c>
      <c r="G889" s="8">
        <v>3500</v>
      </c>
      <c r="H889" s="61" t="s">
        <v>26</v>
      </c>
      <c r="I889" s="61" t="s">
        <v>2431</v>
      </c>
      <c r="J889" s="11">
        <v>17584</v>
      </c>
      <c r="K889" s="11">
        <v>18835</v>
      </c>
      <c r="L889" s="11">
        <v>1251</v>
      </c>
      <c r="M889" s="51">
        <v>2126112</v>
      </c>
      <c r="N889" s="11">
        <v>0</v>
      </c>
      <c r="O889" s="11">
        <v>0</v>
      </c>
      <c r="P889" s="11">
        <v>0</v>
      </c>
      <c r="Q889" s="157">
        <v>0</v>
      </c>
      <c r="R889" s="29">
        <v>2126112</v>
      </c>
      <c r="S889" s="29">
        <v>3000</v>
      </c>
      <c r="T889" s="29">
        <f t="shared" si="57"/>
        <v>2129112</v>
      </c>
    </row>
    <row r="890" spans="1:20" ht="21" customHeight="1" x14ac:dyDescent="0.25">
      <c r="A890" s="21">
        <v>85</v>
      </c>
      <c r="B890" s="7">
        <v>514100844709</v>
      </c>
      <c r="C890" s="2" t="s">
        <v>2432</v>
      </c>
      <c r="D890" s="24" t="s">
        <v>23</v>
      </c>
      <c r="E890" s="2" t="s">
        <v>2433</v>
      </c>
      <c r="F890" s="1" t="s">
        <v>25</v>
      </c>
      <c r="G890" s="8">
        <v>3500</v>
      </c>
      <c r="H890" s="61" t="s">
        <v>26</v>
      </c>
      <c r="I890" s="61" t="s">
        <v>2434</v>
      </c>
      <c r="J890" s="11">
        <v>25280</v>
      </c>
      <c r="K890" s="11">
        <v>27225</v>
      </c>
      <c r="L890" s="11">
        <v>1945</v>
      </c>
      <c r="M890" s="51">
        <v>3305586</v>
      </c>
      <c r="N890" s="11">
        <v>0</v>
      </c>
      <c r="O890" s="11">
        <v>0</v>
      </c>
      <c r="P890" s="11">
        <v>0</v>
      </c>
      <c r="Q890" s="157">
        <v>0</v>
      </c>
      <c r="R890" s="29">
        <v>3305586</v>
      </c>
      <c r="S890" s="29">
        <v>3000</v>
      </c>
      <c r="T890" s="29">
        <f t="shared" si="57"/>
        <v>3308586</v>
      </c>
    </row>
    <row r="891" spans="1:20" ht="21" customHeight="1" x14ac:dyDescent="0.25">
      <c r="A891" s="21">
        <v>86</v>
      </c>
      <c r="B891" s="7">
        <v>514100844717</v>
      </c>
      <c r="C891" s="2" t="s">
        <v>2435</v>
      </c>
      <c r="D891" s="24" t="s">
        <v>23</v>
      </c>
      <c r="E891" s="62" t="s">
        <v>2436</v>
      </c>
      <c r="F891" s="63" t="s">
        <v>25</v>
      </c>
      <c r="G891" s="64">
        <v>3500</v>
      </c>
      <c r="H891" s="61" t="s">
        <v>26</v>
      </c>
      <c r="I891" s="61" t="s">
        <v>2437</v>
      </c>
      <c r="J891" s="11">
        <v>99183</v>
      </c>
      <c r="K891" s="11">
        <v>315</v>
      </c>
      <c r="L891" s="11">
        <v>1132</v>
      </c>
      <c r="M891" s="51">
        <v>1923868</v>
      </c>
      <c r="N891" s="11">
        <v>0</v>
      </c>
      <c r="O891" s="11">
        <v>0</v>
      </c>
      <c r="P891" s="11">
        <v>0</v>
      </c>
      <c r="Q891" s="157">
        <v>0</v>
      </c>
      <c r="R891" s="29">
        <v>1923868</v>
      </c>
      <c r="S891" s="29">
        <v>3000</v>
      </c>
      <c r="T891" s="29">
        <f t="shared" si="57"/>
        <v>1926868</v>
      </c>
    </row>
    <row r="892" spans="1:20" ht="21" customHeight="1" x14ac:dyDescent="0.25">
      <c r="A892" s="21">
        <v>87</v>
      </c>
      <c r="B892" s="7">
        <v>514100844725</v>
      </c>
      <c r="C892" s="2" t="s">
        <v>2438</v>
      </c>
      <c r="D892" s="24" t="s">
        <v>23</v>
      </c>
      <c r="E892" s="2" t="s">
        <v>2439</v>
      </c>
      <c r="F892" s="1" t="s">
        <v>25</v>
      </c>
      <c r="G892" s="8">
        <v>7700</v>
      </c>
      <c r="H892" s="61" t="s">
        <v>26</v>
      </c>
      <c r="I892" s="61" t="s">
        <v>282</v>
      </c>
      <c r="J892" s="11">
        <v>48636</v>
      </c>
      <c r="K892" s="11">
        <v>51330</v>
      </c>
      <c r="L892" s="11">
        <v>2694</v>
      </c>
      <c r="M892" s="51">
        <v>4578534</v>
      </c>
      <c r="N892" s="11">
        <v>0</v>
      </c>
      <c r="O892" s="11">
        <v>0</v>
      </c>
      <c r="P892" s="11">
        <v>0</v>
      </c>
      <c r="Q892" s="157">
        <v>0</v>
      </c>
      <c r="R892" s="29">
        <v>4578534</v>
      </c>
      <c r="S892" s="29">
        <v>3000</v>
      </c>
      <c r="T892" s="29">
        <f t="shared" si="57"/>
        <v>4581534</v>
      </c>
    </row>
    <row r="893" spans="1:20" ht="21" customHeight="1" x14ac:dyDescent="0.25">
      <c r="A893" s="21">
        <v>88</v>
      </c>
      <c r="B893" s="7">
        <v>514100844733</v>
      </c>
      <c r="C893" s="2" t="s">
        <v>2440</v>
      </c>
      <c r="D893" s="24" t="s">
        <v>30</v>
      </c>
      <c r="E893" s="2" t="s">
        <v>2441</v>
      </c>
      <c r="F893" s="1" t="s">
        <v>25</v>
      </c>
      <c r="G893" s="8">
        <v>3500</v>
      </c>
      <c r="H893" s="61" t="s">
        <v>26</v>
      </c>
      <c r="I893" s="61" t="s">
        <v>414</v>
      </c>
      <c r="J893" s="11">
        <v>99982</v>
      </c>
      <c r="K893" s="11">
        <v>1670</v>
      </c>
      <c r="L893" s="11">
        <v>1688</v>
      </c>
      <c r="M893" s="51">
        <v>2868807</v>
      </c>
      <c r="N893" s="11">
        <v>0</v>
      </c>
      <c r="O893" s="11">
        <v>0</v>
      </c>
      <c r="P893" s="11">
        <v>0</v>
      </c>
      <c r="Q893" s="157">
        <v>0</v>
      </c>
      <c r="R893" s="29">
        <v>2868807</v>
      </c>
      <c r="S893" s="29">
        <v>3000</v>
      </c>
      <c r="T893" s="29">
        <f t="shared" si="57"/>
        <v>2871807</v>
      </c>
    </row>
    <row r="894" spans="1:20" ht="21" customHeight="1" x14ac:dyDescent="0.25">
      <c r="A894" s="21">
        <v>89</v>
      </c>
      <c r="B894" s="61">
        <v>514100844741</v>
      </c>
      <c r="C894" s="62" t="s">
        <v>2442</v>
      </c>
      <c r="D894" s="24" t="s">
        <v>30</v>
      </c>
      <c r="E894" s="2" t="s">
        <v>2418</v>
      </c>
      <c r="F894" s="1" t="s">
        <v>25</v>
      </c>
      <c r="G894" s="8">
        <v>3500</v>
      </c>
      <c r="H894" s="61" t="s">
        <v>26</v>
      </c>
      <c r="I894" s="61" t="s">
        <v>2443</v>
      </c>
      <c r="J894" s="11">
        <v>81814</v>
      </c>
      <c r="K894" s="11">
        <v>82650</v>
      </c>
      <c r="L894" s="11">
        <v>836</v>
      </c>
      <c r="M894" s="51">
        <v>1420807</v>
      </c>
      <c r="N894" s="11">
        <v>0</v>
      </c>
      <c r="O894" s="11">
        <v>0</v>
      </c>
      <c r="P894" s="11">
        <v>0</v>
      </c>
      <c r="Q894" s="157">
        <v>0</v>
      </c>
      <c r="R894" s="29">
        <v>1420807</v>
      </c>
      <c r="S894" s="29">
        <v>3000</v>
      </c>
      <c r="T894" s="29">
        <f t="shared" si="57"/>
        <v>1423807</v>
      </c>
    </row>
    <row r="895" spans="1:20" ht="21" customHeight="1" x14ac:dyDescent="0.25">
      <c r="A895" s="21">
        <v>90</v>
      </c>
      <c r="B895" s="7">
        <v>514100844758</v>
      </c>
      <c r="C895" s="2" t="s">
        <v>2444</v>
      </c>
      <c r="D895" s="24" t="s">
        <v>23</v>
      </c>
      <c r="E895" s="2" t="s">
        <v>2402</v>
      </c>
      <c r="F895" s="1" t="s">
        <v>25</v>
      </c>
      <c r="G895" s="8">
        <v>3500</v>
      </c>
      <c r="H895" s="61" t="s">
        <v>26</v>
      </c>
      <c r="I895" s="61" t="s">
        <v>429</v>
      </c>
      <c r="J895" s="11">
        <v>26192</v>
      </c>
      <c r="K895" s="11">
        <v>28057</v>
      </c>
      <c r="L895" s="11">
        <v>1865</v>
      </c>
      <c r="M895" s="51">
        <v>3169623</v>
      </c>
      <c r="N895" s="11">
        <v>0</v>
      </c>
      <c r="O895" s="11">
        <v>0</v>
      </c>
      <c r="P895" s="11">
        <v>0</v>
      </c>
      <c r="Q895" s="157">
        <v>0</v>
      </c>
      <c r="R895" s="29">
        <v>3169623</v>
      </c>
      <c r="S895" s="29">
        <v>3000</v>
      </c>
      <c r="T895" s="29">
        <f t="shared" si="57"/>
        <v>3172623</v>
      </c>
    </row>
    <row r="896" spans="1:20" ht="21" customHeight="1" x14ac:dyDescent="0.25">
      <c r="A896" s="21">
        <v>91</v>
      </c>
      <c r="B896" s="7">
        <v>514100844766</v>
      </c>
      <c r="C896" s="2" t="s">
        <v>2423</v>
      </c>
      <c r="D896" s="24" t="s">
        <v>23</v>
      </c>
      <c r="E896" s="2" t="s">
        <v>2445</v>
      </c>
      <c r="F896" s="1" t="s">
        <v>25</v>
      </c>
      <c r="G896" s="8">
        <v>3500</v>
      </c>
      <c r="H896" s="61" t="s">
        <v>26</v>
      </c>
      <c r="I896" s="61" t="s">
        <v>480</v>
      </c>
      <c r="J896" s="11">
        <v>52042</v>
      </c>
      <c r="K896" s="11">
        <v>53672</v>
      </c>
      <c r="L896" s="11">
        <v>1630</v>
      </c>
      <c r="M896" s="51">
        <v>2770234</v>
      </c>
      <c r="N896" s="11">
        <v>0</v>
      </c>
      <c r="O896" s="11">
        <v>0</v>
      </c>
      <c r="P896" s="11">
        <v>0</v>
      </c>
      <c r="Q896" s="157">
        <v>0</v>
      </c>
      <c r="R896" s="29">
        <v>2770234</v>
      </c>
      <c r="S896" s="29">
        <v>3000</v>
      </c>
      <c r="T896" s="29">
        <f t="shared" si="57"/>
        <v>2773234</v>
      </c>
    </row>
    <row r="897" spans="1:20" ht="21" customHeight="1" x14ac:dyDescent="0.25">
      <c r="A897" s="21">
        <v>92</v>
      </c>
      <c r="B897" s="7">
        <v>514100844774</v>
      </c>
      <c r="C897" s="2" t="s">
        <v>2446</v>
      </c>
      <c r="D897" s="24" t="s">
        <v>30</v>
      </c>
      <c r="E897" s="2" t="s">
        <v>2447</v>
      </c>
      <c r="F897" s="1" t="s">
        <v>25</v>
      </c>
      <c r="G897" s="8">
        <v>5500</v>
      </c>
      <c r="H897" s="61" t="s">
        <v>26</v>
      </c>
      <c r="I897" s="61" t="s">
        <v>2448</v>
      </c>
      <c r="J897" s="11">
        <v>151740</v>
      </c>
      <c r="K897" s="11">
        <v>152801</v>
      </c>
      <c r="L897" s="11">
        <v>1061</v>
      </c>
      <c r="M897" s="51">
        <v>1803201</v>
      </c>
      <c r="N897" s="11">
        <v>0</v>
      </c>
      <c r="O897" s="11">
        <v>0</v>
      </c>
      <c r="P897" s="11">
        <v>0</v>
      </c>
      <c r="Q897" s="157">
        <v>0</v>
      </c>
      <c r="R897" s="29">
        <v>1803201</v>
      </c>
      <c r="S897" s="29">
        <v>3000</v>
      </c>
      <c r="T897" s="29">
        <f t="shared" si="57"/>
        <v>1806201</v>
      </c>
    </row>
    <row r="898" spans="1:20" ht="21" customHeight="1" x14ac:dyDescent="0.25">
      <c r="A898" s="21">
        <v>93</v>
      </c>
      <c r="B898" s="7">
        <v>514100844782</v>
      </c>
      <c r="C898" s="2" t="s">
        <v>2449</v>
      </c>
      <c r="D898" s="24" t="s">
        <v>23</v>
      </c>
      <c r="E898" s="2" t="s">
        <v>2316</v>
      </c>
      <c r="F898" s="1" t="s">
        <v>25</v>
      </c>
      <c r="G898" s="8">
        <v>5500</v>
      </c>
      <c r="H898" s="61" t="s">
        <v>26</v>
      </c>
      <c r="I898" s="61" t="s">
        <v>2450</v>
      </c>
      <c r="J898" s="11">
        <v>79733</v>
      </c>
      <c r="K898" s="11">
        <v>80781</v>
      </c>
      <c r="L898" s="11">
        <v>1048</v>
      </c>
      <c r="M898" s="51">
        <v>1781107</v>
      </c>
      <c r="N898" s="11">
        <v>0</v>
      </c>
      <c r="O898" s="11">
        <v>0</v>
      </c>
      <c r="P898" s="11">
        <v>0</v>
      </c>
      <c r="Q898" s="157">
        <v>0</v>
      </c>
      <c r="R898" s="29">
        <v>1781107</v>
      </c>
      <c r="S898" s="29">
        <v>3000</v>
      </c>
      <c r="T898" s="29">
        <f t="shared" si="57"/>
        <v>1784107</v>
      </c>
    </row>
    <row r="899" spans="1:20" ht="21" customHeight="1" x14ac:dyDescent="0.25">
      <c r="A899" s="21">
        <v>94</v>
      </c>
      <c r="B899" s="7">
        <v>514100844790</v>
      </c>
      <c r="C899" s="2" t="s">
        <v>2451</v>
      </c>
      <c r="D899" s="24" t="s">
        <v>23</v>
      </c>
      <c r="E899" s="2" t="s">
        <v>2452</v>
      </c>
      <c r="F899" s="1" t="s">
        <v>25</v>
      </c>
      <c r="G899" s="8">
        <v>5500</v>
      </c>
      <c r="H899" s="61" t="s">
        <v>26</v>
      </c>
      <c r="I899" s="61" t="s">
        <v>2453</v>
      </c>
      <c r="J899" s="11">
        <v>15579</v>
      </c>
      <c r="K899" s="11">
        <v>17738</v>
      </c>
      <c r="L899" s="11">
        <v>2159</v>
      </c>
      <c r="M899" s="51">
        <v>3669285</v>
      </c>
      <c r="N899" s="11">
        <v>0</v>
      </c>
      <c r="O899" s="11">
        <v>0</v>
      </c>
      <c r="P899" s="11">
        <v>0</v>
      </c>
      <c r="Q899" s="157">
        <v>0</v>
      </c>
      <c r="R899" s="29">
        <v>3669285</v>
      </c>
      <c r="S899" s="29">
        <v>3000</v>
      </c>
      <c r="T899" s="29">
        <f t="shared" si="57"/>
        <v>3672285</v>
      </c>
    </row>
    <row r="900" spans="1:20" ht="21" customHeight="1" x14ac:dyDescent="0.25">
      <c r="A900" s="21">
        <v>95</v>
      </c>
      <c r="B900" s="7">
        <v>514100844803</v>
      </c>
      <c r="C900" s="2" t="s">
        <v>2454</v>
      </c>
      <c r="D900" s="24" t="s">
        <v>23</v>
      </c>
      <c r="E900" s="2" t="s">
        <v>2455</v>
      </c>
      <c r="F900" s="1" t="s">
        <v>25</v>
      </c>
      <c r="G900" s="8">
        <v>7700</v>
      </c>
      <c r="H900" s="61" t="s">
        <v>26</v>
      </c>
      <c r="I900" s="61" t="s">
        <v>193</v>
      </c>
      <c r="J900" s="11">
        <v>88798</v>
      </c>
      <c r="K900" s="11">
        <v>91265</v>
      </c>
      <c r="L900" s="11">
        <v>2467</v>
      </c>
      <c r="M900" s="51">
        <v>4192741</v>
      </c>
      <c r="N900" s="11">
        <v>0</v>
      </c>
      <c r="O900" s="11">
        <v>0</v>
      </c>
      <c r="P900" s="11">
        <v>0</v>
      </c>
      <c r="Q900" s="157">
        <v>0</v>
      </c>
      <c r="R900" s="29">
        <v>4192741</v>
      </c>
      <c r="S900" s="29">
        <v>3000</v>
      </c>
      <c r="T900" s="29">
        <f t="shared" si="57"/>
        <v>4195741</v>
      </c>
    </row>
    <row r="901" spans="1:20" ht="21" customHeight="1" x14ac:dyDescent="0.25">
      <c r="A901" s="21">
        <v>96</v>
      </c>
      <c r="B901" s="7">
        <v>514100844811</v>
      </c>
      <c r="C901" s="2" t="s">
        <v>2456</v>
      </c>
      <c r="D901" s="24" t="s">
        <v>23</v>
      </c>
      <c r="E901" s="2" t="s">
        <v>2457</v>
      </c>
      <c r="F901" s="1" t="s">
        <v>25</v>
      </c>
      <c r="G901" s="8">
        <v>3500</v>
      </c>
      <c r="H901" s="61" t="s">
        <v>26</v>
      </c>
      <c r="I901" s="61" t="s">
        <v>694</v>
      </c>
      <c r="J901" s="11">
        <v>69264</v>
      </c>
      <c r="K901" s="11">
        <v>71194</v>
      </c>
      <c r="L901" s="11">
        <v>1930</v>
      </c>
      <c r="M901" s="51">
        <v>3280093</v>
      </c>
      <c r="N901" s="11">
        <v>0</v>
      </c>
      <c r="O901" s="11">
        <v>0</v>
      </c>
      <c r="P901" s="11">
        <v>0</v>
      </c>
      <c r="Q901" s="157">
        <v>0</v>
      </c>
      <c r="R901" s="29">
        <v>3280093</v>
      </c>
      <c r="S901" s="29">
        <v>3000</v>
      </c>
      <c r="T901" s="29">
        <f t="shared" si="57"/>
        <v>3283093</v>
      </c>
    </row>
    <row r="902" spans="1:20" ht="21" customHeight="1" x14ac:dyDescent="0.25">
      <c r="A902" s="21">
        <v>97</v>
      </c>
      <c r="B902" s="7">
        <v>514100844829</v>
      </c>
      <c r="C902" s="2" t="s">
        <v>2458</v>
      </c>
      <c r="D902" s="24" t="s">
        <v>23</v>
      </c>
      <c r="E902" s="2" t="s">
        <v>2318</v>
      </c>
      <c r="F902" s="1" t="s">
        <v>25</v>
      </c>
      <c r="G902" s="8">
        <v>3500</v>
      </c>
      <c r="H902" s="61" t="s">
        <v>26</v>
      </c>
      <c r="I902" s="61" t="s">
        <v>217</v>
      </c>
      <c r="J902" s="11">
        <v>79789</v>
      </c>
      <c r="K902" s="11">
        <v>81094</v>
      </c>
      <c r="L902" s="11">
        <v>1305</v>
      </c>
      <c r="M902" s="51">
        <v>2217887</v>
      </c>
      <c r="N902" s="11">
        <v>0</v>
      </c>
      <c r="O902" s="11">
        <v>0</v>
      </c>
      <c r="P902" s="11">
        <v>0</v>
      </c>
      <c r="Q902" s="157">
        <v>0</v>
      </c>
      <c r="R902" s="29">
        <v>2217887</v>
      </c>
      <c r="S902" s="29">
        <v>3000</v>
      </c>
      <c r="T902" s="29">
        <f t="shared" si="57"/>
        <v>2220887</v>
      </c>
    </row>
    <row r="903" spans="1:20" ht="21" customHeight="1" x14ac:dyDescent="0.25">
      <c r="A903" s="21">
        <v>98</v>
      </c>
      <c r="B903" s="7">
        <v>514100844837</v>
      </c>
      <c r="C903" s="2" t="s">
        <v>2459</v>
      </c>
      <c r="D903" s="24" t="s">
        <v>23</v>
      </c>
      <c r="E903" s="2" t="s">
        <v>2460</v>
      </c>
      <c r="F903" s="1" t="s">
        <v>25</v>
      </c>
      <c r="G903" s="8">
        <v>3500</v>
      </c>
      <c r="H903" s="61" t="s">
        <v>26</v>
      </c>
      <c r="I903" s="61" t="s">
        <v>737</v>
      </c>
      <c r="J903" s="11">
        <v>11075</v>
      </c>
      <c r="K903" s="11">
        <v>11982</v>
      </c>
      <c r="L903" s="11">
        <v>907</v>
      </c>
      <c r="M903" s="51">
        <v>1541474</v>
      </c>
      <c r="N903" s="11">
        <v>0</v>
      </c>
      <c r="O903" s="11">
        <v>0</v>
      </c>
      <c r="P903" s="11">
        <v>0</v>
      </c>
      <c r="Q903" s="157">
        <v>0</v>
      </c>
      <c r="R903" s="29">
        <v>1541474</v>
      </c>
      <c r="S903" s="29">
        <v>3000</v>
      </c>
      <c r="T903" s="29">
        <f t="shared" si="57"/>
        <v>1544474</v>
      </c>
    </row>
    <row r="904" spans="1:20" ht="21" customHeight="1" x14ac:dyDescent="0.25">
      <c r="A904" s="21">
        <v>99</v>
      </c>
      <c r="B904" s="7">
        <v>514100844845</v>
      </c>
      <c r="C904" s="2" t="s">
        <v>2461</v>
      </c>
      <c r="D904" s="24" t="s">
        <v>30</v>
      </c>
      <c r="E904" s="2" t="s">
        <v>2407</v>
      </c>
      <c r="F904" s="1" t="s">
        <v>25</v>
      </c>
      <c r="G904" s="8">
        <v>3500</v>
      </c>
      <c r="H904" s="61" t="s">
        <v>26</v>
      </c>
      <c r="I904" s="61" t="s">
        <v>396</v>
      </c>
      <c r="J904" s="11">
        <v>37844</v>
      </c>
      <c r="K904" s="11">
        <v>38371</v>
      </c>
      <c r="L904" s="11">
        <v>527</v>
      </c>
      <c r="M904" s="51">
        <v>895652</v>
      </c>
      <c r="N904" s="11">
        <v>0</v>
      </c>
      <c r="O904" s="11">
        <v>0</v>
      </c>
      <c r="P904" s="11">
        <v>0</v>
      </c>
      <c r="Q904" s="157">
        <v>0</v>
      </c>
      <c r="R904" s="29">
        <v>895652</v>
      </c>
      <c r="S904" s="29">
        <v>3000</v>
      </c>
      <c r="T904" s="29">
        <f t="shared" si="57"/>
        <v>898652</v>
      </c>
    </row>
    <row r="905" spans="1:20" ht="21" customHeight="1" x14ac:dyDescent="0.25">
      <c r="A905" s="21">
        <v>100</v>
      </c>
      <c r="B905" s="7">
        <v>514100844852</v>
      </c>
      <c r="C905" s="2" t="s">
        <v>2462</v>
      </c>
      <c r="D905" s="24" t="s">
        <v>23</v>
      </c>
      <c r="E905" s="2" t="s">
        <v>888</v>
      </c>
      <c r="F905" s="1" t="s">
        <v>25</v>
      </c>
      <c r="G905" s="8">
        <v>3500</v>
      </c>
      <c r="H905" s="61" t="s">
        <v>26</v>
      </c>
      <c r="I905" s="61" t="s">
        <v>2463</v>
      </c>
      <c r="J905" s="11">
        <v>112559</v>
      </c>
      <c r="K905" s="11">
        <v>113207</v>
      </c>
      <c r="L905" s="11">
        <v>648</v>
      </c>
      <c r="M905" s="51">
        <v>1101295</v>
      </c>
      <c r="N905" s="11">
        <v>0</v>
      </c>
      <c r="O905" s="11">
        <v>0</v>
      </c>
      <c r="P905" s="11">
        <v>0</v>
      </c>
      <c r="Q905" s="157">
        <v>0</v>
      </c>
      <c r="R905" s="29">
        <v>1101295</v>
      </c>
      <c r="S905" s="29">
        <v>3000</v>
      </c>
      <c r="T905" s="29">
        <f t="shared" si="57"/>
        <v>1104295</v>
      </c>
    </row>
    <row r="906" spans="1:20" ht="21" customHeight="1" x14ac:dyDescent="0.25">
      <c r="A906" s="21">
        <v>101</v>
      </c>
      <c r="B906" s="7">
        <v>514100844860</v>
      </c>
      <c r="C906" s="2" t="s">
        <v>2464</v>
      </c>
      <c r="D906" s="24" t="s">
        <v>30</v>
      </c>
      <c r="E906" s="2" t="s">
        <v>2465</v>
      </c>
      <c r="F906" s="1" t="s">
        <v>25</v>
      </c>
      <c r="G906" s="8">
        <v>3500</v>
      </c>
      <c r="H906" s="61" t="s">
        <v>26</v>
      </c>
      <c r="I906" s="61" t="s">
        <v>189</v>
      </c>
      <c r="J906" s="11">
        <v>144973</v>
      </c>
      <c r="K906" s="11">
        <v>147076</v>
      </c>
      <c r="L906" s="11">
        <v>2103</v>
      </c>
      <c r="M906" s="51">
        <v>3574112</v>
      </c>
      <c r="N906" s="11">
        <v>0</v>
      </c>
      <c r="O906" s="11">
        <v>0</v>
      </c>
      <c r="P906" s="11">
        <v>0</v>
      </c>
      <c r="Q906" s="157">
        <v>0</v>
      </c>
      <c r="R906" s="29">
        <v>3574112</v>
      </c>
      <c r="S906" s="29">
        <v>3000</v>
      </c>
      <c r="T906" s="29">
        <f t="shared" si="57"/>
        <v>3577112</v>
      </c>
    </row>
    <row r="907" spans="1:20" ht="21" customHeight="1" x14ac:dyDescent="0.25">
      <c r="A907" s="21">
        <v>102</v>
      </c>
      <c r="B907" s="7">
        <v>514100844878</v>
      </c>
      <c r="C907" s="2" t="s">
        <v>2466</v>
      </c>
      <c r="D907" s="24" t="s">
        <v>23</v>
      </c>
      <c r="E907" s="2" t="s">
        <v>243</v>
      </c>
      <c r="F907" s="1" t="s">
        <v>25</v>
      </c>
      <c r="G907" s="8">
        <v>3500</v>
      </c>
      <c r="H907" s="61" t="s">
        <v>26</v>
      </c>
      <c r="I907" s="61" t="s">
        <v>372</v>
      </c>
      <c r="J907" s="11">
        <v>67299</v>
      </c>
      <c r="K907" s="11">
        <v>68584</v>
      </c>
      <c r="L907" s="11">
        <v>1285</v>
      </c>
      <c r="M907" s="51">
        <v>2183896</v>
      </c>
      <c r="N907" s="11">
        <v>0</v>
      </c>
      <c r="O907" s="11">
        <v>0</v>
      </c>
      <c r="P907" s="11">
        <v>0</v>
      </c>
      <c r="Q907" s="157">
        <v>0</v>
      </c>
      <c r="R907" s="29">
        <v>2183896</v>
      </c>
      <c r="S907" s="29">
        <v>3000</v>
      </c>
      <c r="T907" s="29">
        <f t="shared" si="57"/>
        <v>2186896</v>
      </c>
    </row>
    <row r="908" spans="1:20" ht="21" customHeight="1" x14ac:dyDescent="0.25">
      <c r="A908" s="21">
        <v>103</v>
      </c>
      <c r="B908" s="7">
        <v>514100844886</v>
      </c>
      <c r="C908" s="2" t="s">
        <v>2467</v>
      </c>
      <c r="D908" s="24" t="s">
        <v>23</v>
      </c>
      <c r="E908" s="2" t="s">
        <v>2468</v>
      </c>
      <c r="F908" s="1" t="s">
        <v>25</v>
      </c>
      <c r="G908" s="8">
        <v>3500</v>
      </c>
      <c r="H908" s="61" t="s">
        <v>26</v>
      </c>
      <c r="I908" s="61" t="s">
        <v>2469</v>
      </c>
      <c r="J908" s="11">
        <v>64305</v>
      </c>
      <c r="K908" s="11">
        <v>65553</v>
      </c>
      <c r="L908" s="11">
        <v>1248</v>
      </c>
      <c r="M908" s="51">
        <v>2121013</v>
      </c>
      <c r="N908" s="11">
        <v>0</v>
      </c>
      <c r="O908" s="11">
        <v>0</v>
      </c>
      <c r="P908" s="11">
        <v>0</v>
      </c>
      <c r="Q908" s="157">
        <v>0</v>
      </c>
      <c r="R908" s="29">
        <v>2121013</v>
      </c>
      <c r="S908" s="29">
        <v>3000</v>
      </c>
      <c r="T908" s="29">
        <f t="shared" si="57"/>
        <v>2124013</v>
      </c>
    </row>
    <row r="909" spans="1:20" ht="21" customHeight="1" x14ac:dyDescent="0.25">
      <c r="A909" s="21">
        <v>104</v>
      </c>
      <c r="B909" s="7">
        <v>514100844894</v>
      </c>
      <c r="C909" s="2" t="s">
        <v>2470</v>
      </c>
      <c r="D909" s="24" t="s">
        <v>30</v>
      </c>
      <c r="E909" s="2" t="s">
        <v>2471</v>
      </c>
      <c r="F909" s="1" t="s">
        <v>25</v>
      </c>
      <c r="G909" s="8">
        <v>4400</v>
      </c>
      <c r="H909" s="61" t="s">
        <v>26</v>
      </c>
      <c r="I909" s="61" t="s">
        <v>617</v>
      </c>
      <c r="J909" s="11">
        <v>42614</v>
      </c>
      <c r="K909" s="11">
        <v>45181</v>
      </c>
      <c r="L909" s="11">
        <v>2567</v>
      </c>
      <c r="M909" s="51">
        <v>4362694</v>
      </c>
      <c r="N909" s="11">
        <v>0</v>
      </c>
      <c r="O909" s="11">
        <v>0</v>
      </c>
      <c r="P909" s="11">
        <v>0</v>
      </c>
      <c r="Q909" s="157">
        <v>0</v>
      </c>
      <c r="R909" s="29">
        <v>4362694</v>
      </c>
      <c r="S909" s="29">
        <v>3000</v>
      </c>
      <c r="T909" s="29">
        <f t="shared" si="57"/>
        <v>4365694</v>
      </c>
    </row>
    <row r="910" spans="1:20" ht="21" customHeight="1" x14ac:dyDescent="0.25">
      <c r="A910" s="21">
        <v>105</v>
      </c>
      <c r="B910" s="7">
        <v>514100844908</v>
      </c>
      <c r="C910" s="2" t="s">
        <v>2472</v>
      </c>
      <c r="D910" s="24" t="s">
        <v>23</v>
      </c>
      <c r="E910" s="2" t="s">
        <v>2324</v>
      </c>
      <c r="F910" s="1" t="s">
        <v>25</v>
      </c>
      <c r="G910" s="8">
        <v>5500</v>
      </c>
      <c r="H910" s="61" t="s">
        <v>26</v>
      </c>
      <c r="I910" s="61" t="s">
        <v>2473</v>
      </c>
      <c r="J910" s="11">
        <v>73212</v>
      </c>
      <c r="K910" s="11">
        <v>74075</v>
      </c>
      <c r="L910" s="11">
        <v>863</v>
      </c>
      <c r="M910" s="51">
        <v>1466694</v>
      </c>
      <c r="N910" s="11">
        <v>0</v>
      </c>
      <c r="O910" s="11">
        <v>0</v>
      </c>
      <c r="P910" s="11">
        <v>0</v>
      </c>
      <c r="Q910" s="157">
        <v>0</v>
      </c>
      <c r="R910" s="29">
        <v>1466694</v>
      </c>
      <c r="S910" s="29">
        <v>3000</v>
      </c>
      <c r="T910" s="29">
        <f t="shared" si="57"/>
        <v>1469694</v>
      </c>
    </row>
    <row r="911" spans="1:20" ht="21" customHeight="1" x14ac:dyDescent="0.25">
      <c r="A911" s="21">
        <v>106</v>
      </c>
      <c r="B911" s="7">
        <v>514100844916</v>
      </c>
      <c r="C911" s="2" t="s">
        <v>2474</v>
      </c>
      <c r="D911" s="24" t="s">
        <v>30</v>
      </c>
      <c r="E911" s="2" t="s">
        <v>2475</v>
      </c>
      <c r="F911" s="1" t="s">
        <v>25</v>
      </c>
      <c r="G911" s="8">
        <v>7700</v>
      </c>
      <c r="H911" s="61" t="s">
        <v>26</v>
      </c>
      <c r="I911" s="61" t="s">
        <v>2476</v>
      </c>
      <c r="J911" s="11">
        <v>71338</v>
      </c>
      <c r="K911" s="11">
        <v>72647</v>
      </c>
      <c r="L911" s="11">
        <v>1309</v>
      </c>
      <c r="M911" s="51">
        <v>2224685</v>
      </c>
      <c r="N911" s="11">
        <v>0</v>
      </c>
      <c r="O911" s="11">
        <v>0</v>
      </c>
      <c r="P911" s="11">
        <v>0</v>
      </c>
      <c r="Q911" s="157">
        <v>0</v>
      </c>
      <c r="R911" s="29">
        <v>2224685</v>
      </c>
      <c r="S911" s="29">
        <v>3000</v>
      </c>
      <c r="T911" s="29">
        <f t="shared" si="57"/>
        <v>2227685</v>
      </c>
    </row>
    <row r="912" spans="1:20" ht="21" customHeight="1" x14ac:dyDescent="0.25">
      <c r="A912" s="21">
        <v>107</v>
      </c>
      <c r="B912" s="61">
        <v>514100844924</v>
      </c>
      <c r="C912" s="62" t="s">
        <v>370</v>
      </c>
      <c r="D912" s="24" t="s">
        <v>30</v>
      </c>
      <c r="E912" s="2" t="s">
        <v>371</v>
      </c>
      <c r="F912" s="1" t="s">
        <v>25</v>
      </c>
      <c r="G912" s="8">
        <v>3500</v>
      </c>
      <c r="H912" s="61" t="s">
        <v>26</v>
      </c>
      <c r="I912" s="61" t="s">
        <v>2477</v>
      </c>
      <c r="J912" s="11">
        <v>46647</v>
      </c>
      <c r="K912" s="11">
        <v>46647</v>
      </c>
      <c r="L912" s="11">
        <v>140</v>
      </c>
      <c r="M912" s="51">
        <v>237934</v>
      </c>
      <c r="N912" s="11">
        <v>0</v>
      </c>
      <c r="O912" s="11">
        <v>0</v>
      </c>
      <c r="P912" s="11">
        <v>0</v>
      </c>
      <c r="Q912" s="157">
        <v>0</v>
      </c>
      <c r="R912" s="29">
        <v>237934</v>
      </c>
      <c r="S912" s="29">
        <v>3000</v>
      </c>
      <c r="T912" s="29">
        <f t="shared" si="57"/>
        <v>240934</v>
      </c>
    </row>
    <row r="913" spans="1:20" ht="21" customHeight="1" x14ac:dyDescent="0.25">
      <c r="A913" s="21">
        <v>108</v>
      </c>
      <c r="B913" s="7">
        <v>514100844932</v>
      </c>
      <c r="C913" s="2" t="s">
        <v>2478</v>
      </c>
      <c r="D913" s="24" t="s">
        <v>30</v>
      </c>
      <c r="E913" s="2" t="s">
        <v>2324</v>
      </c>
      <c r="F913" s="1" t="s">
        <v>25</v>
      </c>
      <c r="G913" s="8">
        <v>5500</v>
      </c>
      <c r="H913" s="61" t="s">
        <v>26</v>
      </c>
      <c r="I913" s="61" t="s">
        <v>585</v>
      </c>
      <c r="J913" s="11">
        <v>21659</v>
      </c>
      <c r="K913" s="11">
        <v>22835</v>
      </c>
      <c r="L913" s="11">
        <v>1176</v>
      </c>
      <c r="M913" s="51">
        <v>1998647</v>
      </c>
      <c r="N913" s="11">
        <v>0</v>
      </c>
      <c r="O913" s="11">
        <v>0</v>
      </c>
      <c r="P913" s="11">
        <v>0</v>
      </c>
      <c r="Q913" s="157">
        <v>0</v>
      </c>
      <c r="R913" s="29">
        <v>1998647</v>
      </c>
      <c r="S913" s="29">
        <v>3000</v>
      </c>
      <c r="T913" s="29">
        <f t="shared" si="57"/>
        <v>2001647</v>
      </c>
    </row>
    <row r="914" spans="1:20" ht="21" customHeight="1" x14ac:dyDescent="0.25">
      <c r="A914" s="21">
        <v>109</v>
      </c>
      <c r="B914" s="7">
        <v>514100844940</v>
      </c>
      <c r="C914" s="2" t="s">
        <v>2479</v>
      </c>
      <c r="D914" s="24" t="s">
        <v>23</v>
      </c>
      <c r="E914" s="2" t="s">
        <v>2475</v>
      </c>
      <c r="F914" s="1" t="s">
        <v>25</v>
      </c>
      <c r="G914" s="8">
        <v>3500</v>
      </c>
      <c r="H914" s="61" t="s">
        <v>26</v>
      </c>
      <c r="I914" s="61" t="s">
        <v>2480</v>
      </c>
      <c r="J914" s="11">
        <v>97192</v>
      </c>
      <c r="K914" s="11">
        <v>98535</v>
      </c>
      <c r="L914" s="11">
        <v>1343</v>
      </c>
      <c r="M914" s="51">
        <v>2282469</v>
      </c>
      <c r="N914" s="11">
        <v>0</v>
      </c>
      <c r="O914" s="11">
        <v>0</v>
      </c>
      <c r="P914" s="11">
        <v>0</v>
      </c>
      <c r="Q914" s="157">
        <v>0</v>
      </c>
      <c r="R914" s="29">
        <v>2282469</v>
      </c>
      <c r="S914" s="29">
        <v>3000</v>
      </c>
      <c r="T914" s="29">
        <f t="shared" si="57"/>
        <v>2285469</v>
      </c>
    </row>
    <row r="915" spans="1:20" ht="21" customHeight="1" x14ac:dyDescent="0.25">
      <c r="A915" s="21">
        <v>110</v>
      </c>
      <c r="B915" s="7">
        <v>514100844957</v>
      </c>
      <c r="C915" s="2" t="s">
        <v>2481</v>
      </c>
      <c r="D915" s="24" t="s">
        <v>23</v>
      </c>
      <c r="E915" s="2" t="s">
        <v>2445</v>
      </c>
      <c r="F915" s="1" t="s">
        <v>25</v>
      </c>
      <c r="G915" s="8">
        <v>4400</v>
      </c>
      <c r="H915" s="61" t="s">
        <v>26</v>
      </c>
      <c r="I915" s="61" t="s">
        <v>2482</v>
      </c>
      <c r="J915" s="11">
        <v>20621</v>
      </c>
      <c r="K915" s="11">
        <v>22082</v>
      </c>
      <c r="L915" s="11">
        <v>1461</v>
      </c>
      <c r="M915" s="51">
        <v>2483013</v>
      </c>
      <c r="N915" s="11">
        <v>0</v>
      </c>
      <c r="O915" s="11">
        <v>0</v>
      </c>
      <c r="P915" s="11">
        <v>0</v>
      </c>
      <c r="Q915" s="157">
        <v>0</v>
      </c>
      <c r="R915" s="29">
        <v>2483013</v>
      </c>
      <c r="S915" s="29">
        <v>3000</v>
      </c>
      <c r="T915" s="29">
        <f t="shared" si="57"/>
        <v>2486013</v>
      </c>
    </row>
    <row r="916" spans="1:20" ht="21" customHeight="1" x14ac:dyDescent="0.25">
      <c r="A916" s="21">
        <v>111</v>
      </c>
      <c r="B916" s="7">
        <v>514100844965</v>
      </c>
      <c r="C916" s="2" t="s">
        <v>2483</v>
      </c>
      <c r="D916" s="24" t="s">
        <v>23</v>
      </c>
      <c r="E916" s="2" t="s">
        <v>2418</v>
      </c>
      <c r="F916" s="1" t="s">
        <v>25</v>
      </c>
      <c r="G916" s="8">
        <v>3500</v>
      </c>
      <c r="H916" s="61" t="s">
        <v>26</v>
      </c>
      <c r="I916" s="61" t="s">
        <v>2484</v>
      </c>
      <c r="J916" s="11">
        <v>131108</v>
      </c>
      <c r="K916" s="11">
        <v>131915</v>
      </c>
      <c r="L916" s="11">
        <v>807</v>
      </c>
      <c r="M916" s="51">
        <v>1371521</v>
      </c>
      <c r="N916" s="11">
        <v>0</v>
      </c>
      <c r="O916" s="11">
        <v>0</v>
      </c>
      <c r="P916" s="11">
        <v>0</v>
      </c>
      <c r="Q916" s="157">
        <v>0</v>
      </c>
      <c r="R916" s="29">
        <v>1371521</v>
      </c>
      <c r="S916" s="29">
        <v>3000</v>
      </c>
      <c r="T916" s="29">
        <f t="shared" si="57"/>
        <v>1374521</v>
      </c>
    </row>
    <row r="917" spans="1:20" ht="21" customHeight="1" x14ac:dyDescent="0.25">
      <c r="A917" s="21">
        <v>112</v>
      </c>
      <c r="B917" s="7">
        <v>514100844973</v>
      </c>
      <c r="C917" s="2" t="s">
        <v>2485</v>
      </c>
      <c r="D917" s="24" t="s">
        <v>23</v>
      </c>
      <c r="E917" s="2" t="s">
        <v>2486</v>
      </c>
      <c r="F917" s="1" t="s">
        <v>25</v>
      </c>
      <c r="G917" s="8">
        <v>7700</v>
      </c>
      <c r="H917" s="61" t="s">
        <v>26</v>
      </c>
      <c r="I917" s="61" t="s">
        <v>2487</v>
      </c>
      <c r="J917" s="11">
        <v>64285</v>
      </c>
      <c r="K917" s="11">
        <v>64285</v>
      </c>
      <c r="L917" s="11">
        <v>308</v>
      </c>
      <c r="M917" s="51">
        <v>523455</v>
      </c>
      <c r="N917" s="11">
        <v>0</v>
      </c>
      <c r="O917" s="11">
        <v>0</v>
      </c>
      <c r="P917" s="11">
        <v>0</v>
      </c>
      <c r="Q917" s="157">
        <v>0</v>
      </c>
      <c r="R917" s="29">
        <v>523455</v>
      </c>
      <c r="S917" s="29">
        <v>3000</v>
      </c>
      <c r="T917" s="29">
        <f t="shared" si="57"/>
        <v>526455</v>
      </c>
    </row>
    <row r="918" spans="1:20" ht="21" customHeight="1" x14ac:dyDescent="0.25">
      <c r="A918" s="21">
        <v>113</v>
      </c>
      <c r="B918" s="7">
        <v>514100844981</v>
      </c>
      <c r="C918" s="2" t="s">
        <v>2488</v>
      </c>
      <c r="D918" s="24" t="s">
        <v>30</v>
      </c>
      <c r="E918" s="2" t="s">
        <v>2345</v>
      </c>
      <c r="F918" s="1" t="s">
        <v>25</v>
      </c>
      <c r="G918" s="8">
        <v>4400</v>
      </c>
      <c r="H918" s="61" t="s">
        <v>26</v>
      </c>
      <c r="I918" s="61" t="s">
        <v>2489</v>
      </c>
      <c r="J918" s="11">
        <v>77771</v>
      </c>
      <c r="K918" s="11">
        <v>80040</v>
      </c>
      <c r="L918" s="11">
        <v>2269</v>
      </c>
      <c r="M918" s="51">
        <v>3856234</v>
      </c>
      <c r="N918" s="11">
        <v>0</v>
      </c>
      <c r="O918" s="11">
        <v>0</v>
      </c>
      <c r="P918" s="11">
        <v>0</v>
      </c>
      <c r="Q918" s="157">
        <v>0</v>
      </c>
      <c r="R918" s="29">
        <v>3856234</v>
      </c>
      <c r="S918" s="29">
        <v>3000</v>
      </c>
      <c r="T918" s="29">
        <f t="shared" si="57"/>
        <v>3859234</v>
      </c>
    </row>
    <row r="919" spans="1:20" ht="21" customHeight="1" x14ac:dyDescent="0.25">
      <c r="A919" s="21">
        <v>114</v>
      </c>
      <c r="B919" s="7">
        <v>514100844999</v>
      </c>
      <c r="C919" s="2" t="s">
        <v>2490</v>
      </c>
      <c r="D919" s="24" t="s">
        <v>23</v>
      </c>
      <c r="E919" s="2" t="s">
        <v>2382</v>
      </c>
      <c r="F919" s="1" t="s">
        <v>25</v>
      </c>
      <c r="G919" s="8">
        <v>3500</v>
      </c>
      <c r="H919" s="61" t="s">
        <v>26</v>
      </c>
      <c r="I919" s="61" t="s">
        <v>2491</v>
      </c>
      <c r="J919" s="11">
        <v>59210</v>
      </c>
      <c r="K919" s="11">
        <v>60368</v>
      </c>
      <c r="L919" s="11">
        <v>1158</v>
      </c>
      <c r="M919" s="51">
        <v>1968056</v>
      </c>
      <c r="N919" s="11">
        <v>0</v>
      </c>
      <c r="O919" s="11">
        <v>0</v>
      </c>
      <c r="P919" s="11">
        <v>0</v>
      </c>
      <c r="Q919" s="157">
        <v>0</v>
      </c>
      <c r="R919" s="29">
        <v>1968056</v>
      </c>
      <c r="S919" s="29">
        <v>3000</v>
      </c>
      <c r="T919" s="29">
        <f t="shared" si="57"/>
        <v>1971056</v>
      </c>
    </row>
    <row r="920" spans="1:20" ht="21" customHeight="1" x14ac:dyDescent="0.25">
      <c r="A920" s="21">
        <v>115</v>
      </c>
      <c r="B920" s="7">
        <v>514100845009</v>
      </c>
      <c r="C920" s="2" t="s">
        <v>2492</v>
      </c>
      <c r="D920" s="24" t="s">
        <v>23</v>
      </c>
      <c r="E920" s="2" t="s">
        <v>2339</v>
      </c>
      <c r="F920" s="1" t="s">
        <v>25</v>
      </c>
      <c r="G920" s="8">
        <v>3500</v>
      </c>
      <c r="H920" s="61" t="s">
        <v>26</v>
      </c>
      <c r="I920" s="61" t="s">
        <v>225</v>
      </c>
      <c r="J920" s="11">
        <v>17903</v>
      </c>
      <c r="K920" s="11">
        <v>19014</v>
      </c>
      <c r="L920" s="11">
        <v>1111</v>
      </c>
      <c r="M920" s="51">
        <v>1888178</v>
      </c>
      <c r="N920" s="11">
        <v>0</v>
      </c>
      <c r="O920" s="11">
        <v>0</v>
      </c>
      <c r="P920" s="11">
        <v>0</v>
      </c>
      <c r="Q920" s="157">
        <v>0</v>
      </c>
      <c r="R920" s="29">
        <v>1888178</v>
      </c>
      <c r="S920" s="29">
        <v>3000</v>
      </c>
      <c r="T920" s="29">
        <f t="shared" si="57"/>
        <v>1891178</v>
      </c>
    </row>
    <row r="921" spans="1:20" ht="21" customHeight="1" x14ac:dyDescent="0.25">
      <c r="A921" s="21">
        <v>116</v>
      </c>
      <c r="B921" s="7">
        <v>514100845017</v>
      </c>
      <c r="C921" s="2" t="s">
        <v>2493</v>
      </c>
      <c r="D921" s="24" t="s">
        <v>30</v>
      </c>
      <c r="E921" s="2" t="s">
        <v>2471</v>
      </c>
      <c r="F921" s="1" t="s">
        <v>25</v>
      </c>
      <c r="G921" s="8">
        <v>4400</v>
      </c>
      <c r="H921" s="61" t="s">
        <v>26</v>
      </c>
      <c r="I921" s="61" t="s">
        <v>600</v>
      </c>
      <c r="J921" s="11">
        <v>67946</v>
      </c>
      <c r="K921" s="11">
        <v>70214</v>
      </c>
      <c r="L921" s="11">
        <v>2268</v>
      </c>
      <c r="M921" s="51">
        <v>3854534</v>
      </c>
      <c r="N921" s="11">
        <v>0</v>
      </c>
      <c r="O921" s="11">
        <v>0</v>
      </c>
      <c r="P921" s="11">
        <v>0</v>
      </c>
      <c r="Q921" s="157">
        <v>0</v>
      </c>
      <c r="R921" s="29">
        <v>3854534</v>
      </c>
      <c r="S921" s="29">
        <v>3000</v>
      </c>
      <c r="T921" s="29">
        <f t="shared" si="57"/>
        <v>3857534</v>
      </c>
    </row>
    <row r="922" spans="1:20" ht="21" customHeight="1" x14ac:dyDescent="0.25">
      <c r="A922" s="21">
        <v>117</v>
      </c>
      <c r="B922" s="7">
        <v>514100845025</v>
      </c>
      <c r="C922" s="2" t="s">
        <v>2494</v>
      </c>
      <c r="D922" s="24" t="s">
        <v>23</v>
      </c>
      <c r="E922" s="2" t="s">
        <v>2382</v>
      </c>
      <c r="F922" s="1" t="s">
        <v>25</v>
      </c>
      <c r="G922" s="8">
        <v>3500</v>
      </c>
      <c r="H922" s="61" t="s">
        <v>26</v>
      </c>
      <c r="I922" s="61" t="s">
        <v>2495</v>
      </c>
      <c r="J922" s="11">
        <v>72203</v>
      </c>
      <c r="K922" s="11">
        <v>73356</v>
      </c>
      <c r="L922" s="11">
        <v>1153</v>
      </c>
      <c r="M922" s="51">
        <v>1959558</v>
      </c>
      <c r="N922" s="11">
        <v>0</v>
      </c>
      <c r="O922" s="11">
        <v>0</v>
      </c>
      <c r="P922" s="11">
        <v>0</v>
      </c>
      <c r="Q922" s="157">
        <v>0</v>
      </c>
      <c r="R922" s="29">
        <v>1959558</v>
      </c>
      <c r="S922" s="29">
        <v>3000</v>
      </c>
      <c r="T922" s="29">
        <f t="shared" si="57"/>
        <v>1962558</v>
      </c>
    </row>
    <row r="923" spans="1:20" ht="21" customHeight="1" x14ac:dyDescent="0.25">
      <c r="A923" s="21">
        <v>118</v>
      </c>
      <c r="B923" s="7">
        <v>514100845033</v>
      </c>
      <c r="C923" s="2" t="s">
        <v>2496</v>
      </c>
      <c r="D923" s="24" t="s">
        <v>23</v>
      </c>
      <c r="E923" s="2" t="s">
        <v>2475</v>
      </c>
      <c r="F923" s="1" t="s">
        <v>25</v>
      </c>
      <c r="G923" s="8">
        <v>3500</v>
      </c>
      <c r="H923" s="61" t="s">
        <v>26</v>
      </c>
      <c r="I923" s="61" t="s">
        <v>2497</v>
      </c>
      <c r="J923" s="11">
        <v>85072</v>
      </c>
      <c r="K923" s="11">
        <v>86457</v>
      </c>
      <c r="L923" s="11">
        <v>1385</v>
      </c>
      <c r="M923" s="51">
        <v>2353849</v>
      </c>
      <c r="N923" s="11">
        <v>0</v>
      </c>
      <c r="O923" s="11">
        <v>0</v>
      </c>
      <c r="P923" s="11">
        <v>0</v>
      </c>
      <c r="Q923" s="157">
        <v>0</v>
      </c>
      <c r="R923" s="29">
        <v>2353849</v>
      </c>
      <c r="S923" s="29">
        <v>3000</v>
      </c>
      <c r="T923" s="29">
        <f t="shared" si="57"/>
        <v>2356849</v>
      </c>
    </row>
    <row r="924" spans="1:20" ht="21" customHeight="1" x14ac:dyDescent="0.25">
      <c r="A924" s="21">
        <v>119</v>
      </c>
      <c r="B924" s="7">
        <v>514100845041</v>
      </c>
      <c r="C924" s="2" t="s">
        <v>2498</v>
      </c>
      <c r="D924" s="24" t="s">
        <v>23</v>
      </c>
      <c r="E924" s="2" t="s">
        <v>2499</v>
      </c>
      <c r="F924" s="1" t="s">
        <v>25</v>
      </c>
      <c r="G924" s="8">
        <v>3500</v>
      </c>
      <c r="H924" s="61" t="s">
        <v>26</v>
      </c>
      <c r="I924" s="61" t="s">
        <v>2500</v>
      </c>
      <c r="J924" s="11">
        <v>59367</v>
      </c>
      <c r="K924" s="11">
        <v>59944</v>
      </c>
      <c r="L924" s="11">
        <v>577</v>
      </c>
      <c r="M924" s="51">
        <v>980629</v>
      </c>
      <c r="N924" s="11">
        <v>0</v>
      </c>
      <c r="O924" s="11">
        <v>0</v>
      </c>
      <c r="P924" s="11">
        <v>0</v>
      </c>
      <c r="Q924" s="157">
        <v>0</v>
      </c>
      <c r="R924" s="29">
        <v>980629</v>
      </c>
      <c r="S924" s="29">
        <v>3000</v>
      </c>
      <c r="T924" s="29">
        <f t="shared" si="57"/>
        <v>983629</v>
      </c>
    </row>
    <row r="925" spans="1:20" ht="21" customHeight="1" x14ac:dyDescent="0.25">
      <c r="A925" s="21">
        <v>120</v>
      </c>
      <c r="B925" s="7">
        <v>514100845058</v>
      </c>
      <c r="C925" s="2" t="s">
        <v>2501</v>
      </c>
      <c r="D925" s="24" t="s">
        <v>23</v>
      </c>
      <c r="E925" s="2" t="s">
        <v>2502</v>
      </c>
      <c r="F925" s="1" t="s">
        <v>25</v>
      </c>
      <c r="G925" s="8">
        <v>5500</v>
      </c>
      <c r="H925" s="61" t="s">
        <v>26</v>
      </c>
      <c r="I925" s="61" t="s">
        <v>837</v>
      </c>
      <c r="J925" s="11">
        <v>4435</v>
      </c>
      <c r="K925" s="11">
        <v>6000</v>
      </c>
      <c r="L925" s="11">
        <v>1565</v>
      </c>
      <c r="M925" s="51">
        <v>2659764</v>
      </c>
      <c r="N925" s="11">
        <v>0</v>
      </c>
      <c r="O925" s="11">
        <v>0</v>
      </c>
      <c r="P925" s="11">
        <v>0</v>
      </c>
      <c r="Q925" s="157">
        <v>0</v>
      </c>
      <c r="R925" s="29">
        <v>2659764</v>
      </c>
      <c r="S925" s="29">
        <v>3000</v>
      </c>
      <c r="T925" s="29">
        <f t="shared" si="57"/>
        <v>2662764</v>
      </c>
    </row>
    <row r="926" spans="1:20" ht="21" customHeight="1" x14ac:dyDescent="0.25">
      <c r="A926" s="21"/>
      <c r="B926" s="7"/>
      <c r="C926" s="2"/>
      <c r="D926" s="24"/>
      <c r="E926" s="2"/>
      <c r="F926" s="1"/>
      <c r="G926" s="8"/>
      <c r="H926" s="61"/>
      <c r="I926" s="61"/>
      <c r="J926" s="11"/>
      <c r="K926" s="11"/>
      <c r="L926" s="11"/>
      <c r="M926" s="51"/>
      <c r="N926" s="11"/>
      <c r="O926" s="11"/>
      <c r="P926" s="11"/>
      <c r="Q926" s="157"/>
      <c r="R926" s="29"/>
      <c r="S926" s="29"/>
      <c r="T926" s="29"/>
    </row>
    <row r="927" spans="1:20" ht="36.75" customHeight="1" x14ac:dyDescent="0.25">
      <c r="A927" s="21"/>
      <c r="B927" s="115"/>
      <c r="C927" s="23"/>
      <c r="D927" s="23"/>
      <c r="E927" s="24" t="s">
        <v>179</v>
      </c>
      <c r="F927" s="22"/>
      <c r="G927" s="111">
        <v>663060</v>
      </c>
      <c r="H927" s="111">
        <v>0</v>
      </c>
      <c r="I927" s="111">
        <v>0</v>
      </c>
      <c r="J927" s="111"/>
      <c r="K927" s="111"/>
      <c r="L927" s="111">
        <v>215508</v>
      </c>
      <c r="M927" s="33">
        <v>366262313</v>
      </c>
      <c r="N927" s="34">
        <v>0</v>
      </c>
      <c r="O927" s="34">
        <v>0</v>
      </c>
      <c r="P927" s="34">
        <v>0</v>
      </c>
      <c r="Q927" s="33">
        <f>SUM(Q884:Q926)</f>
        <v>120000</v>
      </c>
      <c r="R927" s="33">
        <f t="shared" ref="R927:T927" si="58">SUM(R884:R926)</f>
        <v>366382313</v>
      </c>
      <c r="S927" s="33">
        <f t="shared" si="58"/>
        <v>360000</v>
      </c>
      <c r="T927" s="33">
        <f t="shared" si="58"/>
        <v>366742313</v>
      </c>
    </row>
    <row r="928" spans="1:20" ht="21" customHeight="1" x14ac:dyDescent="0.25">
      <c r="A928" s="96"/>
      <c r="B928" s="116"/>
      <c r="C928" s="94"/>
      <c r="D928" s="94"/>
      <c r="E928" s="94"/>
      <c r="F928" s="93"/>
      <c r="G928" s="112"/>
      <c r="H928" s="41"/>
      <c r="L928" s="41"/>
      <c r="M928" s="113"/>
      <c r="N928" s="114"/>
      <c r="O928" s="114"/>
      <c r="P928" s="114"/>
      <c r="Q928" s="113"/>
      <c r="R928" s="113"/>
      <c r="S928" s="113"/>
      <c r="T928" s="113"/>
    </row>
    <row r="929" spans="1:20" ht="21" customHeight="1" x14ac:dyDescent="0.25">
      <c r="A929" s="96"/>
      <c r="B929" s="116"/>
      <c r="C929" s="94"/>
      <c r="D929" s="94"/>
      <c r="E929" s="94"/>
      <c r="F929" s="93"/>
      <c r="G929" s="112"/>
      <c r="L929" s="41"/>
    </row>
    <row r="930" spans="1:20" s="93" customFormat="1" ht="42" customHeight="1" x14ac:dyDescent="0.25">
      <c r="A930" s="31" t="s">
        <v>4</v>
      </c>
      <c r="B930" s="31" t="s">
        <v>5</v>
      </c>
      <c r="C930" s="31" t="s">
        <v>6</v>
      </c>
      <c r="D930" s="22"/>
      <c r="E930" s="31" t="s">
        <v>7</v>
      </c>
      <c r="F930" s="31" t="s">
        <v>8</v>
      </c>
      <c r="G930" s="31" t="s">
        <v>9</v>
      </c>
      <c r="H930" s="31" t="s">
        <v>10</v>
      </c>
      <c r="I930" s="31" t="s">
        <v>11</v>
      </c>
      <c r="J930" s="31" t="s">
        <v>12</v>
      </c>
      <c r="K930" s="31" t="s">
        <v>13</v>
      </c>
      <c r="L930" s="31" t="s">
        <v>14</v>
      </c>
      <c r="M930" s="141" t="s">
        <v>15</v>
      </c>
      <c r="N930" s="142" t="s">
        <v>16</v>
      </c>
      <c r="O930" s="142" t="s">
        <v>17</v>
      </c>
      <c r="P930" s="142" t="s">
        <v>18</v>
      </c>
      <c r="Q930" s="141" t="s">
        <v>19</v>
      </c>
      <c r="R930" s="141" t="s">
        <v>20</v>
      </c>
      <c r="S930" s="141" t="s">
        <v>3655</v>
      </c>
      <c r="T930" s="141" t="s">
        <v>3656</v>
      </c>
    </row>
    <row r="931" spans="1:20" ht="21" customHeight="1" x14ac:dyDescent="0.25">
      <c r="A931" s="21"/>
      <c r="B931" s="115"/>
      <c r="C931" s="23"/>
      <c r="D931" s="23"/>
      <c r="E931" s="23"/>
      <c r="F931" s="22"/>
      <c r="G931" s="22"/>
      <c r="H931" s="27"/>
      <c r="I931" s="25"/>
      <c r="J931" s="25"/>
      <c r="K931" s="25"/>
      <c r="L931" s="28"/>
      <c r="M931" s="29"/>
      <c r="N931" s="30"/>
      <c r="O931" s="30"/>
      <c r="P931" s="30"/>
      <c r="Q931" s="29"/>
      <c r="R931" s="29"/>
      <c r="S931" s="29"/>
      <c r="T931" s="29"/>
    </row>
    <row r="932" spans="1:20" ht="21" customHeight="1" x14ac:dyDescent="0.25">
      <c r="A932" s="21"/>
      <c r="B932" s="115"/>
      <c r="C932" s="23"/>
      <c r="D932" s="23"/>
      <c r="E932" s="45" t="s">
        <v>181</v>
      </c>
      <c r="F932" s="22"/>
      <c r="G932" s="32">
        <v>663060</v>
      </c>
      <c r="H932" s="32">
        <v>0</v>
      </c>
      <c r="I932" s="32">
        <v>0</v>
      </c>
      <c r="J932" s="32"/>
      <c r="K932" s="32"/>
      <c r="L932" s="32">
        <v>215508</v>
      </c>
      <c r="M932" s="33">
        <v>366262313</v>
      </c>
      <c r="N932" s="34">
        <v>0</v>
      </c>
      <c r="O932" s="34">
        <v>0</v>
      </c>
      <c r="P932" s="34">
        <v>0</v>
      </c>
      <c r="Q932" s="33">
        <f>Q927</f>
        <v>120000</v>
      </c>
      <c r="R932" s="33">
        <f t="shared" ref="R932:T932" si="59">R927</f>
        <v>366382313</v>
      </c>
      <c r="S932" s="33">
        <f t="shared" si="59"/>
        <v>360000</v>
      </c>
      <c r="T932" s="33">
        <f t="shared" si="59"/>
        <v>366742313</v>
      </c>
    </row>
    <row r="933" spans="1:20" ht="21" customHeight="1" x14ac:dyDescent="0.25">
      <c r="A933" s="21">
        <v>121</v>
      </c>
      <c r="B933" s="7">
        <v>514100845066</v>
      </c>
      <c r="C933" s="2" t="s">
        <v>2503</v>
      </c>
      <c r="D933" s="24" t="s">
        <v>23</v>
      </c>
      <c r="E933" s="2" t="s">
        <v>2384</v>
      </c>
      <c r="F933" s="1" t="s">
        <v>25</v>
      </c>
      <c r="G933" s="8">
        <v>3500</v>
      </c>
      <c r="H933" s="61" t="s">
        <v>26</v>
      </c>
      <c r="I933" s="61" t="s">
        <v>786</v>
      </c>
      <c r="J933" s="11">
        <v>94671</v>
      </c>
      <c r="K933" s="11">
        <v>96263</v>
      </c>
      <c r="L933" s="11">
        <v>1592</v>
      </c>
      <c r="M933" s="51">
        <v>2705652</v>
      </c>
      <c r="N933" s="11">
        <v>0</v>
      </c>
      <c r="O933" s="11">
        <v>0</v>
      </c>
      <c r="P933" s="11">
        <v>0</v>
      </c>
      <c r="Q933" s="157">
        <v>0</v>
      </c>
      <c r="R933" s="29">
        <v>2705652</v>
      </c>
      <c r="S933" s="29">
        <v>3000</v>
      </c>
      <c r="T933" s="29">
        <f t="shared" ref="T933:T972" si="60">R933+S933</f>
        <v>2708652</v>
      </c>
    </row>
    <row r="934" spans="1:20" ht="21" customHeight="1" x14ac:dyDescent="0.25">
      <c r="A934" s="21">
        <v>122</v>
      </c>
      <c r="B934" s="7">
        <v>514100845074</v>
      </c>
      <c r="C934" s="2" t="s">
        <v>2504</v>
      </c>
      <c r="D934" s="24" t="s">
        <v>23</v>
      </c>
      <c r="E934" s="2" t="s">
        <v>2392</v>
      </c>
      <c r="F934" s="1" t="s">
        <v>25</v>
      </c>
      <c r="G934" s="8">
        <v>3500</v>
      </c>
      <c r="H934" s="61" t="s">
        <v>26</v>
      </c>
      <c r="I934" s="61" t="s">
        <v>286</v>
      </c>
      <c r="J934" s="11">
        <v>15742</v>
      </c>
      <c r="K934" s="11">
        <v>16805</v>
      </c>
      <c r="L934" s="11">
        <v>1063</v>
      </c>
      <c r="M934" s="51">
        <v>1806600</v>
      </c>
      <c r="N934" s="11">
        <v>0</v>
      </c>
      <c r="O934" s="11">
        <v>0</v>
      </c>
      <c r="P934" s="11">
        <v>0</v>
      </c>
      <c r="Q934" s="157">
        <v>0</v>
      </c>
      <c r="R934" s="29">
        <v>1806600</v>
      </c>
      <c r="S934" s="29">
        <v>3000</v>
      </c>
      <c r="T934" s="29">
        <f t="shared" si="60"/>
        <v>1809600</v>
      </c>
    </row>
    <row r="935" spans="1:20" ht="21" customHeight="1" x14ac:dyDescent="0.25">
      <c r="A935" s="21">
        <v>123</v>
      </c>
      <c r="B935" s="7">
        <v>514100845082</v>
      </c>
      <c r="C935" s="2" t="s">
        <v>2505</v>
      </c>
      <c r="D935" s="24" t="s">
        <v>23</v>
      </c>
      <c r="E935" s="2" t="s">
        <v>483</v>
      </c>
      <c r="F935" s="1" t="s">
        <v>25</v>
      </c>
      <c r="G935" s="8">
        <v>4400</v>
      </c>
      <c r="H935" s="61" t="s">
        <v>26</v>
      </c>
      <c r="I935" s="61" t="s">
        <v>2506</v>
      </c>
      <c r="J935" s="11">
        <v>40588</v>
      </c>
      <c r="K935" s="11">
        <v>41820</v>
      </c>
      <c r="L935" s="11">
        <v>1232</v>
      </c>
      <c r="M935" s="51">
        <v>2093821</v>
      </c>
      <c r="N935" s="11">
        <v>0</v>
      </c>
      <c r="O935" s="11">
        <v>0</v>
      </c>
      <c r="P935" s="11">
        <v>0</v>
      </c>
      <c r="Q935" s="157">
        <v>0</v>
      </c>
      <c r="R935" s="29">
        <v>2093821</v>
      </c>
      <c r="S935" s="29">
        <v>3000</v>
      </c>
      <c r="T935" s="29">
        <f t="shared" si="60"/>
        <v>2096821</v>
      </c>
    </row>
    <row r="936" spans="1:20" ht="21" customHeight="1" x14ac:dyDescent="0.25">
      <c r="A936" s="21">
        <v>124</v>
      </c>
      <c r="B936" s="61">
        <v>514100845090</v>
      </c>
      <c r="C936" s="62" t="s">
        <v>2507</v>
      </c>
      <c r="D936" s="24" t="s">
        <v>23</v>
      </c>
      <c r="E936" s="62" t="s">
        <v>2508</v>
      </c>
      <c r="F936" s="63" t="s">
        <v>25</v>
      </c>
      <c r="G936" s="64">
        <v>3500</v>
      </c>
      <c r="H936" s="61" t="s">
        <v>26</v>
      </c>
      <c r="I936" s="61" t="s">
        <v>2509</v>
      </c>
      <c r="J936" s="11">
        <v>65707</v>
      </c>
      <c r="K936" s="11">
        <v>66861</v>
      </c>
      <c r="L936" s="11">
        <v>1154</v>
      </c>
      <c r="M936" s="51">
        <v>1961258</v>
      </c>
      <c r="N936" s="11">
        <v>0</v>
      </c>
      <c r="O936" s="11">
        <v>0</v>
      </c>
      <c r="P936" s="11">
        <v>0</v>
      </c>
      <c r="Q936" s="157">
        <v>0</v>
      </c>
      <c r="R936" s="29">
        <v>1961258</v>
      </c>
      <c r="S936" s="29">
        <v>3000</v>
      </c>
      <c r="T936" s="29">
        <f t="shared" si="60"/>
        <v>1964258</v>
      </c>
    </row>
    <row r="937" spans="1:20" ht="21" customHeight="1" x14ac:dyDescent="0.25">
      <c r="A937" s="21">
        <v>125</v>
      </c>
      <c r="B937" s="7">
        <v>514100845104</v>
      </c>
      <c r="C937" s="2" t="s">
        <v>2510</v>
      </c>
      <c r="D937" s="24" t="s">
        <v>23</v>
      </c>
      <c r="E937" s="2" t="s">
        <v>2382</v>
      </c>
      <c r="F937" s="1" t="s">
        <v>25</v>
      </c>
      <c r="G937" s="8">
        <v>3500</v>
      </c>
      <c r="H937" s="61" t="s">
        <v>26</v>
      </c>
      <c r="I937" s="61" t="s">
        <v>2511</v>
      </c>
      <c r="J937" s="11">
        <v>274</v>
      </c>
      <c r="K937" s="11">
        <v>1585</v>
      </c>
      <c r="L937" s="11">
        <v>1311</v>
      </c>
      <c r="M937" s="51">
        <v>2228084</v>
      </c>
      <c r="N937" s="11">
        <v>0</v>
      </c>
      <c r="O937" s="11">
        <v>0</v>
      </c>
      <c r="P937" s="11">
        <v>0</v>
      </c>
      <c r="Q937" s="157">
        <v>0</v>
      </c>
      <c r="R937" s="29">
        <v>2228084</v>
      </c>
      <c r="S937" s="29">
        <v>3000</v>
      </c>
      <c r="T937" s="29">
        <f t="shared" si="60"/>
        <v>2231084</v>
      </c>
    </row>
    <row r="938" spans="1:20" ht="21" customHeight="1" x14ac:dyDescent="0.25">
      <c r="A938" s="21">
        <v>126</v>
      </c>
      <c r="B938" s="7">
        <v>514100845112</v>
      </c>
      <c r="C938" s="2" t="s">
        <v>2512</v>
      </c>
      <c r="D938" s="24" t="s">
        <v>30</v>
      </c>
      <c r="E938" s="2" t="s">
        <v>2392</v>
      </c>
      <c r="F938" s="1" t="s">
        <v>25</v>
      </c>
      <c r="G938" s="8">
        <v>3500</v>
      </c>
      <c r="H938" s="61" t="s">
        <v>26</v>
      </c>
      <c r="I938" s="61" t="s">
        <v>2513</v>
      </c>
      <c r="J938" s="11">
        <v>118870</v>
      </c>
      <c r="K938" s="11">
        <v>119476</v>
      </c>
      <c r="L938" s="11">
        <v>606</v>
      </c>
      <c r="M938" s="51">
        <v>1029915</v>
      </c>
      <c r="N938" s="11">
        <v>0</v>
      </c>
      <c r="O938" s="11">
        <v>0</v>
      </c>
      <c r="P938" s="11">
        <v>0</v>
      </c>
      <c r="Q938" s="157">
        <v>0</v>
      </c>
      <c r="R938" s="29">
        <v>1029915</v>
      </c>
      <c r="S938" s="29">
        <v>3000</v>
      </c>
      <c r="T938" s="29">
        <f t="shared" si="60"/>
        <v>1032915</v>
      </c>
    </row>
    <row r="939" spans="1:20" ht="21" customHeight="1" x14ac:dyDescent="0.25">
      <c r="A939" s="21">
        <v>127</v>
      </c>
      <c r="B939" s="7">
        <v>514100845120</v>
      </c>
      <c r="C939" s="2" t="s">
        <v>2514</v>
      </c>
      <c r="D939" s="24" t="s">
        <v>23</v>
      </c>
      <c r="E939" s="2" t="s">
        <v>2515</v>
      </c>
      <c r="F939" s="1" t="s">
        <v>25</v>
      </c>
      <c r="G939" s="8">
        <v>7700</v>
      </c>
      <c r="H939" s="61" t="s">
        <v>26</v>
      </c>
      <c r="I939" s="61" t="s">
        <v>2516</v>
      </c>
      <c r="J939" s="11">
        <v>122541</v>
      </c>
      <c r="K939" s="11">
        <v>123723</v>
      </c>
      <c r="L939" s="11">
        <v>1182</v>
      </c>
      <c r="M939" s="51">
        <v>2008844</v>
      </c>
      <c r="N939" s="11">
        <v>0</v>
      </c>
      <c r="O939" s="11">
        <v>0</v>
      </c>
      <c r="P939" s="11">
        <v>0</v>
      </c>
      <c r="Q939" s="157">
        <v>0</v>
      </c>
      <c r="R939" s="29">
        <v>2008844</v>
      </c>
      <c r="S939" s="29">
        <v>3000</v>
      </c>
      <c r="T939" s="29">
        <f t="shared" si="60"/>
        <v>2011844</v>
      </c>
    </row>
    <row r="940" spans="1:20" ht="21" customHeight="1" x14ac:dyDescent="0.25">
      <c r="A940" s="21">
        <v>128</v>
      </c>
      <c r="B940" s="7">
        <v>514100845138</v>
      </c>
      <c r="C940" s="2" t="s">
        <v>2517</v>
      </c>
      <c r="D940" s="24" t="s">
        <v>23</v>
      </c>
      <c r="E940" s="2" t="s">
        <v>2518</v>
      </c>
      <c r="F940" s="1" t="s">
        <v>25</v>
      </c>
      <c r="G940" s="8">
        <v>3500</v>
      </c>
      <c r="H940" s="61" t="s">
        <v>26</v>
      </c>
      <c r="I940" s="61" t="s">
        <v>2519</v>
      </c>
      <c r="J940" s="11">
        <v>69770</v>
      </c>
      <c r="K940" s="11">
        <v>70494</v>
      </c>
      <c r="L940" s="11">
        <v>724</v>
      </c>
      <c r="M940" s="51">
        <v>1230460</v>
      </c>
      <c r="N940" s="11">
        <v>0</v>
      </c>
      <c r="O940" s="11">
        <v>0</v>
      </c>
      <c r="P940" s="11">
        <v>0</v>
      </c>
      <c r="Q940" s="157">
        <v>0</v>
      </c>
      <c r="R940" s="29">
        <v>1230460</v>
      </c>
      <c r="S940" s="29">
        <v>3000</v>
      </c>
      <c r="T940" s="29">
        <f t="shared" si="60"/>
        <v>1233460</v>
      </c>
    </row>
    <row r="941" spans="1:20" ht="21" customHeight="1" x14ac:dyDescent="0.25">
      <c r="A941" s="21">
        <v>129</v>
      </c>
      <c r="B941" s="7">
        <v>514100845146</v>
      </c>
      <c r="C941" s="2" t="s">
        <v>2520</v>
      </c>
      <c r="D941" s="24" t="s">
        <v>23</v>
      </c>
      <c r="E941" s="2" t="s">
        <v>2521</v>
      </c>
      <c r="F941" s="1" t="s">
        <v>25</v>
      </c>
      <c r="G941" s="8">
        <v>4400</v>
      </c>
      <c r="H941" s="61" t="s">
        <v>26</v>
      </c>
      <c r="I941" s="61" t="s">
        <v>2522</v>
      </c>
      <c r="J941" s="11">
        <v>17834</v>
      </c>
      <c r="K941" s="11">
        <v>18963</v>
      </c>
      <c r="L941" s="11">
        <v>1129</v>
      </c>
      <c r="M941" s="51">
        <v>1918769</v>
      </c>
      <c r="N941" s="11">
        <v>0</v>
      </c>
      <c r="O941" s="11">
        <v>0</v>
      </c>
      <c r="P941" s="11">
        <v>0</v>
      </c>
      <c r="Q941" s="157">
        <v>0</v>
      </c>
      <c r="R941" s="29">
        <v>1918769</v>
      </c>
      <c r="S941" s="29">
        <v>3000</v>
      </c>
      <c r="T941" s="29">
        <f t="shared" si="60"/>
        <v>1921769</v>
      </c>
    </row>
    <row r="942" spans="1:20" ht="21" customHeight="1" x14ac:dyDescent="0.25">
      <c r="A942" s="21">
        <v>130</v>
      </c>
      <c r="B942" s="7">
        <v>514100845153</v>
      </c>
      <c r="C942" s="2" t="s">
        <v>2523</v>
      </c>
      <c r="D942" s="24" t="s">
        <v>23</v>
      </c>
      <c r="E942" s="2" t="s">
        <v>2324</v>
      </c>
      <c r="F942" s="1" t="s">
        <v>25</v>
      </c>
      <c r="G942" s="8">
        <v>7700</v>
      </c>
      <c r="H942" s="61" t="s">
        <v>26</v>
      </c>
      <c r="I942" s="61" t="s">
        <v>2524</v>
      </c>
      <c r="J942" s="11">
        <v>6663</v>
      </c>
      <c r="K942" s="11">
        <v>7501</v>
      </c>
      <c r="L942" s="11">
        <v>838</v>
      </c>
      <c r="M942" s="51">
        <v>1424206</v>
      </c>
      <c r="N942" s="11">
        <v>0</v>
      </c>
      <c r="O942" s="11">
        <v>0</v>
      </c>
      <c r="P942" s="11">
        <v>0</v>
      </c>
      <c r="Q942" s="157">
        <v>0</v>
      </c>
      <c r="R942" s="29">
        <v>1424206</v>
      </c>
      <c r="S942" s="29">
        <v>3000</v>
      </c>
      <c r="T942" s="29">
        <f t="shared" si="60"/>
        <v>1427206</v>
      </c>
    </row>
    <row r="943" spans="1:20" ht="21" customHeight="1" x14ac:dyDescent="0.25">
      <c r="A943" s="21">
        <v>131</v>
      </c>
      <c r="B943" s="7">
        <v>514100845161</v>
      </c>
      <c r="C943" s="2" t="s">
        <v>2525</v>
      </c>
      <c r="D943" s="24" t="s">
        <v>23</v>
      </c>
      <c r="E943" s="2" t="s">
        <v>2324</v>
      </c>
      <c r="F943" s="1" t="s">
        <v>25</v>
      </c>
      <c r="G943" s="8">
        <v>5500</v>
      </c>
      <c r="H943" s="61" t="s">
        <v>26</v>
      </c>
      <c r="I943" s="61" t="s">
        <v>59</v>
      </c>
      <c r="J943" s="11">
        <v>29813</v>
      </c>
      <c r="K943" s="11">
        <v>31622</v>
      </c>
      <c r="L943" s="11">
        <v>1809</v>
      </c>
      <c r="M943" s="51">
        <v>3074450</v>
      </c>
      <c r="N943" s="11">
        <v>0</v>
      </c>
      <c r="O943" s="11">
        <v>0</v>
      </c>
      <c r="P943" s="11">
        <v>0</v>
      </c>
      <c r="Q943" s="157">
        <v>0</v>
      </c>
      <c r="R943" s="29">
        <v>3074450</v>
      </c>
      <c r="S943" s="29">
        <v>3000</v>
      </c>
      <c r="T943" s="29">
        <f t="shared" si="60"/>
        <v>3077450</v>
      </c>
    </row>
    <row r="944" spans="1:20" ht="21" customHeight="1" x14ac:dyDescent="0.25">
      <c r="A944" s="21">
        <v>132</v>
      </c>
      <c r="B944" s="7">
        <v>514100845179</v>
      </c>
      <c r="C944" s="2" t="s">
        <v>2526</v>
      </c>
      <c r="D944" s="24" t="s">
        <v>30</v>
      </c>
      <c r="E944" s="2" t="s">
        <v>2396</v>
      </c>
      <c r="F944" s="1" t="s">
        <v>25</v>
      </c>
      <c r="G944" s="8">
        <v>3500</v>
      </c>
      <c r="H944" s="61" t="s">
        <v>26</v>
      </c>
      <c r="I944" s="61" t="s">
        <v>2527</v>
      </c>
      <c r="J944" s="11">
        <v>102367</v>
      </c>
      <c r="K944" s="11">
        <v>103022</v>
      </c>
      <c r="L944" s="11">
        <v>655</v>
      </c>
      <c r="M944" s="51">
        <v>1113192</v>
      </c>
      <c r="N944" s="11">
        <v>0</v>
      </c>
      <c r="O944" s="11">
        <v>0</v>
      </c>
      <c r="P944" s="11">
        <v>0</v>
      </c>
      <c r="Q944" s="157">
        <v>0</v>
      </c>
      <c r="R944" s="29">
        <v>1113192</v>
      </c>
      <c r="S944" s="29">
        <v>3000</v>
      </c>
      <c r="T944" s="29">
        <f t="shared" si="60"/>
        <v>1116192</v>
      </c>
    </row>
    <row r="945" spans="1:20" ht="21" customHeight="1" x14ac:dyDescent="0.25">
      <c r="A945" s="21">
        <v>133</v>
      </c>
      <c r="B945" s="7">
        <v>514100845187</v>
      </c>
      <c r="C945" s="2" t="s">
        <v>2528</v>
      </c>
      <c r="D945" s="24" t="s">
        <v>23</v>
      </c>
      <c r="E945" s="2" t="s">
        <v>2407</v>
      </c>
      <c r="F945" s="1" t="s">
        <v>25</v>
      </c>
      <c r="G945" s="8">
        <v>3500</v>
      </c>
      <c r="H945" s="61" t="s">
        <v>26</v>
      </c>
      <c r="I945" s="61" t="s">
        <v>2529</v>
      </c>
      <c r="J945" s="11">
        <v>112333</v>
      </c>
      <c r="K945" s="11">
        <v>113297</v>
      </c>
      <c r="L945" s="11">
        <v>964</v>
      </c>
      <c r="M945" s="51">
        <v>1638347</v>
      </c>
      <c r="N945" s="11">
        <v>0</v>
      </c>
      <c r="O945" s="11">
        <v>0</v>
      </c>
      <c r="P945" s="11">
        <v>0</v>
      </c>
      <c r="Q945" s="157">
        <v>0</v>
      </c>
      <c r="R945" s="29">
        <v>1638347</v>
      </c>
      <c r="S945" s="29">
        <v>3000</v>
      </c>
      <c r="T945" s="29">
        <f t="shared" si="60"/>
        <v>1641347</v>
      </c>
    </row>
    <row r="946" spans="1:20" ht="21" customHeight="1" x14ac:dyDescent="0.25">
      <c r="A946" s="21">
        <v>134</v>
      </c>
      <c r="B946" s="7">
        <v>514100845195</v>
      </c>
      <c r="C946" s="2" t="s">
        <v>2530</v>
      </c>
      <c r="D946" s="24" t="s">
        <v>23</v>
      </c>
      <c r="E946" s="2" t="s">
        <v>2531</v>
      </c>
      <c r="F946" s="1" t="s">
        <v>25</v>
      </c>
      <c r="G946" s="8">
        <v>4400</v>
      </c>
      <c r="H946" s="61" t="s">
        <v>26</v>
      </c>
      <c r="I946" s="61" t="s">
        <v>2532</v>
      </c>
      <c r="J946" s="11">
        <v>37083</v>
      </c>
      <c r="K946" s="11">
        <v>38318</v>
      </c>
      <c r="L946" s="11">
        <v>1235</v>
      </c>
      <c r="M946" s="51">
        <v>2098920</v>
      </c>
      <c r="N946" s="11">
        <v>0</v>
      </c>
      <c r="O946" s="11">
        <v>0</v>
      </c>
      <c r="P946" s="11">
        <v>0</v>
      </c>
      <c r="Q946" s="157">
        <v>0</v>
      </c>
      <c r="R946" s="29">
        <v>2098920</v>
      </c>
      <c r="S946" s="29">
        <v>3000</v>
      </c>
      <c r="T946" s="29">
        <f t="shared" si="60"/>
        <v>2101920</v>
      </c>
    </row>
    <row r="947" spans="1:20" ht="21" customHeight="1" x14ac:dyDescent="0.25">
      <c r="A947" s="21">
        <v>135</v>
      </c>
      <c r="B947" s="7">
        <v>514100845208</v>
      </c>
      <c r="C947" s="2" t="s">
        <v>2533</v>
      </c>
      <c r="D947" s="24" t="s">
        <v>23</v>
      </c>
      <c r="E947" s="2" t="s">
        <v>2534</v>
      </c>
      <c r="F947" s="1" t="s">
        <v>25</v>
      </c>
      <c r="G947" s="8">
        <v>3500</v>
      </c>
      <c r="H947" s="61" t="s">
        <v>26</v>
      </c>
      <c r="I947" s="61" t="s">
        <v>2535</v>
      </c>
      <c r="J947" s="11">
        <v>18905</v>
      </c>
      <c r="K947" s="11">
        <v>20173</v>
      </c>
      <c r="L947" s="11">
        <v>1268</v>
      </c>
      <c r="M947" s="51">
        <v>2155004</v>
      </c>
      <c r="N947" s="11">
        <v>0</v>
      </c>
      <c r="O947" s="11">
        <v>0</v>
      </c>
      <c r="P947" s="11">
        <v>0</v>
      </c>
      <c r="Q947" s="157">
        <v>0</v>
      </c>
      <c r="R947" s="29">
        <v>2155004</v>
      </c>
      <c r="S947" s="29">
        <v>3000</v>
      </c>
      <c r="T947" s="29">
        <f t="shared" si="60"/>
        <v>2158004</v>
      </c>
    </row>
    <row r="948" spans="1:20" ht="21" customHeight="1" x14ac:dyDescent="0.25">
      <c r="A948" s="21">
        <v>136</v>
      </c>
      <c r="B948" s="7">
        <v>514100845216</v>
      </c>
      <c r="C948" s="2" t="s">
        <v>2536</v>
      </c>
      <c r="D948" s="24" t="s">
        <v>23</v>
      </c>
      <c r="E948" s="2" t="s">
        <v>901</v>
      </c>
      <c r="F948" s="1" t="s">
        <v>25</v>
      </c>
      <c r="G948" s="8">
        <v>7700</v>
      </c>
      <c r="H948" s="61" t="s">
        <v>26</v>
      </c>
      <c r="I948" s="61" t="s">
        <v>2537</v>
      </c>
      <c r="J948" s="11">
        <v>32418</v>
      </c>
      <c r="K948" s="11">
        <v>34786</v>
      </c>
      <c r="L948" s="11">
        <v>2368</v>
      </c>
      <c r="M948" s="51">
        <v>4024487</v>
      </c>
      <c r="N948" s="11">
        <v>0</v>
      </c>
      <c r="O948" s="11">
        <v>0</v>
      </c>
      <c r="P948" s="11">
        <v>0</v>
      </c>
      <c r="Q948" s="157">
        <v>0</v>
      </c>
      <c r="R948" s="29">
        <v>4024487</v>
      </c>
      <c r="S948" s="29">
        <v>3000</v>
      </c>
      <c r="T948" s="29">
        <f t="shared" si="60"/>
        <v>4027487</v>
      </c>
    </row>
    <row r="949" spans="1:20" ht="21" customHeight="1" x14ac:dyDescent="0.25">
      <c r="A949" s="21">
        <v>137</v>
      </c>
      <c r="B949" s="7">
        <v>514101015125</v>
      </c>
      <c r="C949" s="2" t="s">
        <v>2538</v>
      </c>
      <c r="D949" s="24" t="s">
        <v>23</v>
      </c>
      <c r="E949" s="2" t="s">
        <v>2539</v>
      </c>
      <c r="F949" s="1" t="s">
        <v>25</v>
      </c>
      <c r="G949" s="8">
        <v>3500</v>
      </c>
      <c r="H949" s="61" t="s">
        <v>26</v>
      </c>
      <c r="I949" s="61" t="s">
        <v>170</v>
      </c>
      <c r="J949" s="11">
        <v>58042</v>
      </c>
      <c r="K949" s="11">
        <v>59900</v>
      </c>
      <c r="L949" s="11">
        <v>1858</v>
      </c>
      <c r="M949" s="51">
        <v>3157727</v>
      </c>
      <c r="N949" s="11">
        <v>0</v>
      </c>
      <c r="O949" s="11">
        <v>0</v>
      </c>
      <c r="P949" s="11">
        <v>0</v>
      </c>
      <c r="Q949" s="157">
        <v>0</v>
      </c>
      <c r="R949" s="29">
        <v>3157727</v>
      </c>
      <c r="S949" s="29">
        <v>3000</v>
      </c>
      <c r="T949" s="29">
        <f t="shared" si="60"/>
        <v>3160727</v>
      </c>
    </row>
    <row r="950" spans="1:20" ht="21" customHeight="1" x14ac:dyDescent="0.25">
      <c r="A950" s="21">
        <v>138</v>
      </c>
      <c r="B950" s="7">
        <v>514101115658</v>
      </c>
      <c r="C950" s="2" t="s">
        <v>2540</v>
      </c>
      <c r="D950" s="24" t="s">
        <v>23</v>
      </c>
      <c r="E950" s="2" t="s">
        <v>2541</v>
      </c>
      <c r="F950" s="1" t="s">
        <v>25</v>
      </c>
      <c r="G950" s="8">
        <v>2200</v>
      </c>
      <c r="H950" s="61" t="s">
        <v>26</v>
      </c>
      <c r="I950" s="61" t="s">
        <v>574</v>
      </c>
      <c r="J950" s="11">
        <v>48098</v>
      </c>
      <c r="K950" s="11">
        <v>48780</v>
      </c>
      <c r="L950" s="11">
        <v>682</v>
      </c>
      <c r="M950" s="51">
        <v>1159079</v>
      </c>
      <c r="N950" s="11">
        <v>0</v>
      </c>
      <c r="O950" s="11">
        <v>0</v>
      </c>
      <c r="P950" s="11">
        <v>0</v>
      </c>
      <c r="Q950" s="157">
        <v>0</v>
      </c>
      <c r="R950" s="29">
        <v>1159079</v>
      </c>
      <c r="S950" s="29">
        <v>3000</v>
      </c>
      <c r="T950" s="29">
        <f t="shared" si="60"/>
        <v>1162079</v>
      </c>
    </row>
    <row r="951" spans="1:20" ht="21" customHeight="1" x14ac:dyDescent="0.25">
      <c r="A951" s="21">
        <v>139</v>
      </c>
      <c r="B951" s="7">
        <v>514101115666</v>
      </c>
      <c r="C951" s="2" t="s">
        <v>2542</v>
      </c>
      <c r="D951" s="24" t="s">
        <v>23</v>
      </c>
      <c r="E951" s="2" t="s">
        <v>2543</v>
      </c>
      <c r="F951" s="1" t="s">
        <v>25</v>
      </c>
      <c r="G951" s="8">
        <v>4400</v>
      </c>
      <c r="H951" s="61" t="s">
        <v>26</v>
      </c>
      <c r="I951" s="61" t="s">
        <v>2544</v>
      </c>
      <c r="J951" s="11">
        <v>29045</v>
      </c>
      <c r="K951" s="11">
        <v>30857</v>
      </c>
      <c r="L951" s="11">
        <v>1812</v>
      </c>
      <c r="M951" s="51">
        <v>3079548</v>
      </c>
      <c r="N951" s="11">
        <v>0</v>
      </c>
      <c r="O951" s="11">
        <v>0</v>
      </c>
      <c r="P951" s="11">
        <v>0</v>
      </c>
      <c r="Q951" s="157">
        <v>0</v>
      </c>
      <c r="R951" s="29">
        <v>3079548</v>
      </c>
      <c r="S951" s="29">
        <v>3000</v>
      </c>
      <c r="T951" s="29">
        <f t="shared" si="60"/>
        <v>3082548</v>
      </c>
    </row>
    <row r="952" spans="1:20" ht="21" customHeight="1" x14ac:dyDescent="0.25">
      <c r="A952" s="21">
        <v>140</v>
      </c>
      <c r="B952" s="7">
        <v>514101115674</v>
      </c>
      <c r="C952" s="2" t="s">
        <v>2545</v>
      </c>
      <c r="D952" s="24" t="s">
        <v>23</v>
      </c>
      <c r="E952" s="2" t="s">
        <v>2546</v>
      </c>
      <c r="F952" s="1" t="s">
        <v>25</v>
      </c>
      <c r="G952" s="8">
        <v>3500</v>
      </c>
      <c r="H952" s="61" t="s">
        <v>26</v>
      </c>
      <c r="I952" s="61" t="s">
        <v>2547</v>
      </c>
      <c r="J952" s="11">
        <v>69415</v>
      </c>
      <c r="K952" s="11">
        <v>70266</v>
      </c>
      <c r="L952" s="11">
        <v>851</v>
      </c>
      <c r="M952" s="51">
        <v>1446300</v>
      </c>
      <c r="N952" s="11">
        <v>0</v>
      </c>
      <c r="O952" s="11">
        <v>0</v>
      </c>
      <c r="P952" s="11">
        <v>0</v>
      </c>
      <c r="Q952" s="157">
        <v>0</v>
      </c>
      <c r="R952" s="29">
        <v>1446300</v>
      </c>
      <c r="S952" s="29">
        <v>3000</v>
      </c>
      <c r="T952" s="29">
        <f t="shared" si="60"/>
        <v>1449300</v>
      </c>
    </row>
    <row r="953" spans="1:20" ht="21" customHeight="1" x14ac:dyDescent="0.25">
      <c r="A953" s="21">
        <v>141</v>
      </c>
      <c r="B953" s="7">
        <v>514101115682</v>
      </c>
      <c r="C953" s="2" t="s">
        <v>2548</v>
      </c>
      <c r="D953" s="24" t="s">
        <v>23</v>
      </c>
      <c r="E953" s="2" t="s">
        <v>2418</v>
      </c>
      <c r="F953" s="1" t="s">
        <v>25</v>
      </c>
      <c r="G953" s="8">
        <v>5500</v>
      </c>
      <c r="H953" s="61" t="s">
        <v>26</v>
      </c>
      <c r="I953" s="61" t="s">
        <v>2549</v>
      </c>
      <c r="J953" s="11">
        <v>70668</v>
      </c>
      <c r="K953" s="11">
        <v>71455</v>
      </c>
      <c r="L953" s="11">
        <v>787</v>
      </c>
      <c r="M953" s="51">
        <v>1337530</v>
      </c>
      <c r="N953" s="11">
        <v>0</v>
      </c>
      <c r="O953" s="11">
        <v>0</v>
      </c>
      <c r="P953" s="11">
        <v>0</v>
      </c>
      <c r="Q953" s="157">
        <v>0</v>
      </c>
      <c r="R953" s="29">
        <v>1337530</v>
      </c>
      <c r="S953" s="29">
        <v>3000</v>
      </c>
      <c r="T953" s="29">
        <f t="shared" si="60"/>
        <v>1340530</v>
      </c>
    </row>
    <row r="954" spans="1:20" ht="21" customHeight="1" x14ac:dyDescent="0.25">
      <c r="A954" s="21">
        <v>142</v>
      </c>
      <c r="B954" s="61">
        <v>514101115690</v>
      </c>
      <c r="C954" s="62" t="s">
        <v>2550</v>
      </c>
      <c r="D954" s="24" t="s">
        <v>23</v>
      </c>
      <c r="E954" s="62" t="s">
        <v>2551</v>
      </c>
      <c r="F954" s="63" t="s">
        <v>25</v>
      </c>
      <c r="G954" s="64">
        <v>5500</v>
      </c>
      <c r="H954" s="61" t="s">
        <v>26</v>
      </c>
      <c r="I954" s="61" t="s">
        <v>304</v>
      </c>
      <c r="J954" s="11">
        <v>19099</v>
      </c>
      <c r="K954" s="11">
        <v>21847</v>
      </c>
      <c r="L954" s="11">
        <v>2748</v>
      </c>
      <c r="M954" s="51">
        <v>4670308</v>
      </c>
      <c r="N954" s="11">
        <v>0</v>
      </c>
      <c r="O954" s="11">
        <v>0</v>
      </c>
      <c r="P954" s="11">
        <v>0</v>
      </c>
      <c r="Q954" s="157">
        <v>0</v>
      </c>
      <c r="R954" s="29">
        <v>4670308</v>
      </c>
      <c r="S954" s="29">
        <v>3000</v>
      </c>
      <c r="T954" s="29">
        <f t="shared" si="60"/>
        <v>4673308</v>
      </c>
    </row>
    <row r="955" spans="1:20" ht="21" customHeight="1" x14ac:dyDescent="0.25">
      <c r="A955" s="21">
        <v>143</v>
      </c>
      <c r="B955" s="7">
        <v>514101115704</v>
      </c>
      <c r="C955" s="2" t="s">
        <v>2552</v>
      </c>
      <c r="D955" s="24" t="s">
        <v>23</v>
      </c>
      <c r="E955" s="2" t="s">
        <v>2553</v>
      </c>
      <c r="F955" s="1" t="s">
        <v>25</v>
      </c>
      <c r="G955" s="8">
        <v>3500</v>
      </c>
      <c r="H955" s="61" t="s">
        <v>26</v>
      </c>
      <c r="I955" s="61" t="s">
        <v>604</v>
      </c>
      <c r="J955" s="11">
        <v>2627</v>
      </c>
      <c r="K955" s="11">
        <v>4053</v>
      </c>
      <c r="L955" s="11">
        <v>1426</v>
      </c>
      <c r="M955" s="51">
        <v>2423530</v>
      </c>
      <c r="N955" s="11">
        <v>0</v>
      </c>
      <c r="O955" s="11">
        <v>0</v>
      </c>
      <c r="P955" s="11">
        <v>0</v>
      </c>
      <c r="Q955" s="157">
        <v>0</v>
      </c>
      <c r="R955" s="29">
        <v>2423530</v>
      </c>
      <c r="S955" s="29">
        <v>3000</v>
      </c>
      <c r="T955" s="29">
        <f t="shared" si="60"/>
        <v>2426530</v>
      </c>
    </row>
    <row r="956" spans="1:20" ht="21" customHeight="1" x14ac:dyDescent="0.25">
      <c r="A956" s="21">
        <v>144</v>
      </c>
      <c r="B956" s="7">
        <v>514101115712</v>
      </c>
      <c r="C956" s="2" t="s">
        <v>2554</v>
      </c>
      <c r="D956" s="24" t="s">
        <v>23</v>
      </c>
      <c r="E956" s="2" t="s">
        <v>39</v>
      </c>
      <c r="F956" s="1" t="s">
        <v>25</v>
      </c>
      <c r="G956" s="8">
        <v>5500</v>
      </c>
      <c r="H956" s="61" t="s">
        <v>26</v>
      </c>
      <c r="I956" s="61" t="s">
        <v>841</v>
      </c>
      <c r="J956" s="11">
        <v>503</v>
      </c>
      <c r="K956" s="11">
        <v>2349</v>
      </c>
      <c r="L956" s="11">
        <v>1846</v>
      </c>
      <c r="M956" s="51">
        <v>3137332</v>
      </c>
      <c r="N956" s="11">
        <v>0</v>
      </c>
      <c r="O956" s="11">
        <v>0</v>
      </c>
      <c r="P956" s="11">
        <v>0</v>
      </c>
      <c r="Q956" s="157">
        <v>0</v>
      </c>
      <c r="R956" s="29">
        <v>3137332</v>
      </c>
      <c r="S956" s="29">
        <v>3000</v>
      </c>
      <c r="T956" s="29">
        <f t="shared" si="60"/>
        <v>3140332</v>
      </c>
    </row>
    <row r="957" spans="1:20" ht="21" customHeight="1" x14ac:dyDescent="0.25">
      <c r="A957" s="21">
        <v>145</v>
      </c>
      <c r="B957" s="7">
        <v>514101115720</v>
      </c>
      <c r="C957" s="2" t="s">
        <v>2555</v>
      </c>
      <c r="D957" s="24" t="s">
        <v>23</v>
      </c>
      <c r="E957" s="2" t="s">
        <v>2355</v>
      </c>
      <c r="F957" s="1" t="s">
        <v>25</v>
      </c>
      <c r="G957" s="8">
        <v>5500</v>
      </c>
      <c r="H957" s="61" t="s">
        <v>26</v>
      </c>
      <c r="I957" s="61" t="s">
        <v>2556</v>
      </c>
      <c r="J957" s="11">
        <v>92906</v>
      </c>
      <c r="K957" s="11">
        <v>95613</v>
      </c>
      <c r="L957" s="11">
        <v>2707</v>
      </c>
      <c r="M957" s="51">
        <v>4600628</v>
      </c>
      <c r="N957" s="11">
        <v>0</v>
      </c>
      <c r="O957" s="11">
        <v>0</v>
      </c>
      <c r="P957" s="11">
        <v>0</v>
      </c>
      <c r="Q957" s="157">
        <v>0</v>
      </c>
      <c r="R957" s="29">
        <v>4600628</v>
      </c>
      <c r="S957" s="29">
        <v>3000</v>
      </c>
      <c r="T957" s="29">
        <f t="shared" si="60"/>
        <v>4603628</v>
      </c>
    </row>
    <row r="958" spans="1:20" ht="21" customHeight="1" x14ac:dyDescent="0.25">
      <c r="A958" s="21">
        <v>146</v>
      </c>
      <c r="B958" s="7">
        <v>514101115738</v>
      </c>
      <c r="C958" s="2" t="s">
        <v>2557</v>
      </c>
      <c r="D958" s="24" t="s">
        <v>30</v>
      </c>
      <c r="E958" s="2" t="s">
        <v>2558</v>
      </c>
      <c r="F958" s="1" t="s">
        <v>25</v>
      </c>
      <c r="G958" s="8">
        <v>3500</v>
      </c>
      <c r="H958" s="61" t="s">
        <v>26</v>
      </c>
      <c r="I958" s="61" t="s">
        <v>2559</v>
      </c>
      <c r="J958" s="11">
        <v>96887</v>
      </c>
      <c r="K958" s="11">
        <v>97925</v>
      </c>
      <c r="L958" s="11">
        <v>1038</v>
      </c>
      <c r="M958" s="51">
        <v>1764112</v>
      </c>
      <c r="N958" s="11">
        <v>0</v>
      </c>
      <c r="O958" s="11">
        <v>0</v>
      </c>
      <c r="P958" s="11">
        <v>0</v>
      </c>
      <c r="Q958" s="157">
        <v>0</v>
      </c>
      <c r="R958" s="29">
        <v>1764112</v>
      </c>
      <c r="S958" s="29">
        <v>3000</v>
      </c>
      <c r="T958" s="29">
        <f t="shared" si="60"/>
        <v>1767112</v>
      </c>
    </row>
    <row r="959" spans="1:20" ht="21" customHeight="1" x14ac:dyDescent="0.25">
      <c r="A959" s="21">
        <v>147</v>
      </c>
      <c r="B959" s="7">
        <v>514101115746</v>
      </c>
      <c r="C959" s="2" t="s">
        <v>2560</v>
      </c>
      <c r="D959" s="24" t="s">
        <v>23</v>
      </c>
      <c r="E959" s="2" t="s">
        <v>2561</v>
      </c>
      <c r="F959" s="1" t="s">
        <v>25</v>
      </c>
      <c r="G959" s="8">
        <v>5500</v>
      </c>
      <c r="H959" s="61" t="s">
        <v>26</v>
      </c>
      <c r="I959" s="61" t="s">
        <v>2562</v>
      </c>
      <c r="J959" s="11">
        <v>20238</v>
      </c>
      <c r="K959" s="11">
        <v>22042</v>
      </c>
      <c r="L959" s="11">
        <v>1804</v>
      </c>
      <c r="M959" s="51">
        <v>3065952</v>
      </c>
      <c r="N959" s="11">
        <v>0</v>
      </c>
      <c r="O959" s="11">
        <v>0</v>
      </c>
      <c r="P959" s="11">
        <v>0</v>
      </c>
      <c r="Q959" s="157">
        <v>0</v>
      </c>
      <c r="R959" s="29">
        <v>3065952</v>
      </c>
      <c r="S959" s="29">
        <v>3000</v>
      </c>
      <c r="T959" s="29">
        <f t="shared" si="60"/>
        <v>3068952</v>
      </c>
    </row>
    <row r="960" spans="1:20" ht="21" customHeight="1" x14ac:dyDescent="0.25">
      <c r="A960" s="21">
        <v>148</v>
      </c>
      <c r="B960" s="7">
        <v>514101115753</v>
      </c>
      <c r="C960" s="2" t="s">
        <v>2501</v>
      </c>
      <c r="D960" s="24" t="s">
        <v>23</v>
      </c>
      <c r="E960" s="2" t="s">
        <v>2502</v>
      </c>
      <c r="F960" s="1" t="s">
        <v>25</v>
      </c>
      <c r="G960" s="8">
        <v>4400</v>
      </c>
      <c r="H960" s="61" t="s">
        <v>26</v>
      </c>
      <c r="I960" s="61" t="s">
        <v>197</v>
      </c>
      <c r="J960" s="11">
        <v>52600</v>
      </c>
      <c r="K960" s="11">
        <v>53758</v>
      </c>
      <c r="L960" s="11">
        <v>1158</v>
      </c>
      <c r="M960" s="51">
        <v>1968056</v>
      </c>
      <c r="N960" s="11">
        <v>0</v>
      </c>
      <c r="O960" s="11">
        <v>0</v>
      </c>
      <c r="P960" s="11">
        <v>0</v>
      </c>
      <c r="Q960" s="157">
        <v>0</v>
      </c>
      <c r="R960" s="29">
        <v>1968056</v>
      </c>
      <c r="S960" s="29">
        <v>3000</v>
      </c>
      <c r="T960" s="29">
        <f t="shared" si="60"/>
        <v>1971056</v>
      </c>
    </row>
    <row r="961" spans="1:20" ht="21" customHeight="1" x14ac:dyDescent="0.25">
      <c r="A961" s="21">
        <v>149</v>
      </c>
      <c r="B961" s="7">
        <v>514101115761</v>
      </c>
      <c r="C961" s="2" t="s">
        <v>2563</v>
      </c>
      <c r="D961" s="24" t="s">
        <v>23</v>
      </c>
      <c r="E961" s="2" t="s">
        <v>2564</v>
      </c>
      <c r="F961" s="1" t="s">
        <v>25</v>
      </c>
      <c r="G961" s="8">
        <v>3500</v>
      </c>
      <c r="H961" s="61" t="s">
        <v>26</v>
      </c>
      <c r="I961" s="61" t="s">
        <v>2565</v>
      </c>
      <c r="J961" s="11">
        <v>19562</v>
      </c>
      <c r="K961" s="11">
        <v>21065</v>
      </c>
      <c r="L961" s="11">
        <v>1503</v>
      </c>
      <c r="M961" s="51">
        <v>2554394</v>
      </c>
      <c r="N961" s="11">
        <v>0</v>
      </c>
      <c r="O961" s="11">
        <v>0</v>
      </c>
      <c r="P961" s="11">
        <v>0</v>
      </c>
      <c r="Q961" s="157">
        <v>0</v>
      </c>
      <c r="R961" s="29">
        <v>2554394</v>
      </c>
      <c r="S961" s="29">
        <v>3000</v>
      </c>
      <c r="T961" s="29">
        <f t="shared" si="60"/>
        <v>2557394</v>
      </c>
    </row>
    <row r="962" spans="1:20" ht="21" customHeight="1" x14ac:dyDescent="0.25">
      <c r="A962" s="21">
        <v>150</v>
      </c>
      <c r="B962" s="7">
        <v>514101115779</v>
      </c>
      <c r="C962" s="2" t="s">
        <v>2566</v>
      </c>
      <c r="D962" s="24" t="s">
        <v>23</v>
      </c>
      <c r="E962" s="2" t="s">
        <v>2543</v>
      </c>
      <c r="F962" s="1" t="s">
        <v>25</v>
      </c>
      <c r="G962" s="8">
        <v>5500</v>
      </c>
      <c r="H962" s="61" t="s">
        <v>26</v>
      </c>
      <c r="I962" s="61" t="s">
        <v>2567</v>
      </c>
      <c r="J962" s="11">
        <v>68022</v>
      </c>
      <c r="K962" s="11">
        <v>70018</v>
      </c>
      <c r="L962" s="11">
        <v>1996</v>
      </c>
      <c r="M962" s="51">
        <v>3392262</v>
      </c>
      <c r="N962" s="11">
        <v>0</v>
      </c>
      <c r="O962" s="11">
        <v>0</v>
      </c>
      <c r="P962" s="11">
        <v>0</v>
      </c>
      <c r="Q962" s="157">
        <v>0</v>
      </c>
      <c r="R962" s="29">
        <v>3392262</v>
      </c>
      <c r="S962" s="29">
        <v>3000</v>
      </c>
      <c r="T962" s="29">
        <f t="shared" si="60"/>
        <v>3395262</v>
      </c>
    </row>
    <row r="963" spans="1:20" ht="21" customHeight="1" x14ac:dyDescent="0.25">
      <c r="A963" s="21">
        <v>151</v>
      </c>
      <c r="B963" s="7">
        <v>514101115787</v>
      </c>
      <c r="C963" s="2" t="s">
        <v>2568</v>
      </c>
      <c r="D963" s="24" t="s">
        <v>23</v>
      </c>
      <c r="E963" s="2" t="s">
        <v>2404</v>
      </c>
      <c r="F963" s="1" t="s">
        <v>25</v>
      </c>
      <c r="G963" s="8">
        <v>3500</v>
      </c>
      <c r="H963" s="61" t="s">
        <v>26</v>
      </c>
      <c r="I963" s="61" t="s">
        <v>796</v>
      </c>
      <c r="J963" s="11">
        <v>91577</v>
      </c>
      <c r="K963" s="11">
        <v>92711</v>
      </c>
      <c r="L963" s="11">
        <v>1134</v>
      </c>
      <c r="M963" s="51">
        <v>1927267</v>
      </c>
      <c r="N963" s="11">
        <v>0</v>
      </c>
      <c r="O963" s="11">
        <v>0</v>
      </c>
      <c r="P963" s="11">
        <v>0</v>
      </c>
      <c r="Q963" s="157">
        <v>0</v>
      </c>
      <c r="R963" s="29">
        <v>1927267</v>
      </c>
      <c r="S963" s="29">
        <v>3000</v>
      </c>
      <c r="T963" s="29">
        <f t="shared" si="60"/>
        <v>1930267</v>
      </c>
    </row>
    <row r="964" spans="1:20" ht="21" customHeight="1" x14ac:dyDescent="0.25">
      <c r="A964" s="21">
        <v>152</v>
      </c>
      <c r="B964" s="7">
        <v>514101115795</v>
      </c>
      <c r="C964" s="2" t="s">
        <v>2569</v>
      </c>
      <c r="D964" s="24" t="s">
        <v>23</v>
      </c>
      <c r="E964" s="2" t="s">
        <v>2553</v>
      </c>
      <c r="F964" s="1" t="s">
        <v>25</v>
      </c>
      <c r="G964" s="8">
        <v>3500</v>
      </c>
      <c r="H964" s="61" t="s">
        <v>26</v>
      </c>
      <c r="I964" s="61" t="s">
        <v>2570</v>
      </c>
      <c r="J964" s="11">
        <v>31597</v>
      </c>
      <c r="K964" s="11">
        <v>32450</v>
      </c>
      <c r="L964" s="11">
        <v>853</v>
      </c>
      <c r="M964" s="51">
        <v>1449699</v>
      </c>
      <c r="N964" s="11">
        <v>0</v>
      </c>
      <c r="O964" s="11">
        <v>0</v>
      </c>
      <c r="P964" s="11">
        <v>0</v>
      </c>
      <c r="Q964" s="157">
        <v>0</v>
      </c>
      <c r="R964" s="29">
        <v>1449699</v>
      </c>
      <c r="S964" s="29">
        <v>3000</v>
      </c>
      <c r="T964" s="29">
        <f t="shared" si="60"/>
        <v>1452699</v>
      </c>
    </row>
    <row r="965" spans="1:20" ht="21" customHeight="1" x14ac:dyDescent="0.25">
      <c r="A965" s="21">
        <v>153</v>
      </c>
      <c r="B965" s="7">
        <v>514101115808</v>
      </c>
      <c r="C965" s="2" t="s">
        <v>2571</v>
      </c>
      <c r="D965" s="24" t="s">
        <v>23</v>
      </c>
      <c r="E965" s="2" t="s">
        <v>2331</v>
      </c>
      <c r="F965" s="1" t="s">
        <v>25</v>
      </c>
      <c r="G965" s="8">
        <v>3500</v>
      </c>
      <c r="H965" s="61" t="s">
        <v>26</v>
      </c>
      <c r="I965" s="61" t="s">
        <v>205</v>
      </c>
      <c r="J965" s="11">
        <v>16182</v>
      </c>
      <c r="K965" s="11">
        <v>17710</v>
      </c>
      <c r="L965" s="11">
        <v>1528</v>
      </c>
      <c r="M965" s="51">
        <v>2596882</v>
      </c>
      <c r="N965" s="11">
        <v>0</v>
      </c>
      <c r="O965" s="11">
        <v>0</v>
      </c>
      <c r="P965" s="11">
        <v>0</v>
      </c>
      <c r="Q965" s="157">
        <v>0</v>
      </c>
      <c r="R965" s="29">
        <v>2596882</v>
      </c>
      <c r="S965" s="29">
        <v>3000</v>
      </c>
      <c r="T965" s="29">
        <f t="shared" si="60"/>
        <v>2599882</v>
      </c>
    </row>
    <row r="966" spans="1:20" ht="21" customHeight="1" x14ac:dyDescent="0.25">
      <c r="A966" s="21">
        <v>154</v>
      </c>
      <c r="B966" s="7">
        <v>514101115816</v>
      </c>
      <c r="C966" s="2" t="s">
        <v>2572</v>
      </c>
      <c r="D966" s="24" t="s">
        <v>23</v>
      </c>
      <c r="E966" s="2" t="s">
        <v>2322</v>
      </c>
      <c r="F966" s="1" t="s">
        <v>25</v>
      </c>
      <c r="G966" s="8">
        <v>3500</v>
      </c>
      <c r="H966" s="61" t="s">
        <v>26</v>
      </c>
      <c r="I966" s="61" t="s">
        <v>2573</v>
      </c>
      <c r="J966" s="11">
        <v>33016</v>
      </c>
      <c r="K966" s="11">
        <v>34905</v>
      </c>
      <c r="L966" s="11">
        <v>1889</v>
      </c>
      <c r="M966" s="51">
        <v>3210412</v>
      </c>
      <c r="N966" s="11">
        <v>0</v>
      </c>
      <c r="O966" s="11">
        <v>0</v>
      </c>
      <c r="P966" s="11">
        <v>0</v>
      </c>
      <c r="Q966" s="157">
        <v>0</v>
      </c>
      <c r="R966" s="29">
        <v>3210412</v>
      </c>
      <c r="S966" s="29">
        <v>3000</v>
      </c>
      <c r="T966" s="29">
        <f t="shared" si="60"/>
        <v>3213412</v>
      </c>
    </row>
    <row r="967" spans="1:20" ht="21" customHeight="1" x14ac:dyDescent="0.25">
      <c r="A967" s="21">
        <v>155</v>
      </c>
      <c r="B967" s="7">
        <v>514101115824</v>
      </c>
      <c r="C967" s="2" t="s">
        <v>2449</v>
      </c>
      <c r="D967" s="24" t="s">
        <v>23</v>
      </c>
      <c r="E967" s="2" t="s">
        <v>2316</v>
      </c>
      <c r="F967" s="1" t="s">
        <v>25</v>
      </c>
      <c r="G967" s="8">
        <v>3500</v>
      </c>
      <c r="H967" s="61" t="s">
        <v>26</v>
      </c>
      <c r="I967" s="61" t="s">
        <v>436</v>
      </c>
      <c r="J967" s="11">
        <v>35508</v>
      </c>
      <c r="K967" s="11">
        <v>35769</v>
      </c>
      <c r="L967" s="11">
        <v>261</v>
      </c>
      <c r="M967" s="51">
        <v>443577</v>
      </c>
      <c r="N967" s="11">
        <v>0</v>
      </c>
      <c r="O967" s="11">
        <v>0</v>
      </c>
      <c r="P967" s="11">
        <v>0</v>
      </c>
      <c r="Q967" s="157">
        <v>0</v>
      </c>
      <c r="R967" s="29">
        <v>443577</v>
      </c>
      <c r="S967" s="29">
        <v>3000</v>
      </c>
      <c r="T967" s="29">
        <f t="shared" si="60"/>
        <v>446577</v>
      </c>
    </row>
    <row r="968" spans="1:20" ht="21" customHeight="1" x14ac:dyDescent="0.25">
      <c r="A968" s="21">
        <v>156</v>
      </c>
      <c r="B968" s="7">
        <v>514101115832</v>
      </c>
      <c r="C968" s="2" t="s">
        <v>2574</v>
      </c>
      <c r="D968" s="24" t="s">
        <v>23</v>
      </c>
      <c r="E968" s="2" t="s">
        <v>2575</v>
      </c>
      <c r="F968" s="1" t="s">
        <v>25</v>
      </c>
      <c r="G968" s="8">
        <v>5500</v>
      </c>
      <c r="H968" s="61" t="s">
        <v>26</v>
      </c>
      <c r="I968" s="61" t="s">
        <v>178</v>
      </c>
      <c r="J968" s="11">
        <v>40801</v>
      </c>
      <c r="K968" s="11">
        <v>42728</v>
      </c>
      <c r="L968" s="11">
        <v>1927</v>
      </c>
      <c r="M968" s="51">
        <v>3274994</v>
      </c>
      <c r="N968" s="11">
        <v>0</v>
      </c>
      <c r="O968" s="11">
        <v>0</v>
      </c>
      <c r="P968" s="11">
        <v>0</v>
      </c>
      <c r="Q968" s="157">
        <v>0</v>
      </c>
      <c r="R968" s="29">
        <v>3274994</v>
      </c>
      <c r="S968" s="29">
        <v>3000</v>
      </c>
      <c r="T968" s="29">
        <f t="shared" si="60"/>
        <v>3277994</v>
      </c>
    </row>
    <row r="969" spans="1:20" ht="21" customHeight="1" x14ac:dyDescent="0.25">
      <c r="A969" s="21">
        <v>157</v>
      </c>
      <c r="B969" s="7">
        <v>514101115840</v>
      </c>
      <c r="C969" s="2" t="s">
        <v>2576</v>
      </c>
      <c r="D969" s="24" t="s">
        <v>30</v>
      </c>
      <c r="E969" s="2" t="s">
        <v>2337</v>
      </c>
      <c r="F969" s="1" t="s">
        <v>25</v>
      </c>
      <c r="G969" s="8">
        <v>3500</v>
      </c>
      <c r="H969" s="61" t="s">
        <v>26</v>
      </c>
      <c r="I969" s="61" t="s">
        <v>2577</v>
      </c>
      <c r="J969" s="11">
        <v>15095</v>
      </c>
      <c r="K969" s="11">
        <v>17044</v>
      </c>
      <c r="L969" s="11">
        <v>1949</v>
      </c>
      <c r="M969" s="51">
        <v>3312384</v>
      </c>
      <c r="N969" s="11">
        <v>0</v>
      </c>
      <c r="O969" s="11">
        <v>0</v>
      </c>
      <c r="P969" s="11">
        <v>0</v>
      </c>
      <c r="Q969" s="157">
        <v>0</v>
      </c>
      <c r="R969" s="29">
        <v>3312384</v>
      </c>
      <c r="S969" s="29">
        <v>3000</v>
      </c>
      <c r="T969" s="29">
        <f t="shared" si="60"/>
        <v>3315384</v>
      </c>
    </row>
    <row r="970" spans="1:20" ht="21" customHeight="1" x14ac:dyDescent="0.25">
      <c r="A970" s="21">
        <v>158</v>
      </c>
      <c r="B970" s="7">
        <v>514101115857</v>
      </c>
      <c r="C970" s="2" t="s">
        <v>2578</v>
      </c>
      <c r="D970" s="24" t="s">
        <v>30</v>
      </c>
      <c r="E970" s="2" t="s">
        <v>2579</v>
      </c>
      <c r="F970" s="1" t="s">
        <v>25</v>
      </c>
      <c r="G970" s="8">
        <v>3500</v>
      </c>
      <c r="H970" s="61" t="s">
        <v>26</v>
      </c>
      <c r="I970" s="61" t="s">
        <v>2580</v>
      </c>
      <c r="J970" s="11">
        <v>20243</v>
      </c>
      <c r="K970" s="11">
        <v>21741</v>
      </c>
      <c r="L970" s="11">
        <v>1498</v>
      </c>
      <c r="M970" s="51">
        <v>2545896</v>
      </c>
      <c r="N970" s="11">
        <v>0</v>
      </c>
      <c r="O970" s="11">
        <v>0</v>
      </c>
      <c r="P970" s="11">
        <v>0</v>
      </c>
      <c r="Q970" s="157">
        <v>0</v>
      </c>
      <c r="R970" s="29">
        <v>2545896</v>
      </c>
      <c r="S970" s="29">
        <v>3000</v>
      </c>
      <c r="T970" s="29">
        <f t="shared" si="60"/>
        <v>2548896</v>
      </c>
    </row>
    <row r="971" spans="1:20" ht="21" customHeight="1" x14ac:dyDescent="0.25">
      <c r="A971" s="21">
        <v>159</v>
      </c>
      <c r="B971" s="7">
        <v>514101115865</v>
      </c>
      <c r="C971" s="2" t="s">
        <v>2581</v>
      </c>
      <c r="D971" s="24" t="s">
        <v>23</v>
      </c>
      <c r="E971" s="2" t="s">
        <v>2582</v>
      </c>
      <c r="F971" s="1" t="s">
        <v>25</v>
      </c>
      <c r="G971" s="8">
        <v>3500</v>
      </c>
      <c r="H971" s="61" t="s">
        <v>26</v>
      </c>
      <c r="I971" s="61" t="s">
        <v>2583</v>
      </c>
      <c r="J971" s="11">
        <v>61234</v>
      </c>
      <c r="K971" s="11">
        <v>62400</v>
      </c>
      <c r="L971" s="11">
        <v>1166</v>
      </c>
      <c r="M971" s="51">
        <v>1981652</v>
      </c>
      <c r="N971" s="11">
        <v>0</v>
      </c>
      <c r="O971" s="11">
        <v>0</v>
      </c>
      <c r="P971" s="11">
        <v>0</v>
      </c>
      <c r="Q971" s="157">
        <v>0</v>
      </c>
      <c r="R971" s="29">
        <v>1981652</v>
      </c>
      <c r="S971" s="29">
        <v>3000</v>
      </c>
      <c r="T971" s="29">
        <f t="shared" si="60"/>
        <v>1984652</v>
      </c>
    </row>
    <row r="972" spans="1:20" ht="21" customHeight="1" x14ac:dyDescent="0.25">
      <c r="A972" s="21">
        <v>160</v>
      </c>
      <c r="B972" s="61">
        <v>514101115873</v>
      </c>
      <c r="C972" s="62" t="s">
        <v>2584</v>
      </c>
      <c r="D972" s="24" t="s">
        <v>23</v>
      </c>
      <c r="E972" s="62" t="s">
        <v>359</v>
      </c>
      <c r="F972" s="63" t="s">
        <v>25</v>
      </c>
      <c r="G972" s="64">
        <v>5500</v>
      </c>
      <c r="H972" s="61" t="s">
        <v>26</v>
      </c>
      <c r="I972" s="61" t="s">
        <v>2585</v>
      </c>
      <c r="J972" s="11">
        <v>3373</v>
      </c>
      <c r="K972" s="11">
        <v>4401</v>
      </c>
      <c r="L972" s="11">
        <v>1028</v>
      </c>
      <c r="M972" s="51">
        <v>1747117</v>
      </c>
      <c r="N972" s="11">
        <v>0</v>
      </c>
      <c r="O972" s="11">
        <v>0</v>
      </c>
      <c r="P972" s="11">
        <v>0</v>
      </c>
      <c r="Q972" s="157">
        <v>0</v>
      </c>
      <c r="R972" s="29">
        <v>1747117</v>
      </c>
      <c r="S972" s="29">
        <v>3000</v>
      </c>
      <c r="T972" s="29">
        <f t="shared" si="60"/>
        <v>1750117</v>
      </c>
    </row>
    <row r="973" spans="1:20" ht="21" customHeight="1" x14ac:dyDescent="0.25">
      <c r="A973" s="21"/>
      <c r="B973" s="61"/>
      <c r="C973" s="62"/>
      <c r="D973" s="24"/>
      <c r="E973" s="62"/>
      <c r="F973" s="63"/>
      <c r="G973" s="64"/>
      <c r="H973" s="61"/>
      <c r="I973" s="61"/>
      <c r="J973" s="11"/>
      <c r="K973" s="11"/>
      <c r="L973" s="11"/>
      <c r="M973" s="51"/>
      <c r="N973" s="11"/>
      <c r="O973" s="11"/>
      <c r="P973" s="11"/>
      <c r="Q973" s="157"/>
      <c r="R973" s="29"/>
      <c r="S973" s="29"/>
      <c r="T973" s="29"/>
    </row>
    <row r="974" spans="1:20" ht="36.75" customHeight="1" x14ac:dyDescent="0.25">
      <c r="A974" s="21"/>
      <c r="B974" s="115"/>
      <c r="C974" s="23"/>
      <c r="D974" s="23"/>
      <c r="E974" s="23" t="s">
        <v>181</v>
      </c>
      <c r="F974" s="22"/>
      <c r="G974" s="111">
        <v>836860</v>
      </c>
      <c r="H974" s="111">
        <v>0</v>
      </c>
      <c r="I974" s="111">
        <v>0</v>
      </c>
      <c r="J974" s="111"/>
      <c r="K974" s="111"/>
      <c r="L974" s="111">
        <v>270087</v>
      </c>
      <c r="M974" s="33">
        <v>459020960</v>
      </c>
      <c r="N974" s="34">
        <v>0</v>
      </c>
      <c r="O974" s="34">
        <v>0</v>
      </c>
      <c r="P974" s="34">
        <v>0</v>
      </c>
      <c r="Q974" s="33">
        <f>SUM(Q931:Q973)</f>
        <v>120000</v>
      </c>
      <c r="R974" s="33">
        <f t="shared" ref="R974:T974" si="61">SUM(R931:R973)</f>
        <v>459140960</v>
      </c>
      <c r="S974" s="33">
        <f t="shared" si="61"/>
        <v>480000</v>
      </c>
      <c r="T974" s="33">
        <f t="shared" si="61"/>
        <v>459620960</v>
      </c>
    </row>
    <row r="975" spans="1:20" ht="21" customHeight="1" x14ac:dyDescent="0.25">
      <c r="A975" s="96"/>
      <c r="B975" s="116"/>
      <c r="C975" s="94"/>
      <c r="D975" s="94"/>
      <c r="E975" s="94"/>
      <c r="F975" s="93"/>
      <c r="G975" s="112"/>
      <c r="H975" s="41"/>
      <c r="L975" s="41"/>
      <c r="M975" s="113"/>
      <c r="N975" s="114"/>
      <c r="O975" s="114"/>
      <c r="P975" s="114"/>
      <c r="Q975" s="113"/>
      <c r="R975" s="113"/>
      <c r="S975" s="113"/>
      <c r="T975" s="113"/>
    </row>
    <row r="976" spans="1:20" ht="21" customHeight="1" x14ac:dyDescent="0.25">
      <c r="A976" s="96"/>
      <c r="B976" s="116"/>
      <c r="C976" s="94"/>
      <c r="D976" s="94"/>
      <c r="E976" s="94"/>
      <c r="F976" s="93"/>
      <c r="G976" s="112"/>
      <c r="L976" s="41"/>
    </row>
    <row r="977" spans="1:21" s="93" customFormat="1" ht="42" customHeight="1" x14ac:dyDescent="0.25">
      <c r="A977" s="31" t="s">
        <v>4</v>
      </c>
      <c r="B977" s="31" t="s">
        <v>5</v>
      </c>
      <c r="C977" s="31" t="s">
        <v>6</v>
      </c>
      <c r="D977" s="22"/>
      <c r="E977" s="31" t="s">
        <v>7</v>
      </c>
      <c r="F977" s="31" t="s">
        <v>8</v>
      </c>
      <c r="G977" s="31" t="s">
        <v>9</v>
      </c>
      <c r="H977" s="31" t="s">
        <v>10</v>
      </c>
      <c r="I977" s="31" t="s">
        <v>11</v>
      </c>
      <c r="J977" s="31" t="s">
        <v>12</v>
      </c>
      <c r="K977" s="31" t="s">
        <v>13</v>
      </c>
      <c r="L977" s="31" t="s">
        <v>14</v>
      </c>
      <c r="M977" s="141" t="s">
        <v>15</v>
      </c>
      <c r="N977" s="142" t="s">
        <v>16</v>
      </c>
      <c r="O977" s="142" t="s">
        <v>17</v>
      </c>
      <c r="P977" s="142" t="s">
        <v>18</v>
      </c>
      <c r="Q977" s="141" t="s">
        <v>19</v>
      </c>
      <c r="R977" s="141" t="s">
        <v>20</v>
      </c>
      <c r="S977" s="141" t="s">
        <v>3655</v>
      </c>
      <c r="T977" s="141" t="s">
        <v>3656</v>
      </c>
    </row>
    <row r="978" spans="1:21" ht="21" customHeight="1" x14ac:dyDescent="0.25">
      <c r="A978" s="21"/>
      <c r="B978" s="115"/>
      <c r="C978" s="23"/>
      <c r="D978" s="23"/>
      <c r="E978" s="23"/>
      <c r="F978" s="22"/>
      <c r="G978" s="22"/>
      <c r="H978" s="27"/>
      <c r="I978" s="25" t="s">
        <v>0</v>
      </c>
      <c r="J978" s="25"/>
      <c r="K978" s="25"/>
      <c r="L978" s="28" t="s">
        <v>0</v>
      </c>
      <c r="M978" s="29"/>
      <c r="N978" s="30"/>
      <c r="O978" s="30"/>
      <c r="P978" s="30"/>
      <c r="Q978" s="29"/>
      <c r="R978" s="29"/>
      <c r="S978" s="29"/>
      <c r="T978" s="29"/>
    </row>
    <row r="979" spans="1:21" ht="21" customHeight="1" x14ac:dyDescent="0.25">
      <c r="A979" s="21"/>
      <c r="B979" s="115"/>
      <c r="C979" s="23"/>
      <c r="D979" s="23"/>
      <c r="E979" s="45" t="s">
        <v>181</v>
      </c>
      <c r="F979" s="22"/>
      <c r="G979" s="32">
        <v>836860</v>
      </c>
      <c r="H979" s="32">
        <v>0</v>
      </c>
      <c r="I979" s="32">
        <v>0</v>
      </c>
      <c r="J979" s="32"/>
      <c r="K979" s="32"/>
      <c r="L979" s="32">
        <v>270087</v>
      </c>
      <c r="M979" s="33">
        <v>459020960</v>
      </c>
      <c r="N979" s="34">
        <v>0</v>
      </c>
      <c r="O979" s="34">
        <v>0</v>
      </c>
      <c r="P979" s="34">
        <v>0</v>
      </c>
      <c r="Q979" s="33">
        <f>Q974</f>
        <v>120000</v>
      </c>
      <c r="R979" s="33">
        <f t="shared" ref="R979:T979" si="62">R974</f>
        <v>459140960</v>
      </c>
      <c r="S979" s="33">
        <f t="shared" si="62"/>
        <v>480000</v>
      </c>
      <c r="T979" s="33">
        <f t="shared" si="62"/>
        <v>459620960</v>
      </c>
      <c r="U979" s="161">
        <f>SUM(Q979:T979)</f>
        <v>919361920</v>
      </c>
    </row>
    <row r="980" spans="1:21" ht="21" customHeight="1" x14ac:dyDescent="0.25">
      <c r="A980" s="21">
        <v>161</v>
      </c>
      <c r="B980" s="7">
        <v>514101115881</v>
      </c>
      <c r="C980" s="2" t="s">
        <v>2586</v>
      </c>
      <c r="D980" s="24" t="s">
        <v>30</v>
      </c>
      <c r="E980" s="2" t="s">
        <v>2564</v>
      </c>
      <c r="F980" s="1" t="s">
        <v>25</v>
      </c>
      <c r="G980" s="8">
        <v>3500</v>
      </c>
      <c r="H980" s="63" t="s">
        <v>26</v>
      </c>
      <c r="I980" s="63" t="s">
        <v>2587</v>
      </c>
      <c r="J980" s="62">
        <v>31501</v>
      </c>
      <c r="K980" s="62">
        <v>32866</v>
      </c>
      <c r="L980" s="62">
        <v>1365</v>
      </c>
      <c r="M980" s="51">
        <v>2319858</v>
      </c>
      <c r="N980" s="11">
        <v>0</v>
      </c>
      <c r="O980" s="11">
        <v>0</v>
      </c>
      <c r="P980" s="11">
        <v>0</v>
      </c>
      <c r="Q980" s="157">
        <v>0</v>
      </c>
      <c r="R980" s="29">
        <v>2319858</v>
      </c>
      <c r="S980" s="29">
        <v>3000</v>
      </c>
      <c r="T980" s="29">
        <f t="shared" ref="T980:T1014" si="63">R980+S980</f>
        <v>2322858</v>
      </c>
    </row>
    <row r="981" spans="1:21" ht="21" customHeight="1" x14ac:dyDescent="0.25">
      <c r="A981" s="21">
        <v>162</v>
      </c>
      <c r="B981" s="7">
        <v>514101115899</v>
      </c>
      <c r="C981" s="2" t="s">
        <v>2588</v>
      </c>
      <c r="D981" s="24" t="s">
        <v>23</v>
      </c>
      <c r="E981" s="2" t="s">
        <v>2502</v>
      </c>
      <c r="F981" s="1" t="s">
        <v>25</v>
      </c>
      <c r="G981" s="8">
        <v>3500</v>
      </c>
      <c r="H981" s="63" t="s">
        <v>26</v>
      </c>
      <c r="I981" s="63" t="s">
        <v>2589</v>
      </c>
      <c r="J981" s="62">
        <v>73761</v>
      </c>
      <c r="K981" s="62">
        <v>75657</v>
      </c>
      <c r="L981" s="62">
        <v>1896</v>
      </c>
      <c r="M981" s="51">
        <v>3222309</v>
      </c>
      <c r="N981" s="11">
        <v>0</v>
      </c>
      <c r="O981" s="11">
        <v>0</v>
      </c>
      <c r="P981" s="11">
        <v>0</v>
      </c>
      <c r="Q981" s="157">
        <v>0</v>
      </c>
      <c r="R981" s="29">
        <v>3222309</v>
      </c>
      <c r="S981" s="29">
        <v>3000</v>
      </c>
      <c r="T981" s="29">
        <f t="shared" si="63"/>
        <v>3225309</v>
      </c>
    </row>
    <row r="982" spans="1:21" ht="21" customHeight="1" x14ac:dyDescent="0.25">
      <c r="A982" s="21">
        <v>163</v>
      </c>
      <c r="B982" s="7">
        <v>514101115903</v>
      </c>
      <c r="C982" s="2" t="s">
        <v>2590</v>
      </c>
      <c r="D982" s="24" t="s">
        <v>23</v>
      </c>
      <c r="E982" s="2" t="s">
        <v>2591</v>
      </c>
      <c r="F982" s="1" t="s">
        <v>25</v>
      </c>
      <c r="G982" s="8">
        <v>2200</v>
      </c>
      <c r="H982" s="63" t="s">
        <v>26</v>
      </c>
      <c r="I982" s="63" t="s">
        <v>2592</v>
      </c>
      <c r="J982" s="62">
        <v>58398</v>
      </c>
      <c r="K982" s="62">
        <v>59296</v>
      </c>
      <c r="L982" s="62">
        <v>898</v>
      </c>
      <c r="M982" s="51">
        <v>1526178</v>
      </c>
      <c r="N982" s="11">
        <v>0</v>
      </c>
      <c r="O982" s="11">
        <v>0</v>
      </c>
      <c r="P982" s="11">
        <v>0</v>
      </c>
      <c r="Q982" s="157">
        <v>0</v>
      </c>
      <c r="R982" s="29">
        <v>1526178</v>
      </c>
      <c r="S982" s="29">
        <v>3000</v>
      </c>
      <c r="T982" s="29">
        <f t="shared" si="63"/>
        <v>1529178</v>
      </c>
    </row>
    <row r="983" spans="1:21" ht="21" customHeight="1" x14ac:dyDescent="0.25">
      <c r="A983" s="21">
        <v>164</v>
      </c>
      <c r="B983" s="7">
        <v>514101115911</v>
      </c>
      <c r="C983" s="2" t="s">
        <v>2593</v>
      </c>
      <c r="D983" s="24" t="s">
        <v>23</v>
      </c>
      <c r="E983" s="2" t="s">
        <v>2452</v>
      </c>
      <c r="F983" s="1" t="s">
        <v>25</v>
      </c>
      <c r="G983" s="8">
        <v>5500</v>
      </c>
      <c r="H983" s="63" t="s">
        <v>26</v>
      </c>
      <c r="I983" s="63" t="s">
        <v>688</v>
      </c>
      <c r="J983" s="62">
        <v>99727</v>
      </c>
      <c r="K983" s="62">
        <v>1048</v>
      </c>
      <c r="L983" s="62">
        <v>1321</v>
      </c>
      <c r="M983" s="51">
        <v>2245079</v>
      </c>
      <c r="N983" s="11">
        <v>0</v>
      </c>
      <c r="O983" s="11">
        <v>0</v>
      </c>
      <c r="P983" s="11">
        <v>0</v>
      </c>
      <c r="Q983" s="157">
        <v>0</v>
      </c>
      <c r="R983" s="29">
        <v>2245079</v>
      </c>
      <c r="S983" s="29">
        <v>3000</v>
      </c>
      <c r="T983" s="29">
        <f t="shared" si="63"/>
        <v>2248079</v>
      </c>
    </row>
    <row r="984" spans="1:21" ht="21" customHeight="1" x14ac:dyDescent="0.25">
      <c r="A984" s="21">
        <v>165</v>
      </c>
      <c r="B984" s="7">
        <v>514101115929</v>
      </c>
      <c r="C984" s="2" t="s">
        <v>2594</v>
      </c>
      <c r="D984" s="24" t="s">
        <v>23</v>
      </c>
      <c r="E984" s="2" t="s">
        <v>2595</v>
      </c>
      <c r="F984" s="1" t="s">
        <v>25</v>
      </c>
      <c r="G984" s="8">
        <v>3500</v>
      </c>
      <c r="H984" s="63" t="s">
        <v>26</v>
      </c>
      <c r="I984" s="63" t="s">
        <v>2596</v>
      </c>
      <c r="J984" s="62">
        <v>9123</v>
      </c>
      <c r="K984" s="62">
        <v>10579</v>
      </c>
      <c r="L984" s="62">
        <v>1456</v>
      </c>
      <c r="M984" s="51">
        <v>2474516</v>
      </c>
      <c r="N984" s="11">
        <v>0</v>
      </c>
      <c r="O984" s="11">
        <v>0</v>
      </c>
      <c r="P984" s="11">
        <v>0</v>
      </c>
      <c r="Q984" s="157">
        <v>0</v>
      </c>
      <c r="R984" s="29">
        <v>2474516</v>
      </c>
      <c r="S984" s="29">
        <v>3000</v>
      </c>
      <c r="T984" s="29">
        <f t="shared" si="63"/>
        <v>2477516</v>
      </c>
    </row>
    <row r="985" spans="1:21" ht="21" customHeight="1" x14ac:dyDescent="0.25">
      <c r="A985" s="21">
        <v>166</v>
      </c>
      <c r="B985" s="7">
        <v>514101115937</v>
      </c>
      <c r="C985" s="2" t="s">
        <v>2481</v>
      </c>
      <c r="D985" s="24" t="s">
        <v>23</v>
      </c>
      <c r="E985" s="2" t="s">
        <v>2445</v>
      </c>
      <c r="F985" s="1" t="s">
        <v>25</v>
      </c>
      <c r="G985" s="8">
        <v>4400</v>
      </c>
      <c r="H985" s="63" t="s">
        <v>26</v>
      </c>
      <c r="I985" s="63" t="s">
        <v>816</v>
      </c>
      <c r="J985" s="62">
        <v>3326</v>
      </c>
      <c r="K985" s="62">
        <v>3538</v>
      </c>
      <c r="L985" s="62">
        <v>212</v>
      </c>
      <c r="M985" s="51">
        <v>360300</v>
      </c>
      <c r="N985" s="11">
        <v>0</v>
      </c>
      <c r="O985" s="11">
        <v>0</v>
      </c>
      <c r="P985" s="11">
        <v>0</v>
      </c>
      <c r="Q985" s="157">
        <v>0</v>
      </c>
      <c r="R985" s="29">
        <v>360300</v>
      </c>
      <c r="S985" s="29">
        <v>3000</v>
      </c>
      <c r="T985" s="29">
        <f t="shared" si="63"/>
        <v>363300</v>
      </c>
    </row>
    <row r="986" spans="1:21" ht="21" customHeight="1" x14ac:dyDescent="0.25">
      <c r="A986" s="21">
        <v>167</v>
      </c>
      <c r="B986" s="7">
        <v>514101115945</v>
      </c>
      <c r="C986" s="2" t="s">
        <v>2597</v>
      </c>
      <c r="D986" s="24" t="s">
        <v>23</v>
      </c>
      <c r="E986" s="2" t="s">
        <v>2591</v>
      </c>
      <c r="F986" s="1" t="s">
        <v>25</v>
      </c>
      <c r="G986" s="8">
        <v>5500</v>
      </c>
      <c r="H986" s="63" t="s">
        <v>26</v>
      </c>
      <c r="I986" s="63" t="s">
        <v>2598</v>
      </c>
      <c r="J986" s="62">
        <v>23288</v>
      </c>
      <c r="K986" s="62">
        <v>24914</v>
      </c>
      <c r="L986" s="62">
        <v>1626</v>
      </c>
      <c r="M986" s="51">
        <v>2763436</v>
      </c>
      <c r="N986" s="11">
        <v>0</v>
      </c>
      <c r="O986" s="11">
        <v>0</v>
      </c>
      <c r="P986" s="11">
        <v>0</v>
      </c>
      <c r="Q986" s="157">
        <v>0</v>
      </c>
      <c r="R986" s="29">
        <v>2763436</v>
      </c>
      <c r="S986" s="29">
        <v>3000</v>
      </c>
      <c r="T986" s="29">
        <f t="shared" si="63"/>
        <v>2766436</v>
      </c>
    </row>
    <row r="987" spans="1:21" ht="21" customHeight="1" x14ac:dyDescent="0.25">
      <c r="A987" s="21">
        <v>168</v>
      </c>
      <c r="B987" s="7">
        <v>514101115952</v>
      </c>
      <c r="C987" s="2" t="s">
        <v>2599</v>
      </c>
      <c r="D987" s="24" t="s">
        <v>23</v>
      </c>
      <c r="E987" s="2" t="s">
        <v>39</v>
      </c>
      <c r="F987" s="1" t="s">
        <v>25</v>
      </c>
      <c r="G987" s="8">
        <v>5500</v>
      </c>
      <c r="H987" s="63" t="s">
        <v>26</v>
      </c>
      <c r="I987" s="63" t="s">
        <v>619</v>
      </c>
      <c r="J987" s="62">
        <v>31255</v>
      </c>
      <c r="K987" s="62">
        <v>32268</v>
      </c>
      <c r="L987" s="62">
        <v>1013</v>
      </c>
      <c r="M987" s="51">
        <v>1721624</v>
      </c>
      <c r="N987" s="11">
        <v>0</v>
      </c>
      <c r="O987" s="11">
        <v>0</v>
      </c>
      <c r="P987" s="11">
        <v>0</v>
      </c>
      <c r="Q987" s="157">
        <v>0</v>
      </c>
      <c r="R987" s="29">
        <v>1721624</v>
      </c>
      <c r="S987" s="29">
        <v>3000</v>
      </c>
      <c r="T987" s="29">
        <f t="shared" si="63"/>
        <v>1724624</v>
      </c>
    </row>
    <row r="988" spans="1:21" ht="21" customHeight="1" x14ac:dyDescent="0.25">
      <c r="A988" s="21">
        <v>169</v>
      </c>
      <c r="B988" s="7">
        <v>514101115960</v>
      </c>
      <c r="C988" s="2" t="s">
        <v>2536</v>
      </c>
      <c r="D988" s="24" t="s">
        <v>23</v>
      </c>
      <c r="E988" s="2" t="s">
        <v>901</v>
      </c>
      <c r="F988" s="1" t="s">
        <v>25</v>
      </c>
      <c r="G988" s="8">
        <v>3500</v>
      </c>
      <c r="H988" s="63" t="s">
        <v>26</v>
      </c>
      <c r="I988" s="63" t="s">
        <v>2600</v>
      </c>
      <c r="J988" s="62">
        <v>72175</v>
      </c>
      <c r="K988" s="62">
        <v>72938</v>
      </c>
      <c r="L988" s="62">
        <v>763</v>
      </c>
      <c r="M988" s="51">
        <v>1296741</v>
      </c>
      <c r="N988" s="11">
        <v>0</v>
      </c>
      <c r="O988" s="11">
        <v>0</v>
      </c>
      <c r="P988" s="11">
        <v>0</v>
      </c>
      <c r="Q988" s="157">
        <v>0</v>
      </c>
      <c r="R988" s="29">
        <v>1296741</v>
      </c>
      <c r="S988" s="29">
        <v>3000</v>
      </c>
      <c r="T988" s="29">
        <f t="shared" si="63"/>
        <v>1299741</v>
      </c>
    </row>
    <row r="989" spans="1:21" ht="21" customHeight="1" x14ac:dyDescent="0.25">
      <c r="A989" s="21">
        <v>170</v>
      </c>
      <c r="B989" s="7">
        <v>514101115978</v>
      </c>
      <c r="C989" s="2" t="s">
        <v>2601</v>
      </c>
      <c r="D989" s="24" t="s">
        <v>23</v>
      </c>
      <c r="E989" s="2" t="s">
        <v>2465</v>
      </c>
      <c r="F989" s="1" t="s">
        <v>25</v>
      </c>
      <c r="G989" s="8">
        <v>4400</v>
      </c>
      <c r="H989" s="63" t="s">
        <v>26</v>
      </c>
      <c r="I989" s="63" t="s">
        <v>2602</v>
      </c>
      <c r="J989" s="62">
        <v>72869</v>
      </c>
      <c r="K989" s="62">
        <v>74075</v>
      </c>
      <c r="L989" s="62">
        <v>1206</v>
      </c>
      <c r="M989" s="51">
        <v>2049633</v>
      </c>
      <c r="N989" s="11">
        <v>0</v>
      </c>
      <c r="O989" s="11">
        <v>0</v>
      </c>
      <c r="P989" s="11">
        <v>0</v>
      </c>
      <c r="Q989" s="157">
        <v>0</v>
      </c>
      <c r="R989" s="29">
        <v>2049633</v>
      </c>
      <c r="S989" s="29">
        <v>3000</v>
      </c>
      <c r="T989" s="29">
        <f t="shared" si="63"/>
        <v>2052633</v>
      </c>
    </row>
    <row r="990" spans="1:21" ht="21" customHeight="1" x14ac:dyDescent="0.25">
      <c r="A990" s="21">
        <v>171</v>
      </c>
      <c r="B990" s="7">
        <v>514101115986</v>
      </c>
      <c r="C990" s="2" t="s">
        <v>2569</v>
      </c>
      <c r="D990" s="24" t="s">
        <v>23</v>
      </c>
      <c r="E990" s="2" t="s">
        <v>2553</v>
      </c>
      <c r="F990" s="1" t="s">
        <v>25</v>
      </c>
      <c r="G990" s="8">
        <v>5500</v>
      </c>
      <c r="H990" s="63" t="s">
        <v>26</v>
      </c>
      <c r="I990" s="63" t="s">
        <v>767</v>
      </c>
      <c r="J990" s="62">
        <v>74101</v>
      </c>
      <c r="K990" s="62">
        <v>76188</v>
      </c>
      <c r="L990" s="62">
        <v>2087</v>
      </c>
      <c r="M990" s="51">
        <v>3546919</v>
      </c>
      <c r="N990" s="11">
        <v>0</v>
      </c>
      <c r="O990" s="11">
        <v>0</v>
      </c>
      <c r="P990" s="11">
        <v>0</v>
      </c>
      <c r="Q990" s="157">
        <v>0</v>
      </c>
      <c r="R990" s="29">
        <v>3546919</v>
      </c>
      <c r="S990" s="29">
        <v>3000</v>
      </c>
      <c r="T990" s="29">
        <f t="shared" si="63"/>
        <v>3549919</v>
      </c>
    </row>
    <row r="991" spans="1:21" ht="21" customHeight="1" x14ac:dyDescent="0.25">
      <c r="A991" s="21">
        <v>172</v>
      </c>
      <c r="B991" s="7">
        <v>514101115994</v>
      </c>
      <c r="C991" s="2" t="s">
        <v>2435</v>
      </c>
      <c r="D991" s="24" t="s">
        <v>23</v>
      </c>
      <c r="E991" s="2" t="s">
        <v>2396</v>
      </c>
      <c r="F991" s="1" t="s">
        <v>25</v>
      </c>
      <c r="G991" s="8">
        <v>3500</v>
      </c>
      <c r="H991" s="63" t="s">
        <v>26</v>
      </c>
      <c r="I991" s="63" t="s">
        <v>289</v>
      </c>
      <c r="J991" s="62">
        <v>91262</v>
      </c>
      <c r="K991" s="62">
        <v>92440</v>
      </c>
      <c r="L991" s="62">
        <v>1178</v>
      </c>
      <c r="M991" s="51">
        <v>2002046</v>
      </c>
      <c r="N991" s="11">
        <v>0</v>
      </c>
      <c r="O991" s="11">
        <v>0</v>
      </c>
      <c r="P991" s="11">
        <v>0</v>
      </c>
      <c r="Q991" s="157">
        <v>0</v>
      </c>
      <c r="R991" s="29">
        <v>2002046</v>
      </c>
      <c r="S991" s="29">
        <v>3000</v>
      </c>
      <c r="T991" s="29">
        <f t="shared" si="63"/>
        <v>2005046</v>
      </c>
    </row>
    <row r="992" spans="1:21" ht="21" customHeight="1" x14ac:dyDescent="0.25">
      <c r="A992" s="21">
        <v>173</v>
      </c>
      <c r="B992" s="7">
        <v>514101116004</v>
      </c>
      <c r="C992" s="2" t="s">
        <v>2481</v>
      </c>
      <c r="D992" s="24" t="s">
        <v>23</v>
      </c>
      <c r="E992" s="2" t="s">
        <v>2445</v>
      </c>
      <c r="F992" s="1" t="s">
        <v>25</v>
      </c>
      <c r="G992" s="8">
        <v>2200</v>
      </c>
      <c r="H992" s="63" t="s">
        <v>26</v>
      </c>
      <c r="I992" s="63" t="s">
        <v>568</v>
      </c>
      <c r="J992" s="62">
        <v>34717</v>
      </c>
      <c r="K992" s="62">
        <v>35132</v>
      </c>
      <c r="L992" s="62">
        <v>415</v>
      </c>
      <c r="M992" s="51">
        <v>705305</v>
      </c>
      <c r="N992" s="11">
        <v>0</v>
      </c>
      <c r="O992" s="11">
        <v>0</v>
      </c>
      <c r="P992" s="11">
        <v>0</v>
      </c>
      <c r="Q992" s="157">
        <v>0</v>
      </c>
      <c r="R992" s="29">
        <v>705305</v>
      </c>
      <c r="S992" s="29">
        <v>3000</v>
      </c>
      <c r="T992" s="29">
        <f t="shared" si="63"/>
        <v>708305</v>
      </c>
    </row>
    <row r="993" spans="1:20" ht="21" customHeight="1" x14ac:dyDescent="0.25">
      <c r="A993" s="21">
        <v>174</v>
      </c>
      <c r="B993" s="7">
        <v>514101116012</v>
      </c>
      <c r="C993" s="2" t="s">
        <v>2603</v>
      </c>
      <c r="D993" s="24" t="s">
        <v>23</v>
      </c>
      <c r="E993" s="2" t="s">
        <v>2604</v>
      </c>
      <c r="F993" s="1" t="s">
        <v>25</v>
      </c>
      <c r="G993" s="8">
        <v>4400</v>
      </c>
      <c r="H993" s="63" t="s">
        <v>26</v>
      </c>
      <c r="I993" s="63" t="s">
        <v>714</v>
      </c>
      <c r="J993" s="62">
        <v>80116</v>
      </c>
      <c r="K993" s="62">
        <v>81241</v>
      </c>
      <c r="L993" s="62">
        <v>1125</v>
      </c>
      <c r="M993" s="51">
        <v>1911971</v>
      </c>
      <c r="N993" s="11">
        <v>0</v>
      </c>
      <c r="O993" s="11">
        <v>0</v>
      </c>
      <c r="P993" s="11">
        <v>0</v>
      </c>
      <c r="Q993" s="157">
        <v>0</v>
      </c>
      <c r="R993" s="29">
        <v>1911971</v>
      </c>
      <c r="S993" s="29">
        <v>3000</v>
      </c>
      <c r="T993" s="29">
        <f t="shared" si="63"/>
        <v>1914971</v>
      </c>
    </row>
    <row r="994" spans="1:20" ht="21" customHeight="1" x14ac:dyDescent="0.25">
      <c r="A994" s="21">
        <v>175</v>
      </c>
      <c r="B994" s="7">
        <v>514101116020</v>
      </c>
      <c r="C994" s="2" t="s">
        <v>2605</v>
      </c>
      <c r="D994" s="24" t="s">
        <v>23</v>
      </c>
      <c r="E994" s="2" t="s">
        <v>2465</v>
      </c>
      <c r="F994" s="1" t="s">
        <v>25</v>
      </c>
      <c r="G994" s="8">
        <v>4400</v>
      </c>
      <c r="H994" s="63" t="s">
        <v>26</v>
      </c>
      <c r="I994" s="63" t="s">
        <v>764</v>
      </c>
      <c r="J994" s="62">
        <v>15421</v>
      </c>
      <c r="K994" s="62">
        <v>17058</v>
      </c>
      <c r="L994" s="62">
        <v>1637</v>
      </c>
      <c r="M994" s="51">
        <v>2782131</v>
      </c>
      <c r="N994" s="11">
        <v>0</v>
      </c>
      <c r="O994" s="11">
        <v>0</v>
      </c>
      <c r="P994" s="11">
        <v>0</v>
      </c>
      <c r="Q994" s="157">
        <v>0</v>
      </c>
      <c r="R994" s="29">
        <v>2782131</v>
      </c>
      <c r="S994" s="29">
        <v>3000</v>
      </c>
      <c r="T994" s="29">
        <f t="shared" si="63"/>
        <v>2785131</v>
      </c>
    </row>
    <row r="995" spans="1:20" ht="21" customHeight="1" x14ac:dyDescent="0.25">
      <c r="A995" s="21">
        <v>176</v>
      </c>
      <c r="B995" s="7">
        <v>514101116038</v>
      </c>
      <c r="C995" s="2" t="s">
        <v>2606</v>
      </c>
      <c r="D995" s="24" t="s">
        <v>23</v>
      </c>
      <c r="E995" s="2" t="s">
        <v>2607</v>
      </c>
      <c r="F995" s="1" t="s">
        <v>25</v>
      </c>
      <c r="G995" s="8">
        <v>3500</v>
      </c>
      <c r="H995" s="63" t="s">
        <v>26</v>
      </c>
      <c r="I995" s="63" t="s">
        <v>2608</v>
      </c>
      <c r="J995" s="62">
        <v>74741</v>
      </c>
      <c r="K995" s="62">
        <v>75756</v>
      </c>
      <c r="L995" s="62">
        <v>1015</v>
      </c>
      <c r="M995" s="51">
        <v>1725023</v>
      </c>
      <c r="N995" s="11">
        <v>0</v>
      </c>
      <c r="O995" s="11">
        <v>0</v>
      </c>
      <c r="P995" s="11">
        <v>0</v>
      </c>
      <c r="Q995" s="157">
        <v>0</v>
      </c>
      <c r="R995" s="29">
        <v>1725023</v>
      </c>
      <c r="S995" s="29">
        <v>3000</v>
      </c>
      <c r="T995" s="29">
        <f t="shared" si="63"/>
        <v>1728023</v>
      </c>
    </row>
    <row r="996" spans="1:20" ht="21" customHeight="1" x14ac:dyDescent="0.25">
      <c r="A996" s="21">
        <v>177</v>
      </c>
      <c r="B996" s="7">
        <v>514101116046</v>
      </c>
      <c r="C996" s="2" t="s">
        <v>2609</v>
      </c>
      <c r="D996" s="24" t="s">
        <v>23</v>
      </c>
      <c r="E996" s="2" t="s">
        <v>2318</v>
      </c>
      <c r="F996" s="1" t="s">
        <v>25</v>
      </c>
      <c r="G996" s="8">
        <v>5500</v>
      </c>
      <c r="H996" s="63" t="s">
        <v>26</v>
      </c>
      <c r="I996" s="63" t="s">
        <v>2610</v>
      </c>
      <c r="J996" s="62">
        <v>55170</v>
      </c>
      <c r="K996" s="62">
        <v>57180</v>
      </c>
      <c r="L996" s="62">
        <v>2010</v>
      </c>
      <c r="M996" s="51">
        <v>3416055</v>
      </c>
      <c r="N996" s="11">
        <v>0</v>
      </c>
      <c r="O996" s="11">
        <v>0</v>
      </c>
      <c r="P996" s="11">
        <v>0</v>
      </c>
      <c r="Q996" s="157">
        <v>0</v>
      </c>
      <c r="R996" s="29">
        <v>3416055</v>
      </c>
      <c r="S996" s="29">
        <v>3000</v>
      </c>
      <c r="T996" s="29">
        <f t="shared" si="63"/>
        <v>3419055</v>
      </c>
    </row>
    <row r="997" spans="1:20" ht="21" customHeight="1" x14ac:dyDescent="0.25">
      <c r="A997" s="21">
        <v>178</v>
      </c>
      <c r="B997" s="7">
        <v>514101116053</v>
      </c>
      <c r="C997" s="2" t="s">
        <v>370</v>
      </c>
      <c r="D997" s="24" t="s">
        <v>23</v>
      </c>
      <c r="E997" s="2" t="s">
        <v>371</v>
      </c>
      <c r="F997" s="1" t="s">
        <v>25</v>
      </c>
      <c r="G997" s="8">
        <v>3500</v>
      </c>
      <c r="H997" s="63" t="s">
        <v>26</v>
      </c>
      <c r="I997" s="63" t="s">
        <v>468</v>
      </c>
      <c r="J997" s="62">
        <v>90271</v>
      </c>
      <c r="K997" s="62">
        <v>91647</v>
      </c>
      <c r="L997" s="62">
        <v>1376</v>
      </c>
      <c r="M997" s="51">
        <v>2338553</v>
      </c>
      <c r="N997" s="11">
        <v>0</v>
      </c>
      <c r="O997" s="11">
        <v>0</v>
      </c>
      <c r="P997" s="11">
        <v>0</v>
      </c>
      <c r="Q997" s="157">
        <v>0</v>
      </c>
      <c r="R997" s="29">
        <v>2338553</v>
      </c>
      <c r="S997" s="29">
        <v>3000</v>
      </c>
      <c r="T997" s="29">
        <f t="shared" si="63"/>
        <v>2341553</v>
      </c>
    </row>
    <row r="998" spans="1:20" ht="21" customHeight="1" x14ac:dyDescent="0.25">
      <c r="A998" s="21">
        <v>179</v>
      </c>
      <c r="B998" s="7">
        <v>514101116061</v>
      </c>
      <c r="C998" s="2" t="s">
        <v>2611</v>
      </c>
      <c r="D998" s="24" t="s">
        <v>23</v>
      </c>
      <c r="E998" s="2" t="s">
        <v>2575</v>
      </c>
      <c r="F998" s="1" t="s">
        <v>25</v>
      </c>
      <c r="G998" s="8">
        <v>5500</v>
      </c>
      <c r="H998" s="63" t="s">
        <v>26</v>
      </c>
      <c r="I998" s="63" t="s">
        <v>2612</v>
      </c>
      <c r="J998" s="62">
        <v>27085</v>
      </c>
      <c r="K998" s="62">
        <v>28403</v>
      </c>
      <c r="L998" s="62">
        <v>1318</v>
      </c>
      <c r="M998" s="51">
        <v>2239981</v>
      </c>
      <c r="N998" s="11">
        <v>0</v>
      </c>
      <c r="O998" s="11">
        <v>0</v>
      </c>
      <c r="P998" s="11">
        <v>0</v>
      </c>
      <c r="Q998" s="157">
        <v>0</v>
      </c>
      <c r="R998" s="29">
        <v>2239981</v>
      </c>
      <c r="S998" s="29">
        <v>3000</v>
      </c>
      <c r="T998" s="29">
        <f t="shared" si="63"/>
        <v>2242981</v>
      </c>
    </row>
    <row r="999" spans="1:20" ht="21" customHeight="1" x14ac:dyDescent="0.25">
      <c r="A999" s="21">
        <v>180</v>
      </c>
      <c r="B999" s="7">
        <v>514101116079</v>
      </c>
      <c r="C999" s="2" t="s">
        <v>2613</v>
      </c>
      <c r="D999" s="24" t="s">
        <v>23</v>
      </c>
      <c r="E999" s="2" t="s">
        <v>2582</v>
      </c>
      <c r="F999" s="1" t="s">
        <v>25</v>
      </c>
      <c r="G999" s="8">
        <v>3500</v>
      </c>
      <c r="H999" s="63" t="s">
        <v>26</v>
      </c>
      <c r="I999" s="63" t="s">
        <v>2614</v>
      </c>
      <c r="J999" s="62">
        <v>11135</v>
      </c>
      <c r="K999" s="62">
        <v>12660</v>
      </c>
      <c r="L999" s="62">
        <v>1525</v>
      </c>
      <c r="M999" s="51">
        <v>2591783</v>
      </c>
      <c r="N999" s="11">
        <v>0</v>
      </c>
      <c r="O999" s="11">
        <v>0</v>
      </c>
      <c r="P999" s="11">
        <v>0</v>
      </c>
      <c r="Q999" s="157">
        <v>0</v>
      </c>
      <c r="R999" s="29">
        <v>2591783</v>
      </c>
      <c r="S999" s="29">
        <v>3000</v>
      </c>
      <c r="T999" s="29">
        <f t="shared" si="63"/>
        <v>2594783</v>
      </c>
    </row>
    <row r="1000" spans="1:20" ht="21" customHeight="1" x14ac:dyDescent="0.25">
      <c r="A1000" s="21">
        <v>181</v>
      </c>
      <c r="B1000" s="7">
        <v>514101159169</v>
      </c>
      <c r="C1000" s="2" t="s">
        <v>2615</v>
      </c>
      <c r="D1000" s="24" t="s">
        <v>23</v>
      </c>
      <c r="E1000" s="2" t="s">
        <v>2616</v>
      </c>
      <c r="F1000" s="1" t="s">
        <v>25</v>
      </c>
      <c r="G1000" s="8">
        <v>5500</v>
      </c>
      <c r="H1000" s="63" t="s">
        <v>26</v>
      </c>
      <c r="I1000" s="63" t="s">
        <v>2617</v>
      </c>
      <c r="J1000" s="62">
        <v>64364</v>
      </c>
      <c r="K1000" s="62">
        <v>65222</v>
      </c>
      <c r="L1000" s="62">
        <v>858</v>
      </c>
      <c r="M1000" s="51">
        <v>1458197</v>
      </c>
      <c r="N1000" s="11">
        <v>0</v>
      </c>
      <c r="O1000" s="11">
        <v>0</v>
      </c>
      <c r="P1000" s="11">
        <v>0</v>
      </c>
      <c r="Q1000" s="157">
        <v>0</v>
      </c>
      <c r="R1000" s="29">
        <v>1458197</v>
      </c>
      <c r="S1000" s="29">
        <v>3000</v>
      </c>
      <c r="T1000" s="29">
        <f t="shared" si="63"/>
        <v>1461197</v>
      </c>
    </row>
    <row r="1001" spans="1:20" ht="21" customHeight="1" x14ac:dyDescent="0.25">
      <c r="A1001" s="21">
        <v>182</v>
      </c>
      <c r="B1001" s="7">
        <v>514101197449</v>
      </c>
      <c r="C1001" s="2" t="s">
        <v>2618</v>
      </c>
      <c r="D1001" s="24" t="s">
        <v>23</v>
      </c>
      <c r="E1001" s="2" t="s">
        <v>2452</v>
      </c>
      <c r="F1001" s="1" t="s">
        <v>25</v>
      </c>
      <c r="G1001" s="8">
        <v>2200</v>
      </c>
      <c r="H1001" s="63" t="s">
        <v>26</v>
      </c>
      <c r="I1001" s="63" t="s">
        <v>2619</v>
      </c>
      <c r="J1001" s="62">
        <v>52331</v>
      </c>
      <c r="K1001" s="62">
        <v>53140</v>
      </c>
      <c r="L1001" s="62">
        <v>809</v>
      </c>
      <c r="M1001" s="51">
        <v>1374920</v>
      </c>
      <c r="N1001" s="11">
        <v>0</v>
      </c>
      <c r="O1001" s="11">
        <v>0</v>
      </c>
      <c r="P1001" s="11">
        <v>0</v>
      </c>
      <c r="Q1001" s="157">
        <v>0</v>
      </c>
      <c r="R1001" s="29">
        <v>1374920</v>
      </c>
      <c r="S1001" s="29">
        <v>3000</v>
      </c>
      <c r="T1001" s="29">
        <f t="shared" si="63"/>
        <v>1377920</v>
      </c>
    </row>
    <row r="1002" spans="1:20" ht="21" customHeight="1" x14ac:dyDescent="0.25">
      <c r="A1002" s="21">
        <v>183</v>
      </c>
      <c r="B1002" s="7">
        <v>514101197431</v>
      </c>
      <c r="C1002" s="2" t="s">
        <v>2620</v>
      </c>
      <c r="D1002" s="24" t="s">
        <v>23</v>
      </c>
      <c r="E1002" s="2" t="s">
        <v>2452</v>
      </c>
      <c r="F1002" s="1" t="s">
        <v>25</v>
      </c>
      <c r="G1002" s="8">
        <v>2200</v>
      </c>
      <c r="H1002" s="63" t="s">
        <v>26</v>
      </c>
      <c r="I1002" s="63" t="s">
        <v>2621</v>
      </c>
      <c r="J1002" s="62">
        <v>48191</v>
      </c>
      <c r="K1002" s="62">
        <v>48821</v>
      </c>
      <c r="L1002" s="62">
        <v>630</v>
      </c>
      <c r="M1002" s="51">
        <v>1070704</v>
      </c>
      <c r="N1002" s="11">
        <v>0</v>
      </c>
      <c r="O1002" s="11">
        <v>0</v>
      </c>
      <c r="P1002" s="11">
        <v>0</v>
      </c>
      <c r="Q1002" s="157">
        <v>0</v>
      </c>
      <c r="R1002" s="29">
        <v>1070704</v>
      </c>
      <c r="S1002" s="29">
        <v>3000</v>
      </c>
      <c r="T1002" s="29">
        <f t="shared" si="63"/>
        <v>1073704</v>
      </c>
    </row>
    <row r="1003" spans="1:20" ht="21" customHeight="1" x14ac:dyDescent="0.25">
      <c r="A1003" s="21">
        <v>184</v>
      </c>
      <c r="B1003" s="7">
        <v>514101197423</v>
      </c>
      <c r="C1003" s="2" t="s">
        <v>2622</v>
      </c>
      <c r="D1003" s="24" t="s">
        <v>23</v>
      </c>
      <c r="E1003" s="2" t="s">
        <v>2452</v>
      </c>
      <c r="F1003" s="1" t="s">
        <v>25</v>
      </c>
      <c r="G1003" s="8">
        <v>2200</v>
      </c>
      <c r="H1003" s="63" t="s">
        <v>26</v>
      </c>
      <c r="I1003" s="63" t="s">
        <v>2623</v>
      </c>
      <c r="J1003" s="62">
        <v>48556</v>
      </c>
      <c r="K1003" s="62">
        <v>49492</v>
      </c>
      <c r="L1003" s="62">
        <v>936</v>
      </c>
      <c r="M1003" s="51">
        <v>1590760</v>
      </c>
      <c r="N1003" s="11">
        <v>0</v>
      </c>
      <c r="O1003" s="11">
        <v>0</v>
      </c>
      <c r="P1003" s="11">
        <v>0</v>
      </c>
      <c r="Q1003" s="157">
        <v>0</v>
      </c>
      <c r="R1003" s="29">
        <v>1590760</v>
      </c>
      <c r="S1003" s="29">
        <v>3000</v>
      </c>
      <c r="T1003" s="29">
        <f t="shared" si="63"/>
        <v>1593760</v>
      </c>
    </row>
    <row r="1004" spans="1:20" ht="21" customHeight="1" x14ac:dyDescent="0.25">
      <c r="A1004" s="21">
        <v>185</v>
      </c>
      <c r="B1004" s="7">
        <v>514101238801</v>
      </c>
      <c r="C1004" s="2" t="s">
        <v>2624</v>
      </c>
      <c r="D1004" s="24" t="s">
        <v>23</v>
      </c>
      <c r="E1004" s="2" t="s">
        <v>2625</v>
      </c>
      <c r="F1004" s="1" t="s">
        <v>25</v>
      </c>
      <c r="G1004" s="8">
        <v>1300</v>
      </c>
      <c r="H1004" s="63" t="s">
        <v>26</v>
      </c>
      <c r="I1004" s="63" t="s">
        <v>2626</v>
      </c>
      <c r="J1004" s="62">
        <v>4087</v>
      </c>
      <c r="K1004" s="62">
        <v>4122</v>
      </c>
      <c r="L1004" s="62">
        <v>52</v>
      </c>
      <c r="M1004" s="51">
        <v>88376</v>
      </c>
      <c r="N1004" s="11">
        <v>0</v>
      </c>
      <c r="O1004" s="11">
        <v>0</v>
      </c>
      <c r="P1004" s="11">
        <v>0</v>
      </c>
      <c r="Q1004" s="157">
        <v>0</v>
      </c>
      <c r="R1004" s="29">
        <v>88376</v>
      </c>
      <c r="S1004" s="29">
        <v>3000</v>
      </c>
      <c r="T1004" s="29">
        <f t="shared" si="63"/>
        <v>91376</v>
      </c>
    </row>
    <row r="1005" spans="1:20" ht="21" customHeight="1" x14ac:dyDescent="0.25">
      <c r="A1005" s="21">
        <v>186</v>
      </c>
      <c r="B1005" s="7">
        <v>514101297015</v>
      </c>
      <c r="C1005" s="2" t="s">
        <v>2627</v>
      </c>
      <c r="D1005" s="24" t="s">
        <v>23</v>
      </c>
      <c r="E1005" s="2" t="s">
        <v>2628</v>
      </c>
      <c r="F1005" s="1" t="s">
        <v>25</v>
      </c>
      <c r="G1005" s="8">
        <v>900</v>
      </c>
      <c r="H1005" s="63" t="s">
        <v>26</v>
      </c>
      <c r="I1005" s="63" t="s">
        <v>2629</v>
      </c>
      <c r="J1005" s="62">
        <v>1351</v>
      </c>
      <c r="K1005" s="62">
        <v>1409</v>
      </c>
      <c r="L1005" s="62">
        <v>58</v>
      </c>
      <c r="M1005" s="51">
        <v>98573</v>
      </c>
      <c r="N1005" s="11">
        <v>0</v>
      </c>
      <c r="O1005" s="11">
        <v>0</v>
      </c>
      <c r="P1005" s="11">
        <v>0</v>
      </c>
      <c r="Q1005" s="157">
        <v>0</v>
      </c>
      <c r="R1005" s="29">
        <v>98573</v>
      </c>
      <c r="S1005" s="29">
        <v>3000</v>
      </c>
      <c r="T1005" s="29">
        <f t="shared" si="63"/>
        <v>101573</v>
      </c>
    </row>
    <row r="1006" spans="1:20" ht="21" customHeight="1" x14ac:dyDescent="0.25">
      <c r="A1006" s="21">
        <v>187</v>
      </c>
      <c r="B1006" s="7">
        <v>514100944013</v>
      </c>
      <c r="C1006" s="2" t="s">
        <v>2630</v>
      </c>
      <c r="D1006" s="24" t="s">
        <v>23</v>
      </c>
      <c r="E1006" s="2" t="s">
        <v>2631</v>
      </c>
      <c r="F1006" s="1" t="s">
        <v>25</v>
      </c>
      <c r="G1006" s="8">
        <v>450</v>
      </c>
      <c r="H1006" s="63" t="s">
        <v>26</v>
      </c>
      <c r="I1006" s="63" t="s">
        <v>2632</v>
      </c>
      <c r="J1006" s="62">
        <v>813</v>
      </c>
      <c r="K1006" s="62">
        <v>879</v>
      </c>
      <c r="L1006" s="62">
        <v>66</v>
      </c>
      <c r="M1006" s="51">
        <v>112169</v>
      </c>
      <c r="N1006" s="11">
        <v>0</v>
      </c>
      <c r="O1006" s="11">
        <v>0</v>
      </c>
      <c r="P1006" s="11">
        <v>0</v>
      </c>
      <c r="Q1006" s="157">
        <v>0</v>
      </c>
      <c r="R1006" s="29">
        <v>112169</v>
      </c>
      <c r="S1006" s="29">
        <v>3000</v>
      </c>
      <c r="T1006" s="29">
        <f t="shared" si="63"/>
        <v>115169</v>
      </c>
    </row>
    <row r="1007" spans="1:20" ht="21" customHeight="1" x14ac:dyDescent="0.25">
      <c r="A1007" s="21">
        <v>188</v>
      </c>
      <c r="B1007" s="7">
        <v>514101176958</v>
      </c>
      <c r="C1007" s="2" t="s">
        <v>2633</v>
      </c>
      <c r="D1007" s="24" t="s">
        <v>23</v>
      </c>
      <c r="E1007" s="2" t="s">
        <v>2634</v>
      </c>
      <c r="F1007" s="1" t="s">
        <v>25</v>
      </c>
      <c r="G1007" s="8">
        <v>900</v>
      </c>
      <c r="H1007" s="63" t="s">
        <v>26</v>
      </c>
      <c r="I1007" s="63" t="s">
        <v>2635</v>
      </c>
      <c r="J1007" s="62">
        <v>1607</v>
      </c>
      <c r="K1007" s="62">
        <v>1715</v>
      </c>
      <c r="L1007" s="62">
        <v>108</v>
      </c>
      <c r="M1007" s="51">
        <v>183549</v>
      </c>
      <c r="N1007" s="11">
        <v>0</v>
      </c>
      <c r="O1007" s="11">
        <v>0</v>
      </c>
      <c r="P1007" s="11">
        <v>0</v>
      </c>
      <c r="Q1007" s="157">
        <v>0</v>
      </c>
      <c r="R1007" s="29">
        <v>183549</v>
      </c>
      <c r="S1007" s="29">
        <v>3000</v>
      </c>
      <c r="T1007" s="29">
        <f t="shared" si="63"/>
        <v>186549</v>
      </c>
    </row>
    <row r="1008" spans="1:20" ht="21" customHeight="1" x14ac:dyDescent="0.25">
      <c r="A1008" s="21">
        <v>189</v>
      </c>
      <c r="B1008" s="7">
        <v>514101187361</v>
      </c>
      <c r="C1008" s="2" t="s">
        <v>2636</v>
      </c>
      <c r="D1008" s="24" t="s">
        <v>23</v>
      </c>
      <c r="E1008" s="2" t="s">
        <v>2637</v>
      </c>
      <c r="F1008" s="1" t="s">
        <v>25</v>
      </c>
      <c r="G1008" s="8">
        <v>900</v>
      </c>
      <c r="H1008" s="63" t="s">
        <v>26</v>
      </c>
      <c r="I1008" s="63" t="s">
        <v>2638</v>
      </c>
      <c r="J1008" s="62">
        <v>469</v>
      </c>
      <c r="K1008" s="62">
        <v>469</v>
      </c>
      <c r="L1008" s="62">
        <v>36</v>
      </c>
      <c r="M1008" s="51">
        <v>61183</v>
      </c>
      <c r="N1008" s="11">
        <v>0</v>
      </c>
      <c r="O1008" s="11">
        <v>0</v>
      </c>
      <c r="P1008" s="11">
        <v>0</v>
      </c>
      <c r="Q1008" s="157">
        <v>0</v>
      </c>
      <c r="R1008" s="29">
        <v>61183</v>
      </c>
      <c r="S1008" s="29">
        <v>3000</v>
      </c>
      <c r="T1008" s="29">
        <f t="shared" si="63"/>
        <v>64183</v>
      </c>
    </row>
    <row r="1009" spans="1:20" ht="21" customHeight="1" x14ac:dyDescent="0.25">
      <c r="A1009" s="21">
        <v>190</v>
      </c>
      <c r="B1009" s="7">
        <v>514101217573</v>
      </c>
      <c r="C1009" s="2" t="s">
        <v>2639</v>
      </c>
      <c r="D1009" s="24" t="s">
        <v>23</v>
      </c>
      <c r="E1009" s="2" t="s">
        <v>2640</v>
      </c>
      <c r="F1009" s="1" t="s">
        <v>25</v>
      </c>
      <c r="G1009" s="8">
        <v>1300</v>
      </c>
      <c r="H1009" s="63" t="s">
        <v>26</v>
      </c>
      <c r="I1009" s="63" t="s">
        <v>209</v>
      </c>
      <c r="J1009" s="62">
        <v>2957</v>
      </c>
      <c r="K1009" s="62">
        <v>3209</v>
      </c>
      <c r="L1009" s="62">
        <v>252</v>
      </c>
      <c r="M1009" s="51">
        <v>428282</v>
      </c>
      <c r="N1009" s="11">
        <v>0</v>
      </c>
      <c r="O1009" s="11">
        <v>0</v>
      </c>
      <c r="P1009" s="11">
        <v>0</v>
      </c>
      <c r="Q1009" s="157">
        <v>0</v>
      </c>
      <c r="R1009" s="29">
        <v>428282</v>
      </c>
      <c r="S1009" s="29">
        <v>3000</v>
      </c>
      <c r="T1009" s="29">
        <f t="shared" si="63"/>
        <v>431282</v>
      </c>
    </row>
    <row r="1010" spans="1:20" ht="21" customHeight="1" x14ac:dyDescent="0.25">
      <c r="A1010" s="21">
        <v>191</v>
      </c>
      <c r="B1010" s="7">
        <v>514101290225</v>
      </c>
      <c r="C1010" s="2" t="s">
        <v>2641</v>
      </c>
      <c r="D1010" s="24" t="s">
        <v>23</v>
      </c>
      <c r="E1010" s="2" t="s">
        <v>2642</v>
      </c>
      <c r="F1010" s="1" t="s">
        <v>25</v>
      </c>
      <c r="G1010" s="8">
        <v>900</v>
      </c>
      <c r="H1010" s="63" t="s">
        <v>26</v>
      </c>
      <c r="I1010" s="63" t="s">
        <v>2643</v>
      </c>
      <c r="J1010" s="62">
        <v>32</v>
      </c>
      <c r="K1010" s="62">
        <v>32</v>
      </c>
      <c r="L1010" s="62">
        <v>36</v>
      </c>
      <c r="M1010" s="51">
        <v>61183</v>
      </c>
      <c r="N1010" s="11">
        <v>0</v>
      </c>
      <c r="O1010" s="11">
        <v>0</v>
      </c>
      <c r="P1010" s="11">
        <v>0</v>
      </c>
      <c r="Q1010" s="157">
        <v>0</v>
      </c>
      <c r="R1010" s="29">
        <v>61183</v>
      </c>
      <c r="S1010" s="29">
        <v>3000</v>
      </c>
      <c r="T1010" s="29">
        <f t="shared" si="63"/>
        <v>64183</v>
      </c>
    </row>
    <row r="1011" spans="1:20" ht="21" customHeight="1" x14ac:dyDescent="0.25">
      <c r="A1011" s="21">
        <v>192</v>
      </c>
      <c r="B1011" s="7">
        <v>514101307125</v>
      </c>
      <c r="C1011" s="2" t="s">
        <v>2644</v>
      </c>
      <c r="D1011" s="24" t="s">
        <v>23</v>
      </c>
      <c r="E1011" s="2" t="s">
        <v>2645</v>
      </c>
      <c r="F1011" s="1" t="s">
        <v>25</v>
      </c>
      <c r="G1011" s="8">
        <v>900</v>
      </c>
      <c r="H1011" s="63" t="s">
        <v>26</v>
      </c>
      <c r="I1011" s="63" t="s">
        <v>2646</v>
      </c>
      <c r="J1011" s="62">
        <v>135</v>
      </c>
      <c r="K1011" s="62">
        <v>144</v>
      </c>
      <c r="L1011" s="62">
        <v>36</v>
      </c>
      <c r="M1011" s="51">
        <v>61183</v>
      </c>
      <c r="N1011" s="11">
        <v>0</v>
      </c>
      <c r="O1011" s="11">
        <v>0</v>
      </c>
      <c r="P1011" s="11">
        <v>0</v>
      </c>
      <c r="Q1011" s="157">
        <v>0</v>
      </c>
      <c r="R1011" s="29">
        <v>61183</v>
      </c>
      <c r="S1011" s="29">
        <v>3000</v>
      </c>
      <c r="T1011" s="29">
        <f t="shared" si="63"/>
        <v>64183</v>
      </c>
    </row>
    <row r="1012" spans="1:20" ht="21" customHeight="1" x14ac:dyDescent="0.25">
      <c r="A1012" s="21">
        <v>193</v>
      </c>
      <c r="B1012" s="7">
        <v>514101171248</v>
      </c>
      <c r="C1012" s="2" t="s">
        <v>2647</v>
      </c>
      <c r="D1012" s="24" t="s">
        <v>23</v>
      </c>
      <c r="E1012" s="2" t="s">
        <v>2392</v>
      </c>
      <c r="F1012" s="1" t="s">
        <v>25</v>
      </c>
      <c r="G1012" s="8">
        <v>1300</v>
      </c>
      <c r="H1012" s="63" t="s">
        <v>26</v>
      </c>
      <c r="I1012" s="63" t="s">
        <v>2648</v>
      </c>
      <c r="J1012" s="62">
        <v>2071</v>
      </c>
      <c r="K1012" s="62">
        <v>2210</v>
      </c>
      <c r="L1012" s="62">
        <v>139</v>
      </c>
      <c r="M1012" s="51">
        <v>236235</v>
      </c>
      <c r="N1012" s="11">
        <v>0</v>
      </c>
      <c r="O1012" s="11">
        <v>0</v>
      </c>
      <c r="P1012" s="11">
        <v>0</v>
      </c>
      <c r="Q1012" s="157">
        <v>0</v>
      </c>
      <c r="R1012" s="29">
        <v>236235</v>
      </c>
      <c r="S1012" s="29">
        <v>3000</v>
      </c>
      <c r="T1012" s="29">
        <f t="shared" si="63"/>
        <v>239235</v>
      </c>
    </row>
    <row r="1013" spans="1:20" ht="21" customHeight="1" x14ac:dyDescent="0.25">
      <c r="A1013" s="21">
        <v>194</v>
      </c>
      <c r="B1013" s="7">
        <v>514101280745</v>
      </c>
      <c r="C1013" s="62" t="s">
        <v>2649</v>
      </c>
      <c r="D1013" s="24" t="s">
        <v>316</v>
      </c>
      <c r="E1013" s="62" t="s">
        <v>2650</v>
      </c>
      <c r="F1013" s="63" t="s">
        <v>25</v>
      </c>
      <c r="G1013" s="64">
        <v>1300</v>
      </c>
      <c r="H1013" s="61" t="s">
        <v>26</v>
      </c>
      <c r="I1013" s="63" t="s">
        <v>2651</v>
      </c>
      <c r="J1013" s="62">
        <v>199</v>
      </c>
      <c r="K1013" s="62">
        <v>299</v>
      </c>
      <c r="L1013" s="62">
        <v>100</v>
      </c>
      <c r="M1013" s="51">
        <v>169953</v>
      </c>
      <c r="N1013" s="51">
        <v>0</v>
      </c>
      <c r="O1013" s="51">
        <v>0</v>
      </c>
      <c r="P1013" s="11">
        <v>0</v>
      </c>
      <c r="Q1013" s="157">
        <v>0</v>
      </c>
      <c r="R1013" s="29">
        <v>169953</v>
      </c>
      <c r="S1013" s="29">
        <v>3000</v>
      </c>
      <c r="T1013" s="29">
        <f t="shared" si="63"/>
        <v>172953</v>
      </c>
    </row>
    <row r="1014" spans="1:20" ht="21" customHeight="1" x14ac:dyDescent="0.25">
      <c r="A1014" s="21">
        <v>195</v>
      </c>
      <c r="B1014" s="117">
        <v>514101192255</v>
      </c>
      <c r="C1014" s="110" t="s">
        <v>2652</v>
      </c>
      <c r="D1014" s="24"/>
      <c r="E1014" s="62" t="s">
        <v>2318</v>
      </c>
      <c r="F1014" s="63" t="s">
        <v>25</v>
      </c>
      <c r="G1014" s="64">
        <v>900</v>
      </c>
      <c r="H1014" s="61" t="s">
        <v>26</v>
      </c>
      <c r="I1014" s="63" t="s">
        <v>2653</v>
      </c>
      <c r="J1014" s="62">
        <v>89</v>
      </c>
      <c r="K1014" s="62">
        <v>187</v>
      </c>
      <c r="L1014" s="62">
        <v>98</v>
      </c>
      <c r="M1014" s="51">
        <v>166554</v>
      </c>
      <c r="N1014" s="51">
        <v>0</v>
      </c>
      <c r="O1014" s="51">
        <v>0</v>
      </c>
      <c r="P1014" s="11">
        <v>0</v>
      </c>
      <c r="Q1014" s="157">
        <v>0</v>
      </c>
      <c r="R1014" s="29">
        <v>166554</v>
      </c>
      <c r="S1014" s="29">
        <v>3000</v>
      </c>
      <c r="T1014" s="29">
        <f t="shared" si="63"/>
        <v>169554</v>
      </c>
    </row>
    <row r="1015" spans="1:20" s="35" customFormat="1" ht="21" customHeight="1" x14ac:dyDescent="0.25">
      <c r="A1015" s="9"/>
      <c r="B1015" s="7"/>
      <c r="C1015" s="62"/>
      <c r="D1015" s="10"/>
      <c r="E1015" s="62"/>
      <c r="F1015" s="63"/>
      <c r="G1015" s="64"/>
      <c r="H1015" s="63"/>
      <c r="I1015" s="63"/>
      <c r="J1015" s="62"/>
      <c r="K1015" s="62"/>
      <c r="L1015" s="62"/>
      <c r="M1015" s="51"/>
      <c r="N1015" s="11"/>
      <c r="O1015" s="11"/>
      <c r="P1015" s="11"/>
      <c r="Q1015" s="157"/>
      <c r="R1015" s="6"/>
      <c r="S1015" s="6"/>
      <c r="T1015" s="6"/>
    </row>
    <row r="1016" spans="1:20" s="35" customFormat="1" ht="36.75" customHeight="1" x14ac:dyDescent="0.25">
      <c r="A1016" s="44" t="s">
        <v>2654</v>
      </c>
      <c r="B1016" s="118"/>
      <c r="C1016" s="20"/>
      <c r="D1016" s="20"/>
      <c r="E1016" s="20"/>
      <c r="F1016" s="20"/>
      <c r="G1016" s="46">
        <v>943010</v>
      </c>
      <c r="H1016" s="46">
        <v>0</v>
      </c>
      <c r="I1016" s="46">
        <v>0</v>
      </c>
      <c r="J1016" s="46"/>
      <c r="K1016" s="46"/>
      <c r="L1016" s="46">
        <v>299743</v>
      </c>
      <c r="M1016" s="46">
        <v>509422222</v>
      </c>
      <c r="N1016" s="46">
        <v>0</v>
      </c>
      <c r="O1016" s="46">
        <v>0</v>
      </c>
      <c r="P1016" s="46">
        <v>0</v>
      </c>
      <c r="Q1016" s="152">
        <f>SUM(Q978:Q1015)</f>
        <v>120000</v>
      </c>
      <c r="R1016" s="152">
        <f t="shared" ref="R1016:T1016" si="64">SUM(R978:R1015)</f>
        <v>509542222</v>
      </c>
      <c r="S1016" s="152">
        <f t="shared" si="64"/>
        <v>585000</v>
      </c>
      <c r="T1016" s="152">
        <f t="shared" si="64"/>
        <v>510127222</v>
      </c>
    </row>
    <row r="1017" spans="1:20" ht="21" customHeight="1" x14ac:dyDescent="0.25">
      <c r="A1017" s="18"/>
      <c r="B1017" s="119"/>
      <c r="C1017" s="18"/>
      <c r="D1017" s="18"/>
      <c r="E1017" s="18"/>
      <c r="F1017" s="18"/>
      <c r="G1017" s="49"/>
      <c r="H1017" s="38"/>
      <c r="I1017" s="18"/>
      <c r="J1017" s="18"/>
      <c r="K1017" s="18"/>
      <c r="L1017" s="38"/>
    </row>
    <row r="1018" spans="1:20" ht="21" customHeight="1" x14ac:dyDescent="0.25">
      <c r="A1018" s="96"/>
      <c r="B1018" s="116"/>
      <c r="C1018" s="94"/>
      <c r="D1018" s="94"/>
      <c r="F1018" s="93"/>
      <c r="G1018" s="112"/>
      <c r="H1018" s="41"/>
      <c r="L1018" s="41"/>
    </row>
    <row r="1019" spans="1:20" ht="21" customHeight="1" x14ac:dyDescent="0.25">
      <c r="A1019" s="60" t="s">
        <v>2655</v>
      </c>
      <c r="B1019" s="75"/>
      <c r="C1019" s="45"/>
      <c r="F1019" s="13"/>
      <c r="G1019" s="13"/>
      <c r="H1019" s="13"/>
      <c r="I1019" s="13"/>
      <c r="J1019" s="13"/>
      <c r="K1019" s="13"/>
      <c r="L1019" s="13"/>
    </row>
    <row r="1020" spans="1:20" s="93" customFormat="1" ht="42" customHeight="1" x14ac:dyDescent="0.25">
      <c r="A1020" s="31" t="s">
        <v>4</v>
      </c>
      <c r="B1020" s="31" t="s">
        <v>5</v>
      </c>
      <c r="C1020" s="31" t="s">
        <v>6</v>
      </c>
      <c r="D1020" s="22"/>
      <c r="E1020" s="31" t="s">
        <v>7</v>
      </c>
      <c r="F1020" s="31" t="s">
        <v>8</v>
      </c>
      <c r="G1020" s="31" t="s">
        <v>9</v>
      </c>
      <c r="H1020" s="31" t="s">
        <v>10</v>
      </c>
      <c r="I1020" s="31" t="s">
        <v>11</v>
      </c>
      <c r="J1020" s="31" t="s">
        <v>12</v>
      </c>
      <c r="K1020" s="31" t="s">
        <v>13</v>
      </c>
      <c r="L1020" s="31" t="s">
        <v>14</v>
      </c>
      <c r="M1020" s="141" t="s">
        <v>15</v>
      </c>
      <c r="N1020" s="142" t="s">
        <v>16</v>
      </c>
      <c r="O1020" s="142" t="s">
        <v>17</v>
      </c>
      <c r="P1020" s="142" t="s">
        <v>18</v>
      </c>
      <c r="Q1020" s="141" t="s">
        <v>19</v>
      </c>
      <c r="R1020" s="141" t="s">
        <v>20</v>
      </c>
      <c r="S1020" s="141" t="s">
        <v>3655</v>
      </c>
      <c r="T1020" s="141" t="s">
        <v>3656</v>
      </c>
    </row>
    <row r="1021" spans="1:20" ht="21" customHeight="1" x14ac:dyDescent="0.25">
      <c r="A1021" s="60"/>
      <c r="B1021" s="118"/>
      <c r="C1021" s="45"/>
      <c r="D1021" s="45"/>
      <c r="E1021" s="45"/>
      <c r="F1021" s="25"/>
      <c r="G1021" s="55"/>
      <c r="H1021" s="28" t="s">
        <v>0</v>
      </c>
      <c r="I1021" s="25"/>
      <c r="J1021" s="25"/>
      <c r="K1021" s="25"/>
      <c r="L1021" s="28"/>
      <c r="M1021" s="29"/>
      <c r="N1021" s="30"/>
      <c r="O1021" s="30"/>
      <c r="P1021" s="30"/>
      <c r="Q1021" s="29"/>
      <c r="R1021" s="29"/>
      <c r="S1021" s="29"/>
      <c r="T1021" s="29"/>
    </row>
    <row r="1022" spans="1:20" ht="21" customHeight="1" x14ac:dyDescent="0.25">
      <c r="A1022" s="21">
        <v>1</v>
      </c>
      <c r="B1022" s="63" t="s">
        <v>2656</v>
      </c>
      <c r="C1022" s="62" t="s">
        <v>2657</v>
      </c>
      <c r="D1022" s="23" t="s">
        <v>84</v>
      </c>
      <c r="E1022" s="24" t="s">
        <v>2658</v>
      </c>
      <c r="F1022" s="63" t="s">
        <v>25</v>
      </c>
      <c r="G1022" s="76">
        <v>4400</v>
      </c>
      <c r="H1022" s="61" t="s">
        <v>26</v>
      </c>
      <c r="I1022" s="1" t="s">
        <v>2659</v>
      </c>
      <c r="J1022" s="1">
        <v>68386</v>
      </c>
      <c r="K1022" s="1">
        <v>71029</v>
      </c>
      <c r="L1022" s="76">
        <v>2643</v>
      </c>
      <c r="M1022" s="54">
        <v>4491858</v>
      </c>
      <c r="N1022" s="52">
        <v>0</v>
      </c>
      <c r="O1022" s="52">
        <v>0</v>
      </c>
      <c r="P1022" s="52">
        <v>0</v>
      </c>
      <c r="Q1022" s="29">
        <v>0</v>
      </c>
      <c r="R1022" s="54">
        <v>4491858</v>
      </c>
      <c r="S1022" s="29">
        <v>3000</v>
      </c>
      <c r="T1022" s="29">
        <f t="shared" ref="T1022:T1061" si="65">R1022+S1022</f>
        <v>4494858</v>
      </c>
    </row>
    <row r="1023" spans="1:20" ht="21" customHeight="1" x14ac:dyDescent="0.25">
      <c r="A1023" s="21">
        <v>2</v>
      </c>
      <c r="B1023" s="63" t="s">
        <v>2660</v>
      </c>
      <c r="C1023" s="62" t="s">
        <v>2661</v>
      </c>
      <c r="D1023" s="23" t="s">
        <v>23</v>
      </c>
      <c r="E1023" s="24" t="s">
        <v>496</v>
      </c>
      <c r="F1023" s="63" t="s">
        <v>25</v>
      </c>
      <c r="G1023" s="76">
        <v>5500</v>
      </c>
      <c r="H1023" s="61" t="s">
        <v>26</v>
      </c>
      <c r="I1023" s="1" t="s">
        <v>2662</v>
      </c>
      <c r="J1023" s="1">
        <v>94029</v>
      </c>
      <c r="K1023" s="1">
        <v>95879</v>
      </c>
      <c r="L1023" s="76">
        <v>1850</v>
      </c>
      <c r="M1023" s="54">
        <v>3144131</v>
      </c>
      <c r="N1023" s="52">
        <v>0</v>
      </c>
      <c r="O1023" s="52">
        <v>0</v>
      </c>
      <c r="P1023" s="52">
        <v>0</v>
      </c>
      <c r="Q1023" s="29">
        <v>0</v>
      </c>
      <c r="R1023" s="54">
        <v>3144131</v>
      </c>
      <c r="S1023" s="29">
        <v>3000</v>
      </c>
      <c r="T1023" s="29">
        <f t="shared" si="65"/>
        <v>3147131</v>
      </c>
    </row>
    <row r="1024" spans="1:20" ht="21" customHeight="1" x14ac:dyDescent="0.25">
      <c r="A1024" s="21">
        <v>3</v>
      </c>
      <c r="B1024" s="63" t="s">
        <v>2663</v>
      </c>
      <c r="C1024" s="62" t="s">
        <v>2664</v>
      </c>
      <c r="D1024" s="23" t="s">
        <v>30</v>
      </c>
      <c r="E1024" s="24" t="s">
        <v>2665</v>
      </c>
      <c r="F1024" s="63" t="s">
        <v>25</v>
      </c>
      <c r="G1024" s="76">
        <v>5500</v>
      </c>
      <c r="H1024" s="61" t="s">
        <v>26</v>
      </c>
      <c r="I1024" s="1" t="s">
        <v>2666</v>
      </c>
      <c r="J1024" s="1">
        <v>26227</v>
      </c>
      <c r="K1024" s="1">
        <v>27406</v>
      </c>
      <c r="L1024" s="76">
        <v>1179</v>
      </c>
      <c r="M1024" s="54">
        <v>2003746</v>
      </c>
      <c r="N1024" s="52">
        <v>0</v>
      </c>
      <c r="O1024" s="52">
        <v>0</v>
      </c>
      <c r="P1024" s="52">
        <v>0</v>
      </c>
      <c r="Q1024" s="29">
        <v>0</v>
      </c>
      <c r="R1024" s="54">
        <v>2003746</v>
      </c>
      <c r="S1024" s="29">
        <v>3000</v>
      </c>
      <c r="T1024" s="29">
        <f t="shared" si="65"/>
        <v>2006746</v>
      </c>
    </row>
    <row r="1025" spans="1:20" ht="21" customHeight="1" x14ac:dyDescent="0.25">
      <c r="A1025" s="21">
        <v>4</v>
      </c>
      <c r="B1025" s="63" t="s">
        <v>2667</v>
      </c>
      <c r="C1025" s="62" t="s">
        <v>2668</v>
      </c>
      <c r="D1025" s="23" t="s">
        <v>30</v>
      </c>
      <c r="E1025" s="24" t="s">
        <v>2669</v>
      </c>
      <c r="F1025" s="63" t="s">
        <v>25</v>
      </c>
      <c r="G1025" s="76">
        <v>4400</v>
      </c>
      <c r="H1025" s="61" t="s">
        <v>26</v>
      </c>
      <c r="I1025" s="1" t="s">
        <v>2670</v>
      </c>
      <c r="J1025" s="1">
        <v>65209</v>
      </c>
      <c r="K1025" s="1">
        <v>66132</v>
      </c>
      <c r="L1025" s="76">
        <v>923</v>
      </c>
      <c r="M1025" s="54">
        <v>1568666</v>
      </c>
      <c r="N1025" s="52">
        <v>0</v>
      </c>
      <c r="O1025" s="52">
        <v>0</v>
      </c>
      <c r="P1025" s="52">
        <v>0</v>
      </c>
      <c r="Q1025" s="29">
        <v>0</v>
      </c>
      <c r="R1025" s="54">
        <v>1568666</v>
      </c>
      <c r="S1025" s="29">
        <v>3000</v>
      </c>
      <c r="T1025" s="29">
        <f t="shared" si="65"/>
        <v>1571666</v>
      </c>
    </row>
    <row r="1026" spans="1:20" ht="21" customHeight="1" x14ac:dyDescent="0.25">
      <c r="A1026" s="21">
        <v>5</v>
      </c>
      <c r="B1026" s="63" t="s">
        <v>2671</v>
      </c>
      <c r="C1026" s="62" t="s">
        <v>2672</v>
      </c>
      <c r="D1026" s="23" t="s">
        <v>30</v>
      </c>
      <c r="E1026" s="24" t="s">
        <v>2673</v>
      </c>
      <c r="F1026" s="63" t="s">
        <v>25</v>
      </c>
      <c r="G1026" s="76">
        <v>4400</v>
      </c>
      <c r="H1026" s="61" t="s">
        <v>26</v>
      </c>
      <c r="I1026" s="1" t="s">
        <v>2674</v>
      </c>
      <c r="J1026" s="1">
        <v>5847</v>
      </c>
      <c r="K1026" s="1">
        <v>7168</v>
      </c>
      <c r="L1026" s="76">
        <v>1321</v>
      </c>
      <c r="M1026" s="54">
        <v>2245079</v>
      </c>
      <c r="N1026" s="52">
        <v>0</v>
      </c>
      <c r="O1026" s="52">
        <v>0</v>
      </c>
      <c r="P1026" s="52">
        <v>0</v>
      </c>
      <c r="Q1026" s="29">
        <v>0</v>
      </c>
      <c r="R1026" s="54">
        <v>2245079</v>
      </c>
      <c r="S1026" s="29">
        <v>3000</v>
      </c>
      <c r="T1026" s="29">
        <f t="shared" si="65"/>
        <v>2248079</v>
      </c>
    </row>
    <row r="1027" spans="1:20" ht="21" customHeight="1" x14ac:dyDescent="0.25">
      <c r="A1027" s="21">
        <v>6</v>
      </c>
      <c r="B1027" s="63" t="s">
        <v>2675</v>
      </c>
      <c r="C1027" s="62" t="s">
        <v>2676</v>
      </c>
      <c r="D1027" s="23" t="s">
        <v>30</v>
      </c>
      <c r="E1027" s="24" t="s">
        <v>2677</v>
      </c>
      <c r="F1027" s="63" t="s">
        <v>25</v>
      </c>
      <c r="G1027" s="76">
        <v>250</v>
      </c>
      <c r="H1027" s="61" t="s">
        <v>26</v>
      </c>
      <c r="I1027" s="1" t="s">
        <v>2678</v>
      </c>
      <c r="J1027" s="1">
        <v>0</v>
      </c>
      <c r="K1027" s="1">
        <v>0</v>
      </c>
      <c r="L1027" s="76">
        <v>94</v>
      </c>
      <c r="M1027" s="54">
        <v>159756</v>
      </c>
      <c r="N1027" s="52">
        <v>0</v>
      </c>
      <c r="O1027" s="52">
        <v>0</v>
      </c>
      <c r="P1027" s="52">
        <v>0</v>
      </c>
      <c r="Q1027" s="29">
        <v>0</v>
      </c>
      <c r="R1027" s="54">
        <v>159756</v>
      </c>
      <c r="S1027" s="29">
        <v>3000</v>
      </c>
      <c r="T1027" s="29">
        <f t="shared" si="65"/>
        <v>162756</v>
      </c>
    </row>
    <row r="1028" spans="1:20" ht="21" customHeight="1" x14ac:dyDescent="0.25">
      <c r="A1028" s="21">
        <v>7</v>
      </c>
      <c r="B1028" s="63" t="s">
        <v>2679</v>
      </c>
      <c r="C1028" s="62" t="s">
        <v>2680</v>
      </c>
      <c r="D1028" s="23" t="s">
        <v>30</v>
      </c>
      <c r="E1028" s="24" t="s">
        <v>2681</v>
      </c>
      <c r="F1028" s="63" t="s">
        <v>25</v>
      </c>
      <c r="G1028" s="76">
        <v>7700</v>
      </c>
      <c r="H1028" s="61" t="s">
        <v>26</v>
      </c>
      <c r="I1028" s="1" t="s">
        <v>2682</v>
      </c>
      <c r="J1028" s="1">
        <v>44120</v>
      </c>
      <c r="K1028" s="1">
        <v>45436</v>
      </c>
      <c r="L1028" s="76">
        <v>1316</v>
      </c>
      <c r="M1028" s="54">
        <v>2236581</v>
      </c>
      <c r="N1028" s="52">
        <v>0</v>
      </c>
      <c r="O1028" s="52">
        <v>0</v>
      </c>
      <c r="P1028" s="52">
        <v>0</v>
      </c>
      <c r="Q1028" s="29">
        <v>0</v>
      </c>
      <c r="R1028" s="54">
        <v>2236581</v>
      </c>
      <c r="S1028" s="29">
        <v>3000</v>
      </c>
      <c r="T1028" s="29">
        <f t="shared" si="65"/>
        <v>2239581</v>
      </c>
    </row>
    <row r="1029" spans="1:20" ht="21" customHeight="1" x14ac:dyDescent="0.25">
      <c r="A1029" s="21">
        <v>8</v>
      </c>
      <c r="B1029" s="63" t="s">
        <v>2683</v>
      </c>
      <c r="C1029" s="62" t="s">
        <v>2684</v>
      </c>
      <c r="D1029" s="23" t="s">
        <v>23</v>
      </c>
      <c r="E1029" s="24" t="s">
        <v>2685</v>
      </c>
      <c r="F1029" s="63" t="s">
        <v>25</v>
      </c>
      <c r="G1029" s="76">
        <v>4400</v>
      </c>
      <c r="H1029" s="61" t="s">
        <v>26</v>
      </c>
      <c r="I1029" s="1" t="s">
        <v>2686</v>
      </c>
      <c r="J1029" s="1">
        <v>18682</v>
      </c>
      <c r="K1029" s="1">
        <v>19751</v>
      </c>
      <c r="L1029" s="76">
        <v>1069</v>
      </c>
      <c r="M1029" s="54">
        <v>1816798</v>
      </c>
      <c r="N1029" s="52">
        <v>0</v>
      </c>
      <c r="O1029" s="52">
        <v>0</v>
      </c>
      <c r="P1029" s="52">
        <v>0</v>
      </c>
      <c r="Q1029" s="29">
        <v>0</v>
      </c>
      <c r="R1029" s="54">
        <v>1816798</v>
      </c>
      <c r="S1029" s="29">
        <v>3000</v>
      </c>
      <c r="T1029" s="29">
        <f t="shared" si="65"/>
        <v>1819798</v>
      </c>
    </row>
    <row r="1030" spans="1:20" ht="21" customHeight="1" x14ac:dyDescent="0.25">
      <c r="A1030" s="21">
        <v>9</v>
      </c>
      <c r="B1030" s="63" t="s">
        <v>2687</v>
      </c>
      <c r="C1030" s="62" t="s">
        <v>2688</v>
      </c>
      <c r="D1030" s="23" t="s">
        <v>84</v>
      </c>
      <c r="E1030" s="24" t="s">
        <v>2689</v>
      </c>
      <c r="F1030" s="63" t="s">
        <v>25</v>
      </c>
      <c r="G1030" s="76">
        <v>7700</v>
      </c>
      <c r="H1030" s="61" t="s">
        <v>26</v>
      </c>
      <c r="I1030" s="1" t="s">
        <v>2690</v>
      </c>
      <c r="J1030" s="1">
        <v>63078</v>
      </c>
      <c r="K1030" s="1">
        <v>64899</v>
      </c>
      <c r="L1030" s="76">
        <v>1821</v>
      </c>
      <c r="M1030" s="54">
        <v>3094844</v>
      </c>
      <c r="N1030" s="52">
        <v>0</v>
      </c>
      <c r="O1030" s="52">
        <v>0</v>
      </c>
      <c r="P1030" s="52">
        <v>0</v>
      </c>
      <c r="Q1030" s="29">
        <v>0</v>
      </c>
      <c r="R1030" s="54">
        <v>3094844</v>
      </c>
      <c r="S1030" s="29">
        <v>3000</v>
      </c>
      <c r="T1030" s="29">
        <f t="shared" si="65"/>
        <v>3097844</v>
      </c>
    </row>
    <row r="1031" spans="1:20" ht="21" customHeight="1" x14ac:dyDescent="0.25">
      <c r="A1031" s="21">
        <v>10</v>
      </c>
      <c r="B1031" s="63" t="s">
        <v>2691</v>
      </c>
      <c r="C1031" s="62" t="s">
        <v>2692</v>
      </c>
      <c r="D1031" s="23" t="s">
        <v>84</v>
      </c>
      <c r="E1031" s="24" t="s">
        <v>2693</v>
      </c>
      <c r="F1031" s="63" t="s">
        <v>25</v>
      </c>
      <c r="G1031" s="76">
        <v>4400</v>
      </c>
      <c r="H1031" s="61" t="s">
        <v>26</v>
      </c>
      <c r="I1031" s="1" t="s">
        <v>2694</v>
      </c>
      <c r="J1031" s="1">
        <v>53423</v>
      </c>
      <c r="K1031" s="1">
        <v>54336</v>
      </c>
      <c r="L1031" s="76">
        <v>913</v>
      </c>
      <c r="M1031" s="54">
        <v>1551671</v>
      </c>
      <c r="N1031" s="52">
        <v>0</v>
      </c>
      <c r="O1031" s="52">
        <v>0</v>
      </c>
      <c r="P1031" s="52">
        <v>0</v>
      </c>
      <c r="Q1031" s="29">
        <v>0</v>
      </c>
      <c r="R1031" s="54">
        <v>1551671</v>
      </c>
      <c r="S1031" s="29">
        <v>3000</v>
      </c>
      <c r="T1031" s="29">
        <f t="shared" si="65"/>
        <v>1554671</v>
      </c>
    </row>
    <row r="1032" spans="1:20" ht="21" customHeight="1" x14ac:dyDescent="0.25">
      <c r="A1032" s="21">
        <v>11</v>
      </c>
      <c r="B1032" s="63" t="s">
        <v>2695</v>
      </c>
      <c r="C1032" s="62" t="s">
        <v>2696</v>
      </c>
      <c r="D1032" s="23" t="s">
        <v>30</v>
      </c>
      <c r="E1032" s="24" t="s">
        <v>2697</v>
      </c>
      <c r="F1032" s="63" t="s">
        <v>25</v>
      </c>
      <c r="G1032" s="76">
        <v>5500</v>
      </c>
      <c r="H1032" s="61" t="s">
        <v>26</v>
      </c>
      <c r="I1032" s="1" t="s">
        <v>2698</v>
      </c>
      <c r="J1032" s="1">
        <v>81118</v>
      </c>
      <c r="K1032" s="1">
        <v>81448</v>
      </c>
      <c r="L1032" s="76">
        <v>330</v>
      </c>
      <c r="M1032" s="54">
        <v>560845</v>
      </c>
      <c r="N1032" s="52">
        <v>0</v>
      </c>
      <c r="O1032" s="52">
        <v>0</v>
      </c>
      <c r="P1032" s="52">
        <v>0</v>
      </c>
      <c r="Q1032" s="29">
        <v>0</v>
      </c>
      <c r="R1032" s="54">
        <v>560845</v>
      </c>
      <c r="S1032" s="29">
        <v>3000</v>
      </c>
      <c r="T1032" s="29">
        <f t="shared" si="65"/>
        <v>563845</v>
      </c>
    </row>
    <row r="1033" spans="1:20" ht="21" customHeight="1" x14ac:dyDescent="0.25">
      <c r="A1033" s="21">
        <v>12</v>
      </c>
      <c r="B1033" s="63" t="s">
        <v>2699</v>
      </c>
      <c r="C1033" s="62" t="s">
        <v>2700</v>
      </c>
      <c r="D1033" s="23" t="s">
        <v>84</v>
      </c>
      <c r="E1033" s="24" t="s">
        <v>2701</v>
      </c>
      <c r="F1033" s="63" t="s">
        <v>25</v>
      </c>
      <c r="G1033" s="76">
        <v>7700</v>
      </c>
      <c r="H1033" s="61" t="s">
        <v>26</v>
      </c>
      <c r="I1033" s="1" t="s">
        <v>2702</v>
      </c>
      <c r="J1033" s="1">
        <v>73681</v>
      </c>
      <c r="K1033" s="1">
        <v>74629</v>
      </c>
      <c r="L1033" s="76">
        <v>948</v>
      </c>
      <c r="M1033" s="54">
        <v>1611154</v>
      </c>
      <c r="N1033" s="52">
        <v>0</v>
      </c>
      <c r="O1033" s="52">
        <v>0</v>
      </c>
      <c r="P1033" s="52">
        <v>0</v>
      </c>
      <c r="Q1033" s="29">
        <v>0</v>
      </c>
      <c r="R1033" s="54">
        <v>1611154</v>
      </c>
      <c r="S1033" s="29">
        <v>3000</v>
      </c>
      <c r="T1033" s="29">
        <f t="shared" si="65"/>
        <v>1614154</v>
      </c>
    </row>
    <row r="1034" spans="1:20" ht="21" customHeight="1" x14ac:dyDescent="0.25">
      <c r="A1034" s="21">
        <v>13</v>
      </c>
      <c r="B1034" s="63" t="s">
        <v>2703</v>
      </c>
      <c r="C1034" s="62" t="s">
        <v>2704</v>
      </c>
      <c r="D1034" s="23" t="s">
        <v>30</v>
      </c>
      <c r="E1034" s="24" t="s">
        <v>2705</v>
      </c>
      <c r="F1034" s="63" t="s">
        <v>25</v>
      </c>
      <c r="G1034" s="76">
        <v>5500</v>
      </c>
      <c r="H1034" s="61" t="s">
        <v>26</v>
      </c>
      <c r="I1034" s="1" t="s">
        <v>2706</v>
      </c>
      <c r="J1034" s="1">
        <v>13481</v>
      </c>
      <c r="K1034" s="1">
        <v>14178</v>
      </c>
      <c r="L1034" s="76">
        <v>697</v>
      </c>
      <c r="M1034" s="54">
        <v>1184572</v>
      </c>
      <c r="N1034" s="52">
        <v>0</v>
      </c>
      <c r="O1034" s="52">
        <v>0</v>
      </c>
      <c r="P1034" s="52">
        <v>0</v>
      </c>
      <c r="Q1034" s="29">
        <v>0</v>
      </c>
      <c r="R1034" s="54">
        <v>1184572</v>
      </c>
      <c r="S1034" s="29">
        <v>3000</v>
      </c>
      <c r="T1034" s="29">
        <f t="shared" si="65"/>
        <v>1187572</v>
      </c>
    </row>
    <row r="1035" spans="1:20" ht="21" customHeight="1" x14ac:dyDescent="0.25">
      <c r="A1035" s="21">
        <v>14</v>
      </c>
      <c r="B1035" s="63" t="s">
        <v>2707</v>
      </c>
      <c r="C1035" s="62" t="s">
        <v>2708</v>
      </c>
      <c r="D1035" s="23" t="s">
        <v>23</v>
      </c>
      <c r="E1035" s="24" t="s">
        <v>2709</v>
      </c>
      <c r="F1035" s="63" t="s">
        <v>25</v>
      </c>
      <c r="G1035" s="76">
        <v>5500</v>
      </c>
      <c r="H1035" s="61" t="s">
        <v>26</v>
      </c>
      <c r="I1035" s="1" t="s">
        <v>2710</v>
      </c>
      <c r="J1035" s="1">
        <v>29022</v>
      </c>
      <c r="K1035" s="1">
        <v>30363</v>
      </c>
      <c r="L1035" s="76">
        <v>1341</v>
      </c>
      <c r="M1035" s="54">
        <v>2279070</v>
      </c>
      <c r="N1035" s="52">
        <v>0</v>
      </c>
      <c r="O1035" s="52">
        <v>0</v>
      </c>
      <c r="P1035" s="52">
        <v>0</v>
      </c>
      <c r="Q1035" s="29">
        <v>0</v>
      </c>
      <c r="R1035" s="54">
        <v>2279070</v>
      </c>
      <c r="S1035" s="29">
        <v>3000</v>
      </c>
      <c r="T1035" s="29">
        <f t="shared" si="65"/>
        <v>2282070</v>
      </c>
    </row>
    <row r="1036" spans="1:20" ht="21" customHeight="1" x14ac:dyDescent="0.25">
      <c r="A1036" s="21">
        <v>15</v>
      </c>
      <c r="B1036" s="63" t="s">
        <v>2711</v>
      </c>
      <c r="C1036" s="62" t="s">
        <v>2696</v>
      </c>
      <c r="D1036" s="23" t="s">
        <v>30</v>
      </c>
      <c r="E1036" s="24" t="s">
        <v>2712</v>
      </c>
      <c r="F1036" s="63" t="s">
        <v>25</v>
      </c>
      <c r="G1036" s="76">
        <v>4400</v>
      </c>
      <c r="H1036" s="61" t="s">
        <v>26</v>
      </c>
      <c r="I1036" s="1" t="s">
        <v>2713</v>
      </c>
      <c r="J1036" s="1">
        <v>13549</v>
      </c>
      <c r="K1036" s="1">
        <v>15020</v>
      </c>
      <c r="L1036" s="76">
        <v>1471</v>
      </c>
      <c r="M1036" s="54">
        <v>2500009</v>
      </c>
      <c r="N1036" s="52">
        <v>0</v>
      </c>
      <c r="O1036" s="52">
        <v>0</v>
      </c>
      <c r="P1036" s="52">
        <v>0</v>
      </c>
      <c r="Q1036" s="29">
        <v>0</v>
      </c>
      <c r="R1036" s="54">
        <v>2500009</v>
      </c>
      <c r="S1036" s="29">
        <v>3000</v>
      </c>
      <c r="T1036" s="29">
        <f t="shared" si="65"/>
        <v>2503009</v>
      </c>
    </row>
    <row r="1037" spans="1:20" ht="21" customHeight="1" x14ac:dyDescent="0.25">
      <c r="A1037" s="21">
        <v>16</v>
      </c>
      <c r="B1037" s="63" t="s">
        <v>2714</v>
      </c>
      <c r="C1037" s="62" t="s">
        <v>2715</v>
      </c>
      <c r="D1037" s="23" t="s">
        <v>30</v>
      </c>
      <c r="E1037" s="24" t="s">
        <v>2716</v>
      </c>
      <c r="F1037" s="63" t="s">
        <v>25</v>
      </c>
      <c r="G1037" s="76">
        <v>4000</v>
      </c>
      <c r="H1037" s="61" t="s">
        <v>26</v>
      </c>
      <c r="I1037" s="1" t="s">
        <v>2717</v>
      </c>
      <c r="J1037" s="1">
        <v>0</v>
      </c>
      <c r="K1037" s="1">
        <v>0</v>
      </c>
      <c r="L1037" s="76">
        <v>1500</v>
      </c>
      <c r="M1037" s="54">
        <v>2549295</v>
      </c>
      <c r="N1037" s="52">
        <v>0</v>
      </c>
      <c r="O1037" s="52">
        <v>0</v>
      </c>
      <c r="P1037" s="52">
        <v>0</v>
      </c>
      <c r="Q1037" s="29">
        <v>0</v>
      </c>
      <c r="R1037" s="54">
        <v>2549295</v>
      </c>
      <c r="S1037" s="29">
        <v>3000</v>
      </c>
      <c r="T1037" s="29">
        <f t="shared" si="65"/>
        <v>2552295</v>
      </c>
    </row>
    <row r="1038" spans="1:20" ht="21" customHeight="1" x14ac:dyDescent="0.25">
      <c r="A1038" s="21">
        <v>17</v>
      </c>
      <c r="B1038" s="63" t="s">
        <v>2718</v>
      </c>
      <c r="C1038" s="62" t="s">
        <v>2719</v>
      </c>
      <c r="D1038" s="23" t="s">
        <v>23</v>
      </c>
      <c r="E1038" s="24" t="s">
        <v>2720</v>
      </c>
      <c r="F1038" s="63" t="s">
        <v>25</v>
      </c>
      <c r="G1038" s="76">
        <v>4400</v>
      </c>
      <c r="H1038" s="61" t="s">
        <v>26</v>
      </c>
      <c r="I1038" s="1" t="s">
        <v>2721</v>
      </c>
      <c r="J1038" s="1">
        <v>5551</v>
      </c>
      <c r="K1038" s="1">
        <v>6573</v>
      </c>
      <c r="L1038" s="76">
        <v>1022</v>
      </c>
      <c r="M1038" s="54">
        <v>1736920</v>
      </c>
      <c r="N1038" s="52">
        <v>0</v>
      </c>
      <c r="O1038" s="52">
        <v>0</v>
      </c>
      <c r="P1038" s="52">
        <v>0</v>
      </c>
      <c r="Q1038" s="29">
        <v>0</v>
      </c>
      <c r="R1038" s="54">
        <v>1736920</v>
      </c>
      <c r="S1038" s="29">
        <v>3000</v>
      </c>
      <c r="T1038" s="29">
        <f t="shared" si="65"/>
        <v>1739920</v>
      </c>
    </row>
    <row r="1039" spans="1:20" ht="21" customHeight="1" x14ac:dyDescent="0.25">
      <c r="A1039" s="21">
        <v>18</v>
      </c>
      <c r="B1039" s="63" t="s">
        <v>2722</v>
      </c>
      <c r="C1039" s="62" t="s">
        <v>2723</v>
      </c>
      <c r="D1039" s="23" t="s">
        <v>23</v>
      </c>
      <c r="E1039" s="24" t="s">
        <v>2724</v>
      </c>
      <c r="F1039" s="63" t="s">
        <v>25</v>
      </c>
      <c r="G1039" s="76">
        <v>2200</v>
      </c>
      <c r="H1039" s="61" t="s">
        <v>26</v>
      </c>
      <c r="I1039" s="1" t="s">
        <v>2725</v>
      </c>
      <c r="J1039" s="1">
        <v>0</v>
      </c>
      <c r="K1039" s="1">
        <v>0</v>
      </c>
      <c r="L1039" s="76">
        <v>825</v>
      </c>
      <c r="M1039" s="54">
        <v>1402112</v>
      </c>
      <c r="N1039" s="52">
        <v>0</v>
      </c>
      <c r="O1039" s="52">
        <v>0</v>
      </c>
      <c r="P1039" s="52">
        <v>0</v>
      </c>
      <c r="Q1039" s="29">
        <v>0</v>
      </c>
      <c r="R1039" s="54">
        <v>1402112</v>
      </c>
      <c r="S1039" s="29">
        <v>3000</v>
      </c>
      <c r="T1039" s="29">
        <f t="shared" si="65"/>
        <v>1405112</v>
      </c>
    </row>
    <row r="1040" spans="1:20" ht="21" customHeight="1" x14ac:dyDescent="0.25">
      <c r="A1040" s="21">
        <v>19</v>
      </c>
      <c r="B1040" s="63" t="s">
        <v>2726</v>
      </c>
      <c r="C1040" s="62" t="s">
        <v>2727</v>
      </c>
      <c r="D1040" s="23" t="s">
        <v>23</v>
      </c>
      <c r="E1040" s="24" t="s">
        <v>2724</v>
      </c>
      <c r="F1040" s="63" t="s">
        <v>25</v>
      </c>
      <c r="G1040" s="76">
        <v>1300</v>
      </c>
      <c r="H1040" s="61" t="s">
        <v>26</v>
      </c>
      <c r="I1040" s="1" t="s">
        <v>2728</v>
      </c>
      <c r="J1040" s="1">
        <v>51986</v>
      </c>
      <c r="K1040" s="1">
        <v>52350</v>
      </c>
      <c r="L1040" s="76">
        <v>364</v>
      </c>
      <c r="M1040" s="54">
        <v>618629</v>
      </c>
      <c r="N1040" s="52">
        <v>0</v>
      </c>
      <c r="O1040" s="52">
        <v>0</v>
      </c>
      <c r="P1040" s="52">
        <v>0</v>
      </c>
      <c r="Q1040" s="29">
        <v>0</v>
      </c>
      <c r="R1040" s="54">
        <v>618629</v>
      </c>
      <c r="S1040" s="29">
        <v>3000</v>
      </c>
      <c r="T1040" s="29">
        <f t="shared" si="65"/>
        <v>621629</v>
      </c>
    </row>
    <row r="1041" spans="1:20" ht="21" customHeight="1" x14ac:dyDescent="0.25">
      <c r="A1041" s="21">
        <v>20</v>
      </c>
      <c r="B1041" s="63" t="s">
        <v>2729</v>
      </c>
      <c r="C1041" s="62" t="s">
        <v>2730</v>
      </c>
      <c r="D1041" s="23" t="s">
        <v>23</v>
      </c>
      <c r="E1041" s="24" t="s">
        <v>2705</v>
      </c>
      <c r="F1041" s="63" t="s">
        <v>25</v>
      </c>
      <c r="G1041" s="76">
        <v>4400</v>
      </c>
      <c r="H1041" s="61" t="s">
        <v>26</v>
      </c>
      <c r="I1041" s="1" t="s">
        <v>2731</v>
      </c>
      <c r="J1041" s="1">
        <v>9464</v>
      </c>
      <c r="K1041" s="1">
        <v>10729</v>
      </c>
      <c r="L1041" s="76">
        <v>1265</v>
      </c>
      <c r="M1041" s="54">
        <v>2149905</v>
      </c>
      <c r="N1041" s="52">
        <v>0</v>
      </c>
      <c r="O1041" s="52">
        <v>0</v>
      </c>
      <c r="P1041" s="52">
        <v>0</v>
      </c>
      <c r="Q1041" s="29">
        <v>0</v>
      </c>
      <c r="R1041" s="54">
        <v>2149905</v>
      </c>
      <c r="S1041" s="29">
        <v>3000</v>
      </c>
      <c r="T1041" s="29">
        <f t="shared" si="65"/>
        <v>2152905</v>
      </c>
    </row>
    <row r="1042" spans="1:20" ht="21" customHeight="1" x14ac:dyDescent="0.25">
      <c r="A1042" s="21">
        <v>21</v>
      </c>
      <c r="B1042" s="63" t="s">
        <v>2732</v>
      </c>
      <c r="C1042" s="62" t="s">
        <v>2733</v>
      </c>
      <c r="D1042" s="23" t="s">
        <v>30</v>
      </c>
      <c r="E1042" s="24" t="s">
        <v>2734</v>
      </c>
      <c r="F1042" s="63" t="s">
        <v>25</v>
      </c>
      <c r="G1042" s="76">
        <v>4400</v>
      </c>
      <c r="H1042" s="61" t="s">
        <v>26</v>
      </c>
      <c r="I1042" s="1" t="s">
        <v>2735</v>
      </c>
      <c r="J1042" s="1">
        <v>79878</v>
      </c>
      <c r="K1042" s="1">
        <v>80342</v>
      </c>
      <c r="L1042" s="76">
        <v>464</v>
      </c>
      <c r="M1042" s="54">
        <v>788582</v>
      </c>
      <c r="N1042" s="52">
        <v>0</v>
      </c>
      <c r="O1042" s="52">
        <v>0</v>
      </c>
      <c r="P1042" s="52">
        <v>0</v>
      </c>
      <c r="Q1042" s="29">
        <v>0</v>
      </c>
      <c r="R1042" s="54">
        <v>788582</v>
      </c>
      <c r="S1042" s="29">
        <v>3000</v>
      </c>
      <c r="T1042" s="29">
        <f t="shared" si="65"/>
        <v>791582</v>
      </c>
    </row>
    <row r="1043" spans="1:20" ht="21" customHeight="1" x14ac:dyDescent="0.25">
      <c r="A1043" s="21">
        <v>22</v>
      </c>
      <c r="B1043" s="63" t="s">
        <v>2736</v>
      </c>
      <c r="C1043" s="62" t="s">
        <v>2737</v>
      </c>
      <c r="D1043" s="23" t="s">
        <v>30</v>
      </c>
      <c r="E1043" s="24" t="s">
        <v>2738</v>
      </c>
      <c r="F1043" s="63" t="s">
        <v>25</v>
      </c>
      <c r="G1043" s="76">
        <v>7040</v>
      </c>
      <c r="H1043" s="61" t="s">
        <v>26</v>
      </c>
      <c r="I1043" s="1" t="s">
        <v>2739</v>
      </c>
      <c r="J1043" s="1">
        <v>0</v>
      </c>
      <c r="K1043" s="1">
        <v>0</v>
      </c>
      <c r="L1043" s="76">
        <v>2640</v>
      </c>
      <c r="M1043" s="54">
        <v>4486759</v>
      </c>
      <c r="N1043" s="52">
        <v>0</v>
      </c>
      <c r="O1043" s="52">
        <v>0</v>
      </c>
      <c r="P1043" s="52">
        <v>0</v>
      </c>
      <c r="Q1043" s="29">
        <v>0</v>
      </c>
      <c r="R1043" s="54">
        <v>4486759</v>
      </c>
      <c r="S1043" s="29">
        <v>3000</v>
      </c>
      <c r="T1043" s="29">
        <f t="shared" si="65"/>
        <v>4489759</v>
      </c>
    </row>
    <row r="1044" spans="1:20" ht="21" customHeight="1" x14ac:dyDescent="0.25">
      <c r="A1044" s="21">
        <v>23</v>
      </c>
      <c r="B1044" s="63" t="s">
        <v>2740</v>
      </c>
      <c r="C1044" s="62" t="s">
        <v>2741</v>
      </c>
      <c r="D1044" s="23" t="s">
        <v>30</v>
      </c>
      <c r="E1044" s="24" t="s">
        <v>2742</v>
      </c>
      <c r="F1044" s="63" t="s">
        <v>25</v>
      </c>
      <c r="G1044" s="76">
        <v>5500</v>
      </c>
      <c r="H1044" s="61" t="s">
        <v>26</v>
      </c>
      <c r="I1044" s="1" t="s">
        <v>2743</v>
      </c>
      <c r="J1044" s="1">
        <v>0</v>
      </c>
      <c r="K1044" s="1">
        <v>0</v>
      </c>
      <c r="L1044" s="76">
        <v>2063</v>
      </c>
      <c r="M1044" s="54">
        <v>3506130</v>
      </c>
      <c r="N1044" s="52">
        <v>0</v>
      </c>
      <c r="O1044" s="52">
        <v>0</v>
      </c>
      <c r="P1044" s="52">
        <v>0</v>
      </c>
      <c r="Q1044" s="29">
        <v>0</v>
      </c>
      <c r="R1044" s="54">
        <v>3506130</v>
      </c>
      <c r="S1044" s="29">
        <v>3000</v>
      </c>
      <c r="T1044" s="29">
        <f t="shared" si="65"/>
        <v>3509130</v>
      </c>
    </row>
    <row r="1045" spans="1:20" ht="21" customHeight="1" x14ac:dyDescent="0.25">
      <c r="A1045" s="21">
        <v>24</v>
      </c>
      <c r="B1045" s="63" t="s">
        <v>2744</v>
      </c>
      <c r="C1045" s="62" t="s">
        <v>2745</v>
      </c>
      <c r="D1045" s="23" t="s">
        <v>30</v>
      </c>
      <c r="E1045" s="24" t="s">
        <v>2746</v>
      </c>
      <c r="F1045" s="63" t="s">
        <v>25</v>
      </c>
      <c r="G1045" s="76">
        <v>7700</v>
      </c>
      <c r="H1045" s="61" t="s">
        <v>26</v>
      </c>
      <c r="I1045" s="1" t="s">
        <v>2747</v>
      </c>
      <c r="J1045" s="1">
        <v>75379</v>
      </c>
      <c r="K1045" s="1">
        <v>76010</v>
      </c>
      <c r="L1045" s="76">
        <v>631</v>
      </c>
      <c r="M1045" s="54">
        <v>1072403</v>
      </c>
      <c r="N1045" s="52">
        <v>0</v>
      </c>
      <c r="O1045" s="52">
        <v>0</v>
      </c>
      <c r="P1045" s="52">
        <v>0</v>
      </c>
      <c r="Q1045" s="29">
        <v>0</v>
      </c>
      <c r="R1045" s="54">
        <v>1072403</v>
      </c>
      <c r="S1045" s="29">
        <v>3000</v>
      </c>
      <c r="T1045" s="29">
        <f t="shared" si="65"/>
        <v>1075403</v>
      </c>
    </row>
    <row r="1046" spans="1:20" ht="21" customHeight="1" x14ac:dyDescent="0.25">
      <c r="A1046" s="21">
        <v>25</v>
      </c>
      <c r="B1046" s="63" t="s">
        <v>2748</v>
      </c>
      <c r="C1046" s="62" t="s">
        <v>2749</v>
      </c>
      <c r="D1046" s="23" t="s">
        <v>30</v>
      </c>
      <c r="E1046" s="24" t="s">
        <v>2750</v>
      </c>
      <c r="F1046" s="63" t="s">
        <v>25</v>
      </c>
      <c r="G1046" s="76">
        <v>10650</v>
      </c>
      <c r="H1046" s="61" t="s">
        <v>26</v>
      </c>
      <c r="I1046" s="1" t="s">
        <v>2751</v>
      </c>
      <c r="J1046" s="1">
        <v>0</v>
      </c>
      <c r="K1046" s="1">
        <v>0</v>
      </c>
      <c r="L1046" s="76">
        <v>3994</v>
      </c>
      <c r="M1046" s="54">
        <v>6787923</v>
      </c>
      <c r="N1046" s="52">
        <v>0</v>
      </c>
      <c r="O1046" s="52">
        <v>0</v>
      </c>
      <c r="P1046" s="52">
        <v>0</v>
      </c>
      <c r="Q1046" s="29">
        <v>10000</v>
      </c>
      <c r="R1046" s="54">
        <v>6797923</v>
      </c>
      <c r="S1046" s="29">
        <v>3000</v>
      </c>
      <c r="T1046" s="29">
        <f t="shared" si="65"/>
        <v>6800923</v>
      </c>
    </row>
    <row r="1047" spans="1:20" ht="21" customHeight="1" x14ac:dyDescent="0.25">
      <c r="A1047" s="21">
        <v>26</v>
      </c>
      <c r="B1047" s="63" t="s">
        <v>2752</v>
      </c>
      <c r="C1047" s="62" t="s">
        <v>2753</v>
      </c>
      <c r="D1047" s="23" t="s">
        <v>30</v>
      </c>
      <c r="E1047" s="24" t="s">
        <v>2754</v>
      </c>
      <c r="F1047" s="63" t="s">
        <v>25</v>
      </c>
      <c r="G1047" s="76">
        <v>3040</v>
      </c>
      <c r="H1047" s="61" t="s">
        <v>26</v>
      </c>
      <c r="I1047" s="1" t="s">
        <v>2755</v>
      </c>
      <c r="J1047" s="1">
        <v>0</v>
      </c>
      <c r="K1047" s="1">
        <v>0</v>
      </c>
      <c r="L1047" s="76">
        <v>1140</v>
      </c>
      <c r="M1047" s="54">
        <v>1937464</v>
      </c>
      <c r="N1047" s="52">
        <v>0</v>
      </c>
      <c r="O1047" s="52">
        <v>0</v>
      </c>
      <c r="P1047" s="52">
        <v>0</v>
      </c>
      <c r="Q1047" s="29">
        <v>0</v>
      </c>
      <c r="R1047" s="54">
        <v>1937464</v>
      </c>
      <c r="S1047" s="29">
        <v>3000</v>
      </c>
      <c r="T1047" s="29">
        <f t="shared" si="65"/>
        <v>1940464</v>
      </c>
    </row>
    <row r="1048" spans="1:20" ht="21" customHeight="1" x14ac:dyDescent="0.25">
      <c r="A1048" s="21">
        <v>27</v>
      </c>
      <c r="B1048" s="63" t="s">
        <v>2756</v>
      </c>
      <c r="C1048" s="62" t="s">
        <v>2757</v>
      </c>
      <c r="D1048" s="23" t="s">
        <v>30</v>
      </c>
      <c r="E1048" s="24" t="s">
        <v>2724</v>
      </c>
      <c r="F1048" s="63" t="s">
        <v>25</v>
      </c>
      <c r="G1048" s="76">
        <v>1840</v>
      </c>
      <c r="H1048" s="61" t="s">
        <v>26</v>
      </c>
      <c r="I1048" s="1" t="s">
        <v>2758</v>
      </c>
      <c r="J1048" s="1">
        <v>0</v>
      </c>
      <c r="K1048" s="1">
        <v>0</v>
      </c>
      <c r="L1048" s="76">
        <v>690</v>
      </c>
      <c r="M1048" s="54">
        <v>1172676</v>
      </c>
      <c r="N1048" s="52">
        <v>0</v>
      </c>
      <c r="O1048" s="52">
        <v>0</v>
      </c>
      <c r="P1048" s="52">
        <v>0</v>
      </c>
      <c r="Q1048" s="29">
        <v>0</v>
      </c>
      <c r="R1048" s="54">
        <v>1172676</v>
      </c>
      <c r="S1048" s="29">
        <v>3000</v>
      </c>
      <c r="T1048" s="29">
        <f t="shared" si="65"/>
        <v>1175676</v>
      </c>
    </row>
    <row r="1049" spans="1:20" ht="21" customHeight="1" x14ac:dyDescent="0.25">
      <c r="A1049" s="21">
        <v>28</v>
      </c>
      <c r="B1049" s="63" t="s">
        <v>2759</v>
      </c>
      <c r="C1049" s="62" t="s">
        <v>2760</v>
      </c>
      <c r="D1049" s="23" t="s">
        <v>30</v>
      </c>
      <c r="E1049" s="24" t="s">
        <v>2761</v>
      </c>
      <c r="F1049" s="63" t="s">
        <v>25</v>
      </c>
      <c r="G1049" s="76">
        <v>7700</v>
      </c>
      <c r="H1049" s="61" t="s">
        <v>26</v>
      </c>
      <c r="I1049" s="1" t="s">
        <v>2762</v>
      </c>
      <c r="J1049" s="1">
        <v>0</v>
      </c>
      <c r="K1049" s="1">
        <v>0</v>
      </c>
      <c r="L1049" s="76">
        <v>2888</v>
      </c>
      <c r="M1049" s="54">
        <v>4908243</v>
      </c>
      <c r="N1049" s="52">
        <v>0</v>
      </c>
      <c r="O1049" s="52">
        <v>0</v>
      </c>
      <c r="P1049" s="52">
        <v>0</v>
      </c>
      <c r="Q1049" s="29">
        <v>0</v>
      </c>
      <c r="R1049" s="54">
        <v>4908243</v>
      </c>
      <c r="S1049" s="29">
        <v>3000</v>
      </c>
      <c r="T1049" s="29">
        <f t="shared" si="65"/>
        <v>4911243</v>
      </c>
    </row>
    <row r="1050" spans="1:20" ht="21" customHeight="1" x14ac:dyDescent="0.25">
      <c r="A1050" s="21">
        <v>29</v>
      </c>
      <c r="B1050" s="63" t="s">
        <v>2763</v>
      </c>
      <c r="C1050" s="62" t="s">
        <v>2764</v>
      </c>
      <c r="D1050" s="23" t="s">
        <v>30</v>
      </c>
      <c r="E1050" s="24" t="s">
        <v>2765</v>
      </c>
      <c r="F1050" s="63" t="s">
        <v>25</v>
      </c>
      <c r="G1050" s="76">
        <v>7700</v>
      </c>
      <c r="H1050" s="61" t="s">
        <v>26</v>
      </c>
      <c r="I1050" s="1" t="s">
        <v>2766</v>
      </c>
      <c r="J1050" s="1">
        <v>0</v>
      </c>
      <c r="K1050" s="1">
        <v>0</v>
      </c>
      <c r="L1050" s="76">
        <v>2888</v>
      </c>
      <c r="M1050" s="54">
        <v>4908243</v>
      </c>
      <c r="N1050" s="52">
        <v>0</v>
      </c>
      <c r="O1050" s="52">
        <v>0</v>
      </c>
      <c r="P1050" s="52">
        <v>0</v>
      </c>
      <c r="Q1050" s="29">
        <v>0</v>
      </c>
      <c r="R1050" s="54">
        <v>4908243</v>
      </c>
      <c r="S1050" s="29">
        <v>3000</v>
      </c>
      <c r="T1050" s="29">
        <f t="shared" si="65"/>
        <v>4911243</v>
      </c>
    </row>
    <row r="1051" spans="1:20" ht="21" customHeight="1" x14ac:dyDescent="0.25">
      <c r="A1051" s="21">
        <v>30</v>
      </c>
      <c r="B1051" s="63" t="s">
        <v>2767</v>
      </c>
      <c r="C1051" s="62" t="s">
        <v>2768</v>
      </c>
      <c r="D1051" s="23" t="s">
        <v>30</v>
      </c>
      <c r="E1051" s="24" t="s">
        <v>2769</v>
      </c>
      <c r="F1051" s="63" t="s">
        <v>25</v>
      </c>
      <c r="G1051" s="76">
        <v>5500</v>
      </c>
      <c r="H1051" s="61" t="s">
        <v>26</v>
      </c>
      <c r="I1051" s="1" t="s">
        <v>2770</v>
      </c>
      <c r="J1051" s="1">
        <v>28437</v>
      </c>
      <c r="K1051" s="1">
        <v>30585</v>
      </c>
      <c r="L1051" s="76">
        <v>2148</v>
      </c>
      <c r="M1051" s="54">
        <v>3650590</v>
      </c>
      <c r="N1051" s="52">
        <v>0</v>
      </c>
      <c r="O1051" s="52">
        <v>0</v>
      </c>
      <c r="P1051" s="52">
        <v>0</v>
      </c>
      <c r="Q1051" s="29">
        <v>0</v>
      </c>
      <c r="R1051" s="54">
        <v>3650590</v>
      </c>
      <c r="S1051" s="29">
        <v>3000</v>
      </c>
      <c r="T1051" s="29">
        <f t="shared" si="65"/>
        <v>3653590</v>
      </c>
    </row>
    <row r="1052" spans="1:20" ht="21" customHeight="1" x14ac:dyDescent="0.25">
      <c r="A1052" s="21">
        <v>31</v>
      </c>
      <c r="B1052" s="63" t="s">
        <v>2771</v>
      </c>
      <c r="C1052" s="62" t="s">
        <v>2772</v>
      </c>
      <c r="D1052" s="23" t="s">
        <v>30</v>
      </c>
      <c r="E1052" s="24" t="s">
        <v>2773</v>
      </c>
      <c r="F1052" s="63" t="s">
        <v>25</v>
      </c>
      <c r="G1052" s="76">
        <v>10600</v>
      </c>
      <c r="H1052" s="61" t="s">
        <v>26</v>
      </c>
      <c r="I1052" s="1" t="s">
        <v>2774</v>
      </c>
      <c r="J1052" s="1">
        <v>0</v>
      </c>
      <c r="K1052" s="1">
        <v>0</v>
      </c>
      <c r="L1052" s="76">
        <v>3975</v>
      </c>
      <c r="M1052" s="54">
        <v>6755632</v>
      </c>
      <c r="N1052" s="52">
        <v>0</v>
      </c>
      <c r="O1052" s="52">
        <v>0</v>
      </c>
      <c r="P1052" s="52">
        <v>0</v>
      </c>
      <c r="Q1052" s="29">
        <v>10000</v>
      </c>
      <c r="R1052" s="54">
        <v>6765632</v>
      </c>
      <c r="S1052" s="29">
        <v>3000</v>
      </c>
      <c r="T1052" s="29">
        <f t="shared" si="65"/>
        <v>6768632</v>
      </c>
    </row>
    <row r="1053" spans="1:20" ht="21" customHeight="1" x14ac:dyDescent="0.25">
      <c r="A1053" s="21">
        <v>32</v>
      </c>
      <c r="B1053" s="63" t="s">
        <v>2775</v>
      </c>
      <c r="C1053" s="62" t="s">
        <v>2776</v>
      </c>
      <c r="D1053" s="23" t="s">
        <v>30</v>
      </c>
      <c r="E1053" s="24" t="s">
        <v>2777</v>
      </c>
      <c r="F1053" s="63" t="s">
        <v>25</v>
      </c>
      <c r="G1053" s="76">
        <v>7700</v>
      </c>
      <c r="H1053" s="61" t="s">
        <v>26</v>
      </c>
      <c r="I1053" s="1" t="s">
        <v>2778</v>
      </c>
      <c r="J1053" s="1">
        <v>0</v>
      </c>
      <c r="K1053" s="1">
        <v>0</v>
      </c>
      <c r="L1053" s="76">
        <v>2888</v>
      </c>
      <c r="M1053" s="54">
        <v>4908243</v>
      </c>
      <c r="N1053" s="52">
        <v>0</v>
      </c>
      <c r="O1053" s="52">
        <v>0</v>
      </c>
      <c r="P1053" s="52">
        <v>0</v>
      </c>
      <c r="Q1053" s="29">
        <v>0</v>
      </c>
      <c r="R1053" s="54">
        <v>4908243</v>
      </c>
      <c r="S1053" s="29">
        <v>3000</v>
      </c>
      <c r="T1053" s="29">
        <f t="shared" si="65"/>
        <v>4911243</v>
      </c>
    </row>
    <row r="1054" spans="1:20" ht="21" customHeight="1" x14ac:dyDescent="0.25">
      <c r="A1054" s="21">
        <v>33</v>
      </c>
      <c r="B1054" s="63" t="s">
        <v>2779</v>
      </c>
      <c r="C1054" s="62" t="s">
        <v>2780</v>
      </c>
      <c r="D1054" s="23" t="s">
        <v>30</v>
      </c>
      <c r="E1054" s="24" t="s">
        <v>2781</v>
      </c>
      <c r="F1054" s="63" t="s">
        <v>25</v>
      </c>
      <c r="G1054" s="76">
        <v>7700</v>
      </c>
      <c r="H1054" s="61" t="s">
        <v>26</v>
      </c>
      <c r="I1054" s="1" t="s">
        <v>2782</v>
      </c>
      <c r="J1054" s="1">
        <v>0</v>
      </c>
      <c r="K1054" s="1">
        <v>0</v>
      </c>
      <c r="L1054" s="76">
        <v>2888</v>
      </c>
      <c r="M1054" s="54">
        <v>4908243</v>
      </c>
      <c r="N1054" s="52">
        <v>0</v>
      </c>
      <c r="O1054" s="52">
        <v>0</v>
      </c>
      <c r="P1054" s="52">
        <v>0</v>
      </c>
      <c r="Q1054" s="29">
        <v>0</v>
      </c>
      <c r="R1054" s="54">
        <v>4908243</v>
      </c>
      <c r="S1054" s="29">
        <v>3000</v>
      </c>
      <c r="T1054" s="29">
        <f t="shared" si="65"/>
        <v>4911243</v>
      </c>
    </row>
    <row r="1055" spans="1:20" ht="21" customHeight="1" x14ac:dyDescent="0.25">
      <c r="A1055" s="21">
        <v>34</v>
      </c>
      <c r="B1055" s="63" t="s">
        <v>2783</v>
      </c>
      <c r="C1055" s="62" t="s">
        <v>2784</v>
      </c>
      <c r="D1055" s="23" t="s">
        <v>30</v>
      </c>
      <c r="E1055" s="24" t="s">
        <v>2785</v>
      </c>
      <c r="F1055" s="63" t="s">
        <v>25</v>
      </c>
      <c r="G1055" s="76">
        <v>5500</v>
      </c>
      <c r="H1055" s="61" t="s">
        <v>26</v>
      </c>
      <c r="I1055" s="1" t="s">
        <v>2786</v>
      </c>
      <c r="J1055" s="1">
        <v>0</v>
      </c>
      <c r="K1055" s="1">
        <v>0</v>
      </c>
      <c r="L1055" s="76">
        <v>2063</v>
      </c>
      <c r="M1055" s="54">
        <v>3506130</v>
      </c>
      <c r="N1055" s="52">
        <v>0</v>
      </c>
      <c r="O1055" s="52">
        <v>0</v>
      </c>
      <c r="P1055" s="52">
        <v>0</v>
      </c>
      <c r="Q1055" s="29">
        <v>0</v>
      </c>
      <c r="R1055" s="54">
        <v>3506130</v>
      </c>
      <c r="S1055" s="29">
        <v>3000</v>
      </c>
      <c r="T1055" s="29">
        <f t="shared" si="65"/>
        <v>3509130</v>
      </c>
    </row>
    <row r="1056" spans="1:20" ht="21" customHeight="1" x14ac:dyDescent="0.25">
      <c r="A1056" s="21">
        <v>35</v>
      </c>
      <c r="B1056" s="63" t="s">
        <v>2787</v>
      </c>
      <c r="C1056" s="62" t="s">
        <v>2788</v>
      </c>
      <c r="D1056" s="23" t="s">
        <v>30</v>
      </c>
      <c r="E1056" s="24" t="s">
        <v>2789</v>
      </c>
      <c r="F1056" s="63" t="s">
        <v>25</v>
      </c>
      <c r="G1056" s="76">
        <v>7700</v>
      </c>
      <c r="H1056" s="61" t="s">
        <v>26</v>
      </c>
      <c r="I1056" s="1" t="s">
        <v>2790</v>
      </c>
      <c r="J1056" s="1">
        <v>72011</v>
      </c>
      <c r="K1056" s="1">
        <v>73988</v>
      </c>
      <c r="L1056" s="76">
        <v>1977</v>
      </c>
      <c r="M1056" s="54">
        <v>3359971</v>
      </c>
      <c r="N1056" s="52">
        <v>0</v>
      </c>
      <c r="O1056" s="52">
        <v>0</v>
      </c>
      <c r="P1056" s="52">
        <v>0</v>
      </c>
      <c r="Q1056" s="29">
        <v>0</v>
      </c>
      <c r="R1056" s="54">
        <v>3359971</v>
      </c>
      <c r="S1056" s="29">
        <v>3000</v>
      </c>
      <c r="T1056" s="29">
        <f t="shared" si="65"/>
        <v>3362971</v>
      </c>
    </row>
    <row r="1057" spans="1:20" ht="21" customHeight="1" x14ac:dyDescent="0.25">
      <c r="A1057" s="21">
        <v>36</v>
      </c>
      <c r="B1057" s="63" t="s">
        <v>2791</v>
      </c>
      <c r="C1057" s="62" t="s">
        <v>2792</v>
      </c>
      <c r="D1057" s="23" t="s">
        <v>30</v>
      </c>
      <c r="E1057" s="24" t="s">
        <v>2793</v>
      </c>
      <c r="F1057" s="63" t="s">
        <v>25</v>
      </c>
      <c r="G1057" s="76">
        <v>7700</v>
      </c>
      <c r="H1057" s="61" t="s">
        <v>26</v>
      </c>
      <c r="I1057" s="1" t="s">
        <v>2794</v>
      </c>
      <c r="J1057" s="1">
        <v>0</v>
      </c>
      <c r="K1057" s="1">
        <v>0</v>
      </c>
      <c r="L1057" s="76">
        <v>2888</v>
      </c>
      <c r="M1057" s="54">
        <v>4908243</v>
      </c>
      <c r="N1057" s="52">
        <v>0</v>
      </c>
      <c r="O1057" s="52">
        <v>0</v>
      </c>
      <c r="P1057" s="52">
        <v>0</v>
      </c>
      <c r="Q1057" s="29">
        <v>0</v>
      </c>
      <c r="R1057" s="54">
        <v>4908243</v>
      </c>
      <c r="S1057" s="29">
        <v>3000</v>
      </c>
      <c r="T1057" s="29">
        <f t="shared" si="65"/>
        <v>4911243</v>
      </c>
    </row>
    <row r="1058" spans="1:20" ht="21" customHeight="1" x14ac:dyDescent="0.25">
      <c r="A1058" s="21">
        <v>37</v>
      </c>
      <c r="B1058" s="63" t="s">
        <v>2795</v>
      </c>
      <c r="C1058" s="62" t="s">
        <v>2796</v>
      </c>
      <c r="D1058" s="23" t="s">
        <v>30</v>
      </c>
      <c r="E1058" s="24" t="s">
        <v>2797</v>
      </c>
      <c r="F1058" s="63" t="s">
        <v>25</v>
      </c>
      <c r="G1058" s="76">
        <v>6890</v>
      </c>
      <c r="H1058" s="61" t="s">
        <v>26</v>
      </c>
      <c r="I1058" s="1" t="s">
        <v>2798</v>
      </c>
      <c r="J1058" s="1">
        <v>0</v>
      </c>
      <c r="K1058" s="1">
        <v>0</v>
      </c>
      <c r="L1058" s="76">
        <v>2584</v>
      </c>
      <c r="M1058" s="54">
        <v>4391586</v>
      </c>
      <c r="N1058" s="52">
        <v>0</v>
      </c>
      <c r="O1058" s="52">
        <v>0</v>
      </c>
      <c r="P1058" s="52">
        <v>0</v>
      </c>
      <c r="Q1058" s="29">
        <v>0</v>
      </c>
      <c r="R1058" s="54">
        <v>4391586</v>
      </c>
      <c r="S1058" s="29">
        <v>3000</v>
      </c>
      <c r="T1058" s="29">
        <f t="shared" si="65"/>
        <v>4394586</v>
      </c>
    </row>
    <row r="1059" spans="1:20" ht="21" customHeight="1" x14ac:dyDescent="0.25">
      <c r="A1059" s="21">
        <v>38</v>
      </c>
      <c r="B1059" s="63" t="s">
        <v>2799</v>
      </c>
      <c r="C1059" s="62" t="s">
        <v>2800</v>
      </c>
      <c r="D1059" s="23" t="s">
        <v>30</v>
      </c>
      <c r="E1059" s="24" t="s">
        <v>2797</v>
      </c>
      <c r="F1059" s="63" t="s">
        <v>25</v>
      </c>
      <c r="G1059" s="76">
        <v>11000</v>
      </c>
      <c r="H1059" s="61" t="s">
        <v>26</v>
      </c>
      <c r="I1059" s="1" t="s">
        <v>2801</v>
      </c>
      <c r="J1059" s="1">
        <v>24423</v>
      </c>
      <c r="K1059" s="1">
        <v>25945</v>
      </c>
      <c r="L1059" s="76">
        <v>1522</v>
      </c>
      <c r="M1059" s="54">
        <v>2586685</v>
      </c>
      <c r="N1059" s="52">
        <v>0</v>
      </c>
      <c r="O1059" s="52">
        <v>0</v>
      </c>
      <c r="P1059" s="52">
        <v>0</v>
      </c>
      <c r="Q1059" s="29">
        <v>0</v>
      </c>
      <c r="R1059" s="54">
        <v>2586685</v>
      </c>
      <c r="S1059" s="29">
        <v>3000</v>
      </c>
      <c r="T1059" s="29">
        <f t="shared" si="65"/>
        <v>2589685</v>
      </c>
    </row>
    <row r="1060" spans="1:20" ht="21" customHeight="1" x14ac:dyDescent="0.25">
      <c r="A1060" s="21">
        <v>39</v>
      </c>
      <c r="B1060" s="63" t="s">
        <v>2802</v>
      </c>
      <c r="C1060" s="62" t="s">
        <v>2803</v>
      </c>
      <c r="D1060" s="23" t="s">
        <v>30</v>
      </c>
      <c r="E1060" s="24" t="s">
        <v>2734</v>
      </c>
      <c r="F1060" s="63" t="s">
        <v>25</v>
      </c>
      <c r="G1060" s="76">
        <v>1000</v>
      </c>
      <c r="H1060" s="61" t="s">
        <v>26</v>
      </c>
      <c r="I1060" s="1" t="s">
        <v>2804</v>
      </c>
      <c r="J1060" s="1">
        <v>36785</v>
      </c>
      <c r="K1060" s="1">
        <v>37256</v>
      </c>
      <c r="L1060" s="76">
        <v>471</v>
      </c>
      <c r="M1060" s="54">
        <v>800479</v>
      </c>
      <c r="N1060" s="52">
        <v>0</v>
      </c>
      <c r="O1060" s="52">
        <v>0</v>
      </c>
      <c r="P1060" s="52">
        <v>0</v>
      </c>
      <c r="Q1060" s="29">
        <v>0</v>
      </c>
      <c r="R1060" s="54">
        <v>800479</v>
      </c>
      <c r="S1060" s="29">
        <v>3000</v>
      </c>
      <c r="T1060" s="29">
        <f t="shared" si="65"/>
        <v>803479</v>
      </c>
    </row>
    <row r="1061" spans="1:20" ht="21" customHeight="1" x14ac:dyDescent="0.25">
      <c r="A1061" s="21">
        <v>40</v>
      </c>
      <c r="B1061" s="63" t="s">
        <v>2805</v>
      </c>
      <c r="C1061" s="62" t="s">
        <v>2806</v>
      </c>
      <c r="D1061" s="23" t="s">
        <v>30</v>
      </c>
      <c r="E1061" s="62" t="s">
        <v>2734</v>
      </c>
      <c r="F1061" s="63" t="s">
        <v>25</v>
      </c>
      <c r="G1061" s="76">
        <v>11000</v>
      </c>
      <c r="H1061" s="61" t="s">
        <v>26</v>
      </c>
      <c r="I1061" s="1" t="s">
        <v>2807</v>
      </c>
      <c r="J1061" s="1">
        <v>25840</v>
      </c>
      <c r="K1061" s="1">
        <v>26818</v>
      </c>
      <c r="L1061" s="76">
        <v>978</v>
      </c>
      <c r="M1061" s="54">
        <v>1662140</v>
      </c>
      <c r="N1061" s="52">
        <v>0</v>
      </c>
      <c r="O1061" s="52">
        <v>0</v>
      </c>
      <c r="P1061" s="52">
        <v>0</v>
      </c>
      <c r="Q1061" s="54">
        <v>0</v>
      </c>
      <c r="R1061" s="54">
        <v>1662140</v>
      </c>
      <c r="S1061" s="29">
        <v>3000</v>
      </c>
      <c r="T1061" s="29">
        <f t="shared" si="65"/>
        <v>1665140</v>
      </c>
    </row>
    <row r="1062" spans="1:20" ht="21" customHeight="1" x14ac:dyDescent="0.25">
      <c r="A1062" s="21"/>
      <c r="B1062" s="115"/>
      <c r="C1062" s="23"/>
      <c r="D1062" s="23"/>
      <c r="E1062" s="23"/>
      <c r="F1062" s="25"/>
      <c r="G1062" s="28"/>
      <c r="H1062" s="120"/>
      <c r="I1062" s="25" t="s">
        <v>0</v>
      </c>
      <c r="J1062" s="25"/>
      <c r="K1062" s="25"/>
      <c r="L1062" s="28"/>
      <c r="M1062" s="29"/>
      <c r="N1062" s="30"/>
      <c r="O1062" s="30"/>
      <c r="P1062" s="30"/>
      <c r="Q1062" s="29"/>
      <c r="R1062" s="29"/>
      <c r="S1062" s="29"/>
      <c r="T1062" s="29"/>
    </row>
    <row r="1063" spans="1:20" ht="36.75" customHeight="1" x14ac:dyDescent="0.25">
      <c r="A1063" s="21"/>
      <c r="B1063" s="115"/>
      <c r="C1063" s="23"/>
      <c r="D1063" s="23"/>
      <c r="E1063" s="24" t="s">
        <v>179</v>
      </c>
      <c r="F1063" s="25"/>
      <c r="G1063" s="70">
        <v>231410</v>
      </c>
      <c r="H1063" s="70">
        <v>0</v>
      </c>
      <c r="I1063" s="70">
        <v>0</v>
      </c>
      <c r="J1063" s="70"/>
      <c r="K1063" s="70"/>
      <c r="L1063" s="70">
        <v>64672</v>
      </c>
      <c r="M1063" s="47">
        <v>109912006</v>
      </c>
      <c r="N1063" s="48">
        <v>0</v>
      </c>
      <c r="O1063" s="48">
        <v>0</v>
      </c>
      <c r="P1063" s="48">
        <v>0</v>
      </c>
      <c r="Q1063" s="47">
        <f>SUM(Q1021:Q1062)</f>
        <v>20000</v>
      </c>
      <c r="R1063" s="47">
        <f t="shared" ref="R1063:T1063" si="66">SUM(R1021:R1062)</f>
        <v>109932006</v>
      </c>
      <c r="S1063" s="47">
        <f t="shared" si="66"/>
        <v>120000</v>
      </c>
      <c r="T1063" s="47">
        <f t="shared" si="66"/>
        <v>110052006</v>
      </c>
    </row>
    <row r="1064" spans="1:20" ht="21" customHeight="1" x14ac:dyDescent="0.25">
      <c r="A1064" s="96"/>
      <c r="B1064" s="116"/>
      <c r="C1064" s="94"/>
      <c r="D1064" s="94"/>
      <c r="E1064" s="94"/>
      <c r="G1064" s="38"/>
      <c r="H1064" s="38"/>
      <c r="L1064" s="41"/>
    </row>
    <row r="1065" spans="1:20" ht="21" customHeight="1" x14ac:dyDescent="0.25">
      <c r="B1065" s="97"/>
      <c r="L1065" s="41"/>
    </row>
    <row r="1066" spans="1:20" s="93" customFormat="1" ht="42" customHeight="1" x14ac:dyDescent="0.25">
      <c r="A1066" s="31" t="s">
        <v>4</v>
      </c>
      <c r="B1066" s="31" t="s">
        <v>5</v>
      </c>
      <c r="C1066" s="31" t="s">
        <v>6</v>
      </c>
      <c r="D1066" s="22"/>
      <c r="E1066" s="31" t="s">
        <v>7</v>
      </c>
      <c r="F1066" s="31" t="s">
        <v>8</v>
      </c>
      <c r="G1066" s="31" t="s">
        <v>9</v>
      </c>
      <c r="H1066" s="31" t="s">
        <v>10</v>
      </c>
      <c r="I1066" s="31" t="s">
        <v>11</v>
      </c>
      <c r="J1066" s="31" t="s">
        <v>12</v>
      </c>
      <c r="K1066" s="31" t="s">
        <v>13</v>
      </c>
      <c r="L1066" s="31" t="s">
        <v>14</v>
      </c>
      <c r="M1066" s="141" t="s">
        <v>15</v>
      </c>
      <c r="N1066" s="142" t="s">
        <v>16</v>
      </c>
      <c r="O1066" s="142" t="s">
        <v>17</v>
      </c>
      <c r="P1066" s="142" t="s">
        <v>18</v>
      </c>
      <c r="Q1066" s="141" t="s">
        <v>19</v>
      </c>
      <c r="R1066" s="141" t="s">
        <v>20</v>
      </c>
      <c r="S1066" s="141" t="s">
        <v>3655</v>
      </c>
      <c r="T1066" s="141" t="s">
        <v>3656</v>
      </c>
    </row>
    <row r="1067" spans="1:20" ht="21" customHeight="1" x14ac:dyDescent="0.25">
      <c r="A1067" s="44"/>
      <c r="B1067" s="118"/>
      <c r="C1067" s="20"/>
      <c r="D1067" s="20"/>
      <c r="E1067" s="20"/>
      <c r="F1067" s="20"/>
      <c r="G1067" s="20"/>
      <c r="H1067" s="20"/>
      <c r="I1067" s="25"/>
      <c r="J1067" s="25"/>
      <c r="K1067" s="25"/>
      <c r="L1067" s="28"/>
      <c r="M1067" s="29"/>
      <c r="N1067" s="30"/>
      <c r="O1067" s="30"/>
      <c r="P1067" s="30"/>
      <c r="Q1067" s="29"/>
      <c r="R1067" s="29"/>
      <c r="S1067" s="29"/>
      <c r="T1067" s="29"/>
    </row>
    <row r="1068" spans="1:20" ht="21" customHeight="1" x14ac:dyDescent="0.25">
      <c r="A1068" s="60"/>
      <c r="B1068" s="118"/>
      <c r="C1068" s="45"/>
      <c r="D1068" s="45"/>
      <c r="E1068" s="45" t="s">
        <v>181</v>
      </c>
      <c r="F1068" s="25"/>
      <c r="G1068" s="46">
        <v>231410</v>
      </c>
      <c r="H1068" s="46">
        <v>0</v>
      </c>
      <c r="I1068" s="46">
        <v>0</v>
      </c>
      <c r="J1068" s="46"/>
      <c r="K1068" s="46"/>
      <c r="L1068" s="46">
        <v>64672</v>
      </c>
      <c r="M1068" s="47">
        <v>109912006</v>
      </c>
      <c r="N1068" s="48">
        <v>0</v>
      </c>
      <c r="O1068" s="48">
        <v>0</v>
      </c>
      <c r="P1068" s="48">
        <v>0</v>
      </c>
      <c r="Q1068" s="47">
        <f>Q1063</f>
        <v>20000</v>
      </c>
      <c r="R1068" s="47">
        <f t="shared" ref="R1068:T1068" si="67">R1063</f>
        <v>109932006</v>
      </c>
      <c r="S1068" s="47">
        <f t="shared" si="67"/>
        <v>120000</v>
      </c>
      <c r="T1068" s="47">
        <f t="shared" si="67"/>
        <v>110052006</v>
      </c>
    </row>
    <row r="1069" spans="1:20" ht="21" customHeight="1" x14ac:dyDescent="0.25">
      <c r="A1069" s="21">
        <v>41</v>
      </c>
      <c r="B1069" s="61" t="s">
        <v>2808</v>
      </c>
      <c r="C1069" s="62" t="s">
        <v>2809</v>
      </c>
      <c r="D1069" s="23" t="s">
        <v>30</v>
      </c>
      <c r="E1069" s="62" t="s">
        <v>2810</v>
      </c>
      <c r="F1069" s="63" t="s">
        <v>25</v>
      </c>
      <c r="G1069" s="76">
        <v>10600</v>
      </c>
      <c r="H1069" s="61" t="s">
        <v>26</v>
      </c>
      <c r="I1069" s="1" t="s">
        <v>2811</v>
      </c>
      <c r="J1069" s="1">
        <v>0</v>
      </c>
      <c r="K1069" s="1">
        <v>0</v>
      </c>
      <c r="L1069" s="28">
        <v>3975</v>
      </c>
      <c r="M1069" s="29">
        <v>6755632</v>
      </c>
      <c r="N1069" s="30">
        <v>0</v>
      </c>
      <c r="O1069" s="30">
        <v>0</v>
      </c>
      <c r="P1069" s="30">
        <v>0</v>
      </c>
      <c r="Q1069" s="29">
        <v>10000</v>
      </c>
      <c r="R1069" s="29">
        <v>6765632</v>
      </c>
      <c r="S1069" s="29">
        <v>3000</v>
      </c>
      <c r="T1069" s="29">
        <f t="shared" ref="T1069:T1108" si="68">R1069+S1069</f>
        <v>6768632</v>
      </c>
    </row>
    <row r="1070" spans="1:20" ht="21" customHeight="1" x14ac:dyDescent="0.25">
      <c r="A1070" s="21">
        <v>42</v>
      </c>
      <c r="B1070" s="61" t="s">
        <v>2812</v>
      </c>
      <c r="C1070" s="62" t="s">
        <v>2813</v>
      </c>
      <c r="D1070" s="23" t="s">
        <v>30</v>
      </c>
      <c r="E1070" s="62" t="s">
        <v>2814</v>
      </c>
      <c r="F1070" s="63" t="s">
        <v>25</v>
      </c>
      <c r="G1070" s="76">
        <v>10600</v>
      </c>
      <c r="H1070" s="61" t="s">
        <v>26</v>
      </c>
      <c r="I1070" s="1" t="s">
        <v>2815</v>
      </c>
      <c r="J1070" s="1">
        <v>0</v>
      </c>
      <c r="K1070" s="1">
        <v>0</v>
      </c>
      <c r="L1070" s="28">
        <v>3975</v>
      </c>
      <c r="M1070" s="29">
        <v>6755632</v>
      </c>
      <c r="N1070" s="30">
        <v>0</v>
      </c>
      <c r="O1070" s="30">
        <v>0</v>
      </c>
      <c r="P1070" s="30">
        <v>0</v>
      </c>
      <c r="Q1070" s="29">
        <v>10000</v>
      </c>
      <c r="R1070" s="29">
        <v>6765632</v>
      </c>
      <c r="S1070" s="29">
        <v>3000</v>
      </c>
      <c r="T1070" s="29">
        <f t="shared" si="68"/>
        <v>6768632</v>
      </c>
    </row>
    <row r="1071" spans="1:20" ht="21" customHeight="1" x14ac:dyDescent="0.25">
      <c r="A1071" s="21">
        <v>43</v>
      </c>
      <c r="B1071" s="61" t="s">
        <v>2816</v>
      </c>
      <c r="C1071" s="62" t="s">
        <v>2817</v>
      </c>
      <c r="D1071" s="23" t="s">
        <v>23</v>
      </c>
      <c r="E1071" s="62" t="s">
        <v>2818</v>
      </c>
      <c r="F1071" s="63" t="s">
        <v>25</v>
      </c>
      <c r="G1071" s="76">
        <v>16500</v>
      </c>
      <c r="H1071" s="61" t="s">
        <v>26</v>
      </c>
      <c r="I1071" s="1" t="s">
        <v>2819</v>
      </c>
      <c r="J1071" s="1">
        <v>0</v>
      </c>
      <c r="K1071" s="1">
        <v>0</v>
      </c>
      <c r="L1071" s="28">
        <v>6188</v>
      </c>
      <c r="M1071" s="29">
        <v>10516692</v>
      </c>
      <c r="N1071" s="30">
        <v>0</v>
      </c>
      <c r="O1071" s="30">
        <v>0</v>
      </c>
      <c r="P1071" s="30">
        <v>0</v>
      </c>
      <c r="Q1071" s="29">
        <v>10000</v>
      </c>
      <c r="R1071" s="29">
        <v>10526692</v>
      </c>
      <c r="S1071" s="29">
        <v>3000</v>
      </c>
      <c r="T1071" s="29">
        <f t="shared" si="68"/>
        <v>10529692</v>
      </c>
    </row>
    <row r="1072" spans="1:20" ht="21" customHeight="1" x14ac:dyDescent="0.25">
      <c r="A1072" s="21">
        <v>44</v>
      </c>
      <c r="B1072" s="61" t="s">
        <v>2820</v>
      </c>
      <c r="C1072" s="62" t="s">
        <v>2821</v>
      </c>
      <c r="D1072" s="23" t="s">
        <v>30</v>
      </c>
      <c r="E1072" s="62" t="s">
        <v>2822</v>
      </c>
      <c r="F1072" s="63" t="s">
        <v>25</v>
      </c>
      <c r="G1072" s="76">
        <v>7700</v>
      </c>
      <c r="H1072" s="61" t="s">
        <v>26</v>
      </c>
      <c r="I1072" s="1" t="s">
        <v>2823</v>
      </c>
      <c r="J1072" s="1">
        <v>0</v>
      </c>
      <c r="K1072" s="1">
        <v>0</v>
      </c>
      <c r="L1072" s="28">
        <v>2888</v>
      </c>
      <c r="M1072" s="29">
        <v>4908243</v>
      </c>
      <c r="N1072" s="30">
        <v>0</v>
      </c>
      <c r="O1072" s="30">
        <v>0</v>
      </c>
      <c r="P1072" s="30">
        <v>0</v>
      </c>
      <c r="Q1072" s="29">
        <v>0</v>
      </c>
      <c r="R1072" s="29">
        <v>4908243</v>
      </c>
      <c r="S1072" s="29">
        <v>3000</v>
      </c>
      <c r="T1072" s="29">
        <f t="shared" si="68"/>
        <v>4911243</v>
      </c>
    </row>
    <row r="1073" spans="1:20" ht="21" customHeight="1" x14ac:dyDescent="0.25">
      <c r="A1073" s="21">
        <v>45</v>
      </c>
      <c r="B1073" s="61" t="s">
        <v>2824</v>
      </c>
      <c r="C1073" s="62" t="s">
        <v>2825</v>
      </c>
      <c r="D1073" s="23" t="s">
        <v>23</v>
      </c>
      <c r="E1073" s="62" t="s">
        <v>2789</v>
      </c>
      <c r="F1073" s="63" t="s">
        <v>25</v>
      </c>
      <c r="G1073" s="76">
        <v>4400</v>
      </c>
      <c r="H1073" s="61" t="s">
        <v>26</v>
      </c>
      <c r="I1073" s="1" t="s">
        <v>2826</v>
      </c>
      <c r="J1073" s="1">
        <v>17837</v>
      </c>
      <c r="K1073" s="1">
        <v>19037</v>
      </c>
      <c r="L1073" s="28">
        <v>1200</v>
      </c>
      <c r="M1073" s="29">
        <v>2039436</v>
      </c>
      <c r="N1073" s="30">
        <v>0</v>
      </c>
      <c r="O1073" s="30">
        <v>0</v>
      </c>
      <c r="P1073" s="30">
        <v>0</v>
      </c>
      <c r="Q1073" s="29">
        <v>0</v>
      </c>
      <c r="R1073" s="29">
        <v>2039436</v>
      </c>
      <c r="S1073" s="29">
        <v>3000</v>
      </c>
      <c r="T1073" s="29">
        <f t="shared" si="68"/>
        <v>2042436</v>
      </c>
    </row>
    <row r="1074" spans="1:20" ht="21" customHeight="1" x14ac:dyDescent="0.25">
      <c r="A1074" s="21">
        <v>46</v>
      </c>
      <c r="B1074" s="61" t="s">
        <v>2827</v>
      </c>
      <c r="C1074" s="62" t="s">
        <v>2828</v>
      </c>
      <c r="D1074" s="23" t="s">
        <v>30</v>
      </c>
      <c r="E1074" s="62" t="s">
        <v>2829</v>
      </c>
      <c r="F1074" s="63" t="s">
        <v>25</v>
      </c>
      <c r="G1074" s="76">
        <v>16500</v>
      </c>
      <c r="H1074" s="61" t="s">
        <v>26</v>
      </c>
      <c r="I1074" s="1" t="s">
        <v>2830</v>
      </c>
      <c r="J1074" s="1">
        <v>0</v>
      </c>
      <c r="K1074" s="1">
        <v>0</v>
      </c>
      <c r="L1074" s="28">
        <v>6188</v>
      </c>
      <c r="M1074" s="29">
        <v>10516692</v>
      </c>
      <c r="N1074" s="30">
        <v>0</v>
      </c>
      <c r="O1074" s="30">
        <v>0</v>
      </c>
      <c r="P1074" s="30">
        <v>0</v>
      </c>
      <c r="Q1074" s="29">
        <v>10000</v>
      </c>
      <c r="R1074" s="29">
        <v>10526692</v>
      </c>
      <c r="S1074" s="29">
        <v>3000</v>
      </c>
      <c r="T1074" s="29">
        <f t="shared" si="68"/>
        <v>10529692</v>
      </c>
    </row>
    <row r="1075" spans="1:20" ht="21" customHeight="1" x14ac:dyDescent="0.25">
      <c r="A1075" s="21">
        <v>47</v>
      </c>
      <c r="B1075" s="61" t="s">
        <v>2831</v>
      </c>
      <c r="C1075" s="62" t="s">
        <v>2832</v>
      </c>
      <c r="D1075" s="23" t="s">
        <v>30</v>
      </c>
      <c r="E1075" s="62" t="s">
        <v>2833</v>
      </c>
      <c r="F1075" s="63" t="s">
        <v>25</v>
      </c>
      <c r="G1075" s="76">
        <v>11000</v>
      </c>
      <c r="H1075" s="61" t="s">
        <v>26</v>
      </c>
      <c r="I1075" s="1" t="s">
        <v>2834</v>
      </c>
      <c r="J1075" s="1">
        <v>0</v>
      </c>
      <c r="K1075" s="1">
        <v>0</v>
      </c>
      <c r="L1075" s="28">
        <v>4125</v>
      </c>
      <c r="M1075" s="29">
        <v>7010561</v>
      </c>
      <c r="N1075" s="30">
        <v>0</v>
      </c>
      <c r="O1075" s="30">
        <v>0</v>
      </c>
      <c r="P1075" s="30">
        <v>0</v>
      </c>
      <c r="Q1075" s="29">
        <v>10000</v>
      </c>
      <c r="R1075" s="29">
        <v>7020561</v>
      </c>
      <c r="S1075" s="29">
        <v>3000</v>
      </c>
      <c r="T1075" s="29">
        <f t="shared" si="68"/>
        <v>7023561</v>
      </c>
    </row>
    <row r="1076" spans="1:20" ht="21" customHeight="1" x14ac:dyDescent="0.25">
      <c r="A1076" s="21">
        <v>48</v>
      </c>
      <c r="B1076" s="61" t="s">
        <v>2835</v>
      </c>
      <c r="C1076" s="62" t="s">
        <v>2836</v>
      </c>
      <c r="D1076" s="23" t="s">
        <v>30</v>
      </c>
      <c r="E1076" s="62" t="s">
        <v>2837</v>
      </c>
      <c r="F1076" s="63" t="s">
        <v>25</v>
      </c>
      <c r="G1076" s="76">
        <v>5500</v>
      </c>
      <c r="H1076" s="61" t="s">
        <v>26</v>
      </c>
      <c r="I1076" s="1" t="s">
        <v>2838</v>
      </c>
      <c r="J1076" s="1">
        <v>0</v>
      </c>
      <c r="K1076" s="1">
        <v>0</v>
      </c>
      <c r="L1076" s="28">
        <v>2063</v>
      </c>
      <c r="M1076" s="29">
        <v>3506130</v>
      </c>
      <c r="N1076" s="30">
        <v>0</v>
      </c>
      <c r="O1076" s="30">
        <v>0</v>
      </c>
      <c r="P1076" s="30">
        <v>0</v>
      </c>
      <c r="Q1076" s="29">
        <v>0</v>
      </c>
      <c r="R1076" s="29">
        <v>3506130</v>
      </c>
      <c r="S1076" s="29">
        <v>3000</v>
      </c>
      <c r="T1076" s="29">
        <f t="shared" si="68"/>
        <v>3509130</v>
      </c>
    </row>
    <row r="1077" spans="1:20" ht="21" customHeight="1" x14ac:dyDescent="0.25">
      <c r="A1077" s="21">
        <v>49</v>
      </c>
      <c r="B1077" s="61" t="s">
        <v>2839</v>
      </c>
      <c r="C1077" s="62" t="s">
        <v>2840</v>
      </c>
      <c r="D1077" s="23" t="s">
        <v>30</v>
      </c>
      <c r="E1077" s="62" t="s">
        <v>2841</v>
      </c>
      <c r="F1077" s="63" t="s">
        <v>25</v>
      </c>
      <c r="G1077" s="76">
        <v>4400</v>
      </c>
      <c r="H1077" s="61" t="s">
        <v>26</v>
      </c>
      <c r="I1077" s="1" t="s">
        <v>2842</v>
      </c>
      <c r="J1077" s="1">
        <v>0</v>
      </c>
      <c r="K1077" s="1">
        <v>0</v>
      </c>
      <c r="L1077" s="28">
        <v>1650</v>
      </c>
      <c r="M1077" s="29">
        <v>2804225</v>
      </c>
      <c r="N1077" s="30">
        <v>0</v>
      </c>
      <c r="O1077" s="30">
        <v>0</v>
      </c>
      <c r="P1077" s="30">
        <v>0</v>
      </c>
      <c r="Q1077" s="29">
        <v>0</v>
      </c>
      <c r="R1077" s="29">
        <v>2804225</v>
      </c>
      <c r="S1077" s="29">
        <v>3000</v>
      </c>
      <c r="T1077" s="29">
        <f t="shared" si="68"/>
        <v>2807225</v>
      </c>
    </row>
    <row r="1078" spans="1:20" ht="21" customHeight="1" x14ac:dyDescent="0.25">
      <c r="A1078" s="21">
        <v>50</v>
      </c>
      <c r="B1078" s="61" t="s">
        <v>2843</v>
      </c>
      <c r="C1078" s="62" t="s">
        <v>2844</v>
      </c>
      <c r="D1078" s="23" t="s">
        <v>30</v>
      </c>
      <c r="E1078" s="62" t="s">
        <v>2845</v>
      </c>
      <c r="F1078" s="63" t="s">
        <v>25</v>
      </c>
      <c r="G1078" s="76">
        <v>7700</v>
      </c>
      <c r="H1078" s="61" t="s">
        <v>26</v>
      </c>
      <c r="I1078" s="1" t="s">
        <v>2846</v>
      </c>
      <c r="J1078" s="1">
        <v>0</v>
      </c>
      <c r="K1078" s="1">
        <v>0</v>
      </c>
      <c r="L1078" s="28">
        <v>2888</v>
      </c>
      <c r="M1078" s="29">
        <v>4908243</v>
      </c>
      <c r="N1078" s="30">
        <v>0</v>
      </c>
      <c r="O1078" s="30">
        <v>0</v>
      </c>
      <c r="P1078" s="30">
        <v>0</v>
      </c>
      <c r="Q1078" s="29">
        <v>0</v>
      </c>
      <c r="R1078" s="29">
        <v>4908243</v>
      </c>
      <c r="S1078" s="29">
        <v>3000</v>
      </c>
      <c r="T1078" s="29">
        <f t="shared" si="68"/>
        <v>4911243</v>
      </c>
    </row>
    <row r="1079" spans="1:20" ht="21" customHeight="1" x14ac:dyDescent="0.25">
      <c r="A1079" s="21">
        <v>51</v>
      </c>
      <c r="B1079" s="61" t="s">
        <v>2847</v>
      </c>
      <c r="C1079" s="62" t="s">
        <v>2848</v>
      </c>
      <c r="D1079" s="23" t="s">
        <v>30</v>
      </c>
      <c r="E1079" s="62" t="s">
        <v>2849</v>
      </c>
      <c r="F1079" s="63" t="s">
        <v>25</v>
      </c>
      <c r="G1079" s="76">
        <v>10600</v>
      </c>
      <c r="H1079" s="61" t="s">
        <v>26</v>
      </c>
      <c r="I1079" s="1" t="s">
        <v>2850</v>
      </c>
      <c r="J1079" s="1">
        <v>0</v>
      </c>
      <c r="K1079" s="1">
        <v>0</v>
      </c>
      <c r="L1079" s="28">
        <v>3975</v>
      </c>
      <c r="M1079" s="29">
        <v>6755632</v>
      </c>
      <c r="N1079" s="30">
        <v>0</v>
      </c>
      <c r="O1079" s="30">
        <v>0</v>
      </c>
      <c r="P1079" s="30">
        <v>0</v>
      </c>
      <c r="Q1079" s="29">
        <v>10000</v>
      </c>
      <c r="R1079" s="29">
        <v>6765632</v>
      </c>
      <c r="S1079" s="29">
        <v>3000</v>
      </c>
      <c r="T1079" s="29">
        <f t="shared" si="68"/>
        <v>6768632</v>
      </c>
    </row>
    <row r="1080" spans="1:20" ht="21" customHeight="1" x14ac:dyDescent="0.25">
      <c r="A1080" s="21">
        <v>52</v>
      </c>
      <c r="B1080" s="61" t="s">
        <v>2851</v>
      </c>
      <c r="C1080" s="62" t="s">
        <v>2852</v>
      </c>
      <c r="D1080" s="23" t="s">
        <v>30</v>
      </c>
      <c r="E1080" s="62" t="s">
        <v>2777</v>
      </c>
      <c r="F1080" s="63" t="s">
        <v>25</v>
      </c>
      <c r="G1080" s="76">
        <v>6600</v>
      </c>
      <c r="H1080" s="61" t="s">
        <v>26</v>
      </c>
      <c r="I1080" s="1" t="s">
        <v>2853</v>
      </c>
      <c r="J1080" s="1">
        <v>71167</v>
      </c>
      <c r="K1080" s="1">
        <v>72534</v>
      </c>
      <c r="L1080" s="28">
        <v>1367</v>
      </c>
      <c r="M1080" s="29">
        <v>2323258</v>
      </c>
      <c r="N1080" s="30">
        <v>0</v>
      </c>
      <c r="O1080" s="30">
        <v>0</v>
      </c>
      <c r="P1080" s="30">
        <v>0</v>
      </c>
      <c r="Q1080" s="29">
        <v>0</v>
      </c>
      <c r="R1080" s="29">
        <v>2323258</v>
      </c>
      <c r="S1080" s="29">
        <v>3000</v>
      </c>
      <c r="T1080" s="29">
        <f t="shared" si="68"/>
        <v>2326258</v>
      </c>
    </row>
    <row r="1081" spans="1:20" ht="21" customHeight="1" x14ac:dyDescent="0.25">
      <c r="A1081" s="21">
        <v>53</v>
      </c>
      <c r="B1081" s="61" t="s">
        <v>2854</v>
      </c>
      <c r="C1081" s="62" t="s">
        <v>2855</v>
      </c>
      <c r="D1081" s="23" t="s">
        <v>30</v>
      </c>
      <c r="E1081" s="62" t="s">
        <v>2322</v>
      </c>
      <c r="F1081" s="63" t="s">
        <v>25</v>
      </c>
      <c r="G1081" s="76">
        <v>11000</v>
      </c>
      <c r="H1081" s="61" t="s">
        <v>26</v>
      </c>
      <c r="I1081" s="1" t="s">
        <v>2856</v>
      </c>
      <c r="J1081" s="1">
        <v>67017</v>
      </c>
      <c r="K1081" s="1">
        <v>69730</v>
      </c>
      <c r="L1081" s="28">
        <v>2713</v>
      </c>
      <c r="M1081" s="29">
        <v>4610825</v>
      </c>
      <c r="N1081" s="30">
        <v>0</v>
      </c>
      <c r="O1081" s="30">
        <v>0</v>
      </c>
      <c r="P1081" s="30">
        <v>0</v>
      </c>
      <c r="Q1081" s="29">
        <v>0</v>
      </c>
      <c r="R1081" s="29">
        <v>4610825</v>
      </c>
      <c r="S1081" s="29">
        <v>3000</v>
      </c>
      <c r="T1081" s="29">
        <f t="shared" si="68"/>
        <v>4613825</v>
      </c>
    </row>
    <row r="1082" spans="1:20" ht="21" customHeight="1" x14ac:dyDescent="0.25">
      <c r="A1082" s="21">
        <v>54</v>
      </c>
      <c r="B1082" s="61" t="s">
        <v>2857</v>
      </c>
      <c r="C1082" s="62" t="s">
        <v>2858</v>
      </c>
      <c r="D1082" s="23" t="s">
        <v>30</v>
      </c>
      <c r="E1082" s="62" t="s">
        <v>2859</v>
      </c>
      <c r="F1082" s="63" t="s">
        <v>25</v>
      </c>
      <c r="G1082" s="76">
        <v>5500</v>
      </c>
      <c r="H1082" s="61" t="s">
        <v>26</v>
      </c>
      <c r="I1082" s="1" t="s">
        <v>2860</v>
      </c>
      <c r="J1082" s="1">
        <v>0</v>
      </c>
      <c r="K1082" s="1">
        <v>0</v>
      </c>
      <c r="L1082" s="28">
        <v>2063</v>
      </c>
      <c r="M1082" s="29">
        <v>3506130</v>
      </c>
      <c r="N1082" s="30">
        <v>0</v>
      </c>
      <c r="O1082" s="30">
        <v>0</v>
      </c>
      <c r="P1082" s="30">
        <v>0</v>
      </c>
      <c r="Q1082" s="29">
        <v>0</v>
      </c>
      <c r="R1082" s="29">
        <v>3506130</v>
      </c>
      <c r="S1082" s="29">
        <v>3000</v>
      </c>
      <c r="T1082" s="29">
        <f t="shared" si="68"/>
        <v>3509130</v>
      </c>
    </row>
    <row r="1083" spans="1:20" ht="21" customHeight="1" x14ac:dyDescent="0.25">
      <c r="A1083" s="21">
        <v>55</v>
      </c>
      <c r="B1083" s="61" t="s">
        <v>2861</v>
      </c>
      <c r="C1083" s="62" t="s">
        <v>2862</v>
      </c>
      <c r="D1083" s="23" t="s">
        <v>30</v>
      </c>
      <c r="E1083" s="62" t="s">
        <v>2863</v>
      </c>
      <c r="F1083" s="63" t="s">
        <v>25</v>
      </c>
      <c r="G1083" s="76">
        <v>4960</v>
      </c>
      <c r="H1083" s="61" t="s">
        <v>26</v>
      </c>
      <c r="I1083" s="1" t="s">
        <v>2864</v>
      </c>
      <c r="J1083" s="1">
        <v>0</v>
      </c>
      <c r="K1083" s="1">
        <v>0</v>
      </c>
      <c r="L1083" s="28">
        <v>1860</v>
      </c>
      <c r="M1083" s="29">
        <v>3161126</v>
      </c>
      <c r="N1083" s="30">
        <v>0</v>
      </c>
      <c r="O1083" s="30">
        <v>0</v>
      </c>
      <c r="P1083" s="30">
        <v>0</v>
      </c>
      <c r="Q1083" s="29">
        <v>0</v>
      </c>
      <c r="R1083" s="29">
        <v>3161126</v>
      </c>
      <c r="S1083" s="29">
        <v>3000</v>
      </c>
      <c r="T1083" s="29">
        <f t="shared" si="68"/>
        <v>3164126</v>
      </c>
    </row>
    <row r="1084" spans="1:20" ht="21" customHeight="1" x14ac:dyDescent="0.25">
      <c r="A1084" s="21">
        <v>56</v>
      </c>
      <c r="B1084" s="61" t="s">
        <v>2865</v>
      </c>
      <c r="C1084" s="62" t="s">
        <v>2866</v>
      </c>
      <c r="D1084" s="23" t="s">
        <v>30</v>
      </c>
      <c r="E1084" s="62" t="s">
        <v>2867</v>
      </c>
      <c r="F1084" s="63" t="s">
        <v>25</v>
      </c>
      <c r="G1084" s="76">
        <v>5910</v>
      </c>
      <c r="H1084" s="61" t="s">
        <v>26</v>
      </c>
      <c r="I1084" s="1" t="s">
        <v>2868</v>
      </c>
      <c r="J1084" s="1">
        <v>0</v>
      </c>
      <c r="K1084" s="1">
        <v>0</v>
      </c>
      <c r="L1084" s="28">
        <v>2216</v>
      </c>
      <c r="M1084" s="29">
        <v>3766158</v>
      </c>
      <c r="N1084" s="30">
        <v>0</v>
      </c>
      <c r="O1084" s="30">
        <v>0</v>
      </c>
      <c r="P1084" s="30">
        <v>0</v>
      </c>
      <c r="Q1084" s="29">
        <v>0</v>
      </c>
      <c r="R1084" s="29">
        <v>3766158</v>
      </c>
      <c r="S1084" s="29">
        <v>3000</v>
      </c>
      <c r="T1084" s="29">
        <f t="shared" si="68"/>
        <v>3769158</v>
      </c>
    </row>
    <row r="1085" spans="1:20" ht="21" customHeight="1" x14ac:dyDescent="0.25">
      <c r="A1085" s="21">
        <v>57</v>
      </c>
      <c r="B1085" s="61" t="s">
        <v>2869</v>
      </c>
      <c r="C1085" s="62" t="s">
        <v>2870</v>
      </c>
      <c r="D1085" s="23" t="s">
        <v>30</v>
      </c>
      <c r="E1085" s="62" t="s">
        <v>2871</v>
      </c>
      <c r="F1085" s="63" t="s">
        <v>25</v>
      </c>
      <c r="G1085" s="76">
        <v>10600</v>
      </c>
      <c r="H1085" s="61" t="s">
        <v>26</v>
      </c>
      <c r="I1085" s="1" t="s">
        <v>2872</v>
      </c>
      <c r="J1085" s="1">
        <v>0</v>
      </c>
      <c r="K1085" s="1">
        <v>0</v>
      </c>
      <c r="L1085" s="28">
        <v>3975</v>
      </c>
      <c r="M1085" s="29">
        <v>6755632</v>
      </c>
      <c r="N1085" s="30">
        <v>0</v>
      </c>
      <c r="O1085" s="30">
        <v>0</v>
      </c>
      <c r="P1085" s="30">
        <v>0</v>
      </c>
      <c r="Q1085" s="29">
        <v>10000</v>
      </c>
      <c r="R1085" s="29">
        <v>6765632</v>
      </c>
      <c r="S1085" s="29">
        <v>3000</v>
      </c>
      <c r="T1085" s="29">
        <f t="shared" si="68"/>
        <v>6768632</v>
      </c>
    </row>
    <row r="1086" spans="1:20" ht="21" customHeight="1" x14ac:dyDescent="0.25">
      <c r="A1086" s="21">
        <v>58</v>
      </c>
      <c r="B1086" s="61" t="s">
        <v>2873</v>
      </c>
      <c r="C1086" s="62" t="s">
        <v>2874</v>
      </c>
      <c r="D1086" s="23" t="s">
        <v>30</v>
      </c>
      <c r="E1086" s="62" t="s">
        <v>2875</v>
      </c>
      <c r="F1086" s="63" t="s">
        <v>25</v>
      </c>
      <c r="G1086" s="76">
        <v>4720</v>
      </c>
      <c r="H1086" s="61" t="s">
        <v>26</v>
      </c>
      <c r="I1086" s="1" t="s">
        <v>2876</v>
      </c>
      <c r="J1086" s="1">
        <v>0</v>
      </c>
      <c r="K1086" s="1">
        <v>0</v>
      </c>
      <c r="L1086" s="28">
        <v>1770</v>
      </c>
      <c r="M1086" s="29">
        <v>3008168</v>
      </c>
      <c r="N1086" s="30">
        <v>0</v>
      </c>
      <c r="O1086" s="30">
        <v>0</v>
      </c>
      <c r="P1086" s="30">
        <v>0</v>
      </c>
      <c r="Q1086" s="29">
        <v>0</v>
      </c>
      <c r="R1086" s="29">
        <v>3008168</v>
      </c>
      <c r="S1086" s="29">
        <v>3000</v>
      </c>
      <c r="T1086" s="29">
        <f t="shared" si="68"/>
        <v>3011168</v>
      </c>
    </row>
    <row r="1087" spans="1:20" ht="21" customHeight="1" x14ac:dyDescent="0.25">
      <c r="A1087" s="21">
        <v>59</v>
      </c>
      <c r="B1087" s="61" t="s">
        <v>2877</v>
      </c>
      <c r="C1087" s="62" t="s">
        <v>2878</v>
      </c>
      <c r="D1087" s="23" t="s">
        <v>30</v>
      </c>
      <c r="E1087" s="62" t="s">
        <v>2720</v>
      </c>
      <c r="F1087" s="63" t="s">
        <v>25</v>
      </c>
      <c r="G1087" s="76">
        <v>6600</v>
      </c>
      <c r="H1087" s="61" t="s">
        <v>26</v>
      </c>
      <c r="I1087" s="1" t="s">
        <v>2879</v>
      </c>
      <c r="J1087" s="1">
        <v>122919</v>
      </c>
      <c r="K1087" s="1">
        <v>124858</v>
      </c>
      <c r="L1087" s="28">
        <v>1939</v>
      </c>
      <c r="M1087" s="29">
        <v>3295389</v>
      </c>
      <c r="N1087" s="30">
        <v>0</v>
      </c>
      <c r="O1087" s="30">
        <v>0</v>
      </c>
      <c r="P1087" s="30">
        <v>0</v>
      </c>
      <c r="Q1087" s="29">
        <v>0</v>
      </c>
      <c r="R1087" s="29">
        <v>3295389</v>
      </c>
      <c r="S1087" s="29">
        <v>3000</v>
      </c>
      <c r="T1087" s="29">
        <f t="shared" si="68"/>
        <v>3298389</v>
      </c>
    </row>
    <row r="1088" spans="1:20" ht="21" customHeight="1" x14ac:dyDescent="0.25">
      <c r="A1088" s="21">
        <v>60</v>
      </c>
      <c r="B1088" s="61" t="s">
        <v>2880</v>
      </c>
      <c r="C1088" s="62" t="s">
        <v>2881</v>
      </c>
      <c r="D1088" s="23" t="s">
        <v>30</v>
      </c>
      <c r="E1088" s="62" t="s">
        <v>2882</v>
      </c>
      <c r="F1088" s="63" t="s">
        <v>25</v>
      </c>
      <c r="G1088" s="76">
        <v>5500</v>
      </c>
      <c r="H1088" s="61" t="s">
        <v>26</v>
      </c>
      <c r="I1088" s="1" t="s">
        <v>2883</v>
      </c>
      <c r="J1088" s="1">
        <v>63613</v>
      </c>
      <c r="K1088" s="1">
        <v>65476</v>
      </c>
      <c r="L1088" s="28">
        <v>1863</v>
      </c>
      <c r="M1088" s="29">
        <v>3166224</v>
      </c>
      <c r="N1088" s="30">
        <v>0</v>
      </c>
      <c r="O1088" s="30">
        <v>0</v>
      </c>
      <c r="P1088" s="30">
        <v>0</v>
      </c>
      <c r="Q1088" s="29">
        <v>0</v>
      </c>
      <c r="R1088" s="29">
        <v>3166224</v>
      </c>
      <c r="S1088" s="29">
        <v>3000</v>
      </c>
      <c r="T1088" s="29">
        <f t="shared" si="68"/>
        <v>3169224</v>
      </c>
    </row>
    <row r="1089" spans="1:20" ht="21" customHeight="1" x14ac:dyDescent="0.25">
      <c r="A1089" s="21">
        <v>61</v>
      </c>
      <c r="B1089" s="61" t="s">
        <v>2884</v>
      </c>
      <c r="C1089" s="62" t="s">
        <v>2885</v>
      </c>
      <c r="D1089" s="23" t="s">
        <v>30</v>
      </c>
      <c r="E1089" s="62" t="s">
        <v>2886</v>
      </c>
      <c r="F1089" s="63" t="s">
        <v>25</v>
      </c>
      <c r="G1089" s="76">
        <v>4400</v>
      </c>
      <c r="H1089" s="61" t="s">
        <v>26</v>
      </c>
      <c r="I1089" s="1" t="s">
        <v>2887</v>
      </c>
      <c r="J1089" s="1">
        <v>90741</v>
      </c>
      <c r="K1089" s="1">
        <v>91759</v>
      </c>
      <c r="L1089" s="28">
        <v>1018</v>
      </c>
      <c r="M1089" s="29">
        <v>1730122</v>
      </c>
      <c r="N1089" s="30">
        <v>0</v>
      </c>
      <c r="O1089" s="30">
        <v>0</v>
      </c>
      <c r="P1089" s="30">
        <v>0</v>
      </c>
      <c r="Q1089" s="29">
        <v>0</v>
      </c>
      <c r="R1089" s="29">
        <v>1730122</v>
      </c>
      <c r="S1089" s="29">
        <v>3000</v>
      </c>
      <c r="T1089" s="29">
        <f t="shared" si="68"/>
        <v>1733122</v>
      </c>
    </row>
    <row r="1090" spans="1:20" ht="21" customHeight="1" x14ac:dyDescent="0.25">
      <c r="A1090" s="21">
        <v>62</v>
      </c>
      <c r="B1090" s="61" t="s">
        <v>2888</v>
      </c>
      <c r="C1090" s="62" t="s">
        <v>2889</v>
      </c>
      <c r="D1090" s="23" t="s">
        <v>30</v>
      </c>
      <c r="E1090" s="62" t="s">
        <v>2890</v>
      </c>
      <c r="F1090" s="63" t="s">
        <v>25</v>
      </c>
      <c r="G1090" s="76">
        <v>9750</v>
      </c>
      <c r="H1090" s="61" t="s">
        <v>26</v>
      </c>
      <c r="I1090" s="1" t="s">
        <v>2891</v>
      </c>
      <c r="J1090" s="1">
        <v>0</v>
      </c>
      <c r="K1090" s="1">
        <v>0</v>
      </c>
      <c r="L1090" s="28">
        <v>3656</v>
      </c>
      <c r="M1090" s="29">
        <v>6213482</v>
      </c>
      <c r="N1090" s="30">
        <v>0</v>
      </c>
      <c r="O1090" s="30">
        <v>0</v>
      </c>
      <c r="P1090" s="30">
        <v>0</v>
      </c>
      <c r="Q1090" s="29">
        <v>10000</v>
      </c>
      <c r="R1090" s="29">
        <v>6223482</v>
      </c>
      <c r="S1090" s="29">
        <v>3000</v>
      </c>
      <c r="T1090" s="29">
        <f t="shared" si="68"/>
        <v>6226482</v>
      </c>
    </row>
    <row r="1091" spans="1:20" ht="21" customHeight="1" x14ac:dyDescent="0.25">
      <c r="A1091" s="21">
        <v>63</v>
      </c>
      <c r="B1091" s="61" t="s">
        <v>2892</v>
      </c>
      <c r="C1091" s="62" t="s">
        <v>2893</v>
      </c>
      <c r="D1091" s="23" t="s">
        <v>30</v>
      </c>
      <c r="E1091" s="62" t="s">
        <v>2894</v>
      </c>
      <c r="F1091" s="63" t="s">
        <v>25</v>
      </c>
      <c r="G1091" s="76">
        <v>6400</v>
      </c>
      <c r="H1091" s="61" t="s">
        <v>26</v>
      </c>
      <c r="I1091" s="1" t="s">
        <v>2895</v>
      </c>
      <c r="J1091" s="1">
        <v>0</v>
      </c>
      <c r="K1091" s="1">
        <v>0</v>
      </c>
      <c r="L1091" s="28">
        <v>2400</v>
      </c>
      <c r="M1091" s="29">
        <v>4078872</v>
      </c>
      <c r="N1091" s="30">
        <v>0</v>
      </c>
      <c r="O1091" s="30">
        <v>0</v>
      </c>
      <c r="P1091" s="30">
        <v>0</v>
      </c>
      <c r="Q1091" s="29">
        <v>0</v>
      </c>
      <c r="R1091" s="29">
        <v>4078872</v>
      </c>
      <c r="S1091" s="29">
        <v>3000</v>
      </c>
      <c r="T1091" s="29">
        <f t="shared" si="68"/>
        <v>4081872</v>
      </c>
    </row>
    <row r="1092" spans="1:20" ht="21" customHeight="1" x14ac:dyDescent="0.25">
      <c r="A1092" s="21">
        <v>64</v>
      </c>
      <c r="B1092" s="61" t="s">
        <v>2896</v>
      </c>
      <c r="C1092" s="62" t="s">
        <v>2897</v>
      </c>
      <c r="D1092" s="23" t="s">
        <v>30</v>
      </c>
      <c r="E1092" s="62" t="s">
        <v>2898</v>
      </c>
      <c r="F1092" s="63" t="s">
        <v>25</v>
      </c>
      <c r="G1092" s="76">
        <v>6340</v>
      </c>
      <c r="H1092" s="61" t="s">
        <v>26</v>
      </c>
      <c r="I1092" s="1" t="s">
        <v>2899</v>
      </c>
      <c r="J1092" s="1">
        <v>0</v>
      </c>
      <c r="K1092" s="1">
        <v>0</v>
      </c>
      <c r="L1092" s="28">
        <v>2378</v>
      </c>
      <c r="M1092" s="29">
        <v>4041482</v>
      </c>
      <c r="N1092" s="30">
        <v>0</v>
      </c>
      <c r="O1092" s="30">
        <v>0</v>
      </c>
      <c r="P1092" s="30">
        <v>0</v>
      </c>
      <c r="Q1092" s="29">
        <v>0</v>
      </c>
      <c r="R1092" s="29">
        <v>4041482</v>
      </c>
      <c r="S1092" s="29">
        <v>3000</v>
      </c>
      <c r="T1092" s="29">
        <f t="shared" si="68"/>
        <v>4044482</v>
      </c>
    </row>
    <row r="1093" spans="1:20" ht="21" customHeight="1" x14ac:dyDescent="0.25">
      <c r="A1093" s="21">
        <v>65</v>
      </c>
      <c r="B1093" s="61" t="s">
        <v>2900</v>
      </c>
      <c r="C1093" s="62" t="s">
        <v>2901</v>
      </c>
      <c r="D1093" s="23" t="s">
        <v>30</v>
      </c>
      <c r="E1093" s="62" t="s">
        <v>2902</v>
      </c>
      <c r="F1093" s="63" t="s">
        <v>25</v>
      </c>
      <c r="G1093" s="76">
        <v>4400</v>
      </c>
      <c r="H1093" s="61" t="s">
        <v>26</v>
      </c>
      <c r="I1093" s="1" t="s">
        <v>2903</v>
      </c>
      <c r="J1093" s="1">
        <v>33185</v>
      </c>
      <c r="K1093" s="1">
        <v>34153</v>
      </c>
      <c r="L1093" s="28">
        <v>968</v>
      </c>
      <c r="M1093" s="29">
        <v>1645145</v>
      </c>
      <c r="N1093" s="30">
        <v>0</v>
      </c>
      <c r="O1093" s="30">
        <v>0</v>
      </c>
      <c r="P1093" s="30">
        <v>0</v>
      </c>
      <c r="Q1093" s="29">
        <v>0</v>
      </c>
      <c r="R1093" s="29">
        <v>1645145</v>
      </c>
      <c r="S1093" s="29">
        <v>3000</v>
      </c>
      <c r="T1093" s="29">
        <f t="shared" si="68"/>
        <v>1648145</v>
      </c>
    </row>
    <row r="1094" spans="1:20" ht="21" customHeight="1" x14ac:dyDescent="0.25">
      <c r="A1094" s="21">
        <v>66</v>
      </c>
      <c r="B1094" s="61" t="s">
        <v>2904</v>
      </c>
      <c r="C1094" s="62" t="s">
        <v>2905</v>
      </c>
      <c r="D1094" s="23" t="s">
        <v>30</v>
      </c>
      <c r="E1094" s="62" t="s">
        <v>2765</v>
      </c>
      <c r="F1094" s="63" t="s">
        <v>25</v>
      </c>
      <c r="G1094" s="76">
        <v>4400</v>
      </c>
      <c r="H1094" s="61" t="s">
        <v>26</v>
      </c>
      <c r="I1094" s="1" t="s">
        <v>2906</v>
      </c>
      <c r="J1094" s="1">
        <v>30175</v>
      </c>
      <c r="K1094" s="1">
        <v>31615</v>
      </c>
      <c r="L1094" s="28">
        <v>1440</v>
      </c>
      <c r="M1094" s="29">
        <v>2447323</v>
      </c>
      <c r="N1094" s="30">
        <v>0</v>
      </c>
      <c r="O1094" s="30">
        <v>0</v>
      </c>
      <c r="P1094" s="30">
        <v>0</v>
      </c>
      <c r="Q1094" s="29">
        <v>0</v>
      </c>
      <c r="R1094" s="29">
        <v>2447323</v>
      </c>
      <c r="S1094" s="29">
        <v>3000</v>
      </c>
      <c r="T1094" s="29">
        <f t="shared" si="68"/>
        <v>2450323</v>
      </c>
    </row>
    <row r="1095" spans="1:20" ht="21" customHeight="1" x14ac:dyDescent="0.25">
      <c r="A1095" s="21">
        <v>67</v>
      </c>
      <c r="B1095" s="61" t="s">
        <v>2907</v>
      </c>
      <c r="C1095" s="62" t="s">
        <v>2908</v>
      </c>
      <c r="D1095" s="23" t="s">
        <v>30</v>
      </c>
      <c r="E1095" s="62" t="s">
        <v>2909</v>
      </c>
      <c r="F1095" s="63" t="s">
        <v>25</v>
      </c>
      <c r="G1095" s="76">
        <v>6600</v>
      </c>
      <c r="H1095" s="61" t="s">
        <v>26</v>
      </c>
      <c r="I1095" s="1" t="s">
        <v>2910</v>
      </c>
      <c r="J1095" s="1">
        <v>0</v>
      </c>
      <c r="K1095" s="1">
        <v>0</v>
      </c>
      <c r="L1095" s="28">
        <v>2475</v>
      </c>
      <c r="M1095" s="29">
        <v>4206337</v>
      </c>
      <c r="N1095" s="30">
        <v>0</v>
      </c>
      <c r="O1095" s="30">
        <v>0</v>
      </c>
      <c r="P1095" s="30">
        <v>0</v>
      </c>
      <c r="Q1095" s="29">
        <v>0</v>
      </c>
      <c r="R1095" s="29">
        <v>4206337</v>
      </c>
      <c r="S1095" s="29">
        <v>3000</v>
      </c>
      <c r="T1095" s="29">
        <f t="shared" si="68"/>
        <v>4209337</v>
      </c>
    </row>
    <row r="1096" spans="1:20" ht="21" customHeight="1" x14ac:dyDescent="0.25">
      <c r="A1096" s="21">
        <v>68</v>
      </c>
      <c r="B1096" s="61" t="s">
        <v>2911</v>
      </c>
      <c r="C1096" s="62" t="s">
        <v>2912</v>
      </c>
      <c r="D1096" s="23" t="s">
        <v>23</v>
      </c>
      <c r="E1096" s="62" t="s">
        <v>2742</v>
      </c>
      <c r="F1096" s="63" t="s">
        <v>25</v>
      </c>
      <c r="G1096" s="76">
        <v>2200</v>
      </c>
      <c r="H1096" s="61" t="s">
        <v>26</v>
      </c>
      <c r="I1096" s="1" t="s">
        <v>2913</v>
      </c>
      <c r="J1096" s="1">
        <v>66712</v>
      </c>
      <c r="K1096" s="1">
        <v>66921</v>
      </c>
      <c r="L1096" s="28">
        <v>209</v>
      </c>
      <c r="M1096" s="29">
        <v>355202</v>
      </c>
      <c r="N1096" s="30">
        <v>0</v>
      </c>
      <c r="O1096" s="30">
        <v>0</v>
      </c>
      <c r="P1096" s="30">
        <v>0</v>
      </c>
      <c r="Q1096" s="29">
        <v>0</v>
      </c>
      <c r="R1096" s="29">
        <v>355202</v>
      </c>
      <c r="S1096" s="29">
        <v>3000</v>
      </c>
      <c r="T1096" s="29">
        <f t="shared" si="68"/>
        <v>358202</v>
      </c>
    </row>
    <row r="1097" spans="1:20" ht="21" customHeight="1" x14ac:dyDescent="0.25">
      <c r="A1097" s="21">
        <v>69</v>
      </c>
      <c r="B1097" s="61" t="s">
        <v>2914</v>
      </c>
      <c r="C1097" s="62" t="s">
        <v>2915</v>
      </c>
      <c r="D1097" s="23" t="s">
        <v>30</v>
      </c>
      <c r="E1097" s="62" t="s">
        <v>2750</v>
      </c>
      <c r="F1097" s="63" t="s">
        <v>25</v>
      </c>
      <c r="G1097" s="76">
        <v>2200</v>
      </c>
      <c r="H1097" s="61" t="s">
        <v>26</v>
      </c>
      <c r="I1097" s="1" t="s">
        <v>2916</v>
      </c>
      <c r="J1097" s="1">
        <v>72878</v>
      </c>
      <c r="K1097" s="1">
        <v>73106</v>
      </c>
      <c r="L1097" s="28">
        <v>228</v>
      </c>
      <c r="M1097" s="29">
        <v>387493</v>
      </c>
      <c r="N1097" s="30">
        <v>0</v>
      </c>
      <c r="O1097" s="30">
        <v>0</v>
      </c>
      <c r="P1097" s="30">
        <v>0</v>
      </c>
      <c r="Q1097" s="29">
        <v>0</v>
      </c>
      <c r="R1097" s="29">
        <v>387493</v>
      </c>
      <c r="S1097" s="29">
        <v>3000</v>
      </c>
      <c r="T1097" s="29">
        <f t="shared" si="68"/>
        <v>390493</v>
      </c>
    </row>
    <row r="1098" spans="1:20" ht="21" customHeight="1" x14ac:dyDescent="0.25">
      <c r="A1098" s="21">
        <v>70</v>
      </c>
      <c r="B1098" s="61" t="s">
        <v>2917</v>
      </c>
      <c r="C1098" s="62" t="s">
        <v>2918</v>
      </c>
      <c r="D1098" s="23" t="s">
        <v>23</v>
      </c>
      <c r="E1098" s="62" t="s">
        <v>2919</v>
      </c>
      <c r="F1098" s="63" t="s">
        <v>25</v>
      </c>
      <c r="G1098" s="76">
        <v>2400</v>
      </c>
      <c r="H1098" s="61" t="s">
        <v>26</v>
      </c>
      <c r="I1098" s="1" t="s">
        <v>2920</v>
      </c>
      <c r="J1098" s="1">
        <v>45415</v>
      </c>
      <c r="K1098" s="1">
        <v>45415</v>
      </c>
      <c r="L1098" s="28">
        <v>900</v>
      </c>
      <c r="M1098" s="29">
        <v>1529577</v>
      </c>
      <c r="N1098" s="30">
        <v>0</v>
      </c>
      <c r="O1098" s="30">
        <v>0</v>
      </c>
      <c r="P1098" s="30">
        <v>0</v>
      </c>
      <c r="Q1098" s="29">
        <v>0</v>
      </c>
      <c r="R1098" s="29">
        <v>1529577</v>
      </c>
      <c r="S1098" s="29">
        <v>3000</v>
      </c>
      <c r="T1098" s="29">
        <f t="shared" si="68"/>
        <v>1532577</v>
      </c>
    </row>
    <row r="1099" spans="1:20" ht="21" customHeight="1" x14ac:dyDescent="0.25">
      <c r="A1099" s="21">
        <v>71</v>
      </c>
      <c r="B1099" s="61" t="s">
        <v>2921</v>
      </c>
      <c r="C1099" s="62" t="s">
        <v>2922</v>
      </c>
      <c r="D1099" s="23" t="s">
        <v>30</v>
      </c>
      <c r="E1099" s="62" t="s">
        <v>2923</v>
      </c>
      <c r="F1099" s="63" t="s">
        <v>25</v>
      </c>
      <c r="G1099" s="76">
        <v>3720</v>
      </c>
      <c r="H1099" s="61" t="s">
        <v>26</v>
      </c>
      <c r="I1099" s="1" t="s">
        <v>2924</v>
      </c>
      <c r="J1099" s="1">
        <v>263566</v>
      </c>
      <c r="K1099" s="1">
        <v>264427</v>
      </c>
      <c r="L1099" s="28">
        <v>861</v>
      </c>
      <c r="M1099" s="29">
        <v>1463295</v>
      </c>
      <c r="N1099" s="30">
        <v>0</v>
      </c>
      <c r="O1099" s="30">
        <v>0</v>
      </c>
      <c r="P1099" s="30">
        <v>0</v>
      </c>
      <c r="Q1099" s="29">
        <v>0</v>
      </c>
      <c r="R1099" s="29">
        <v>1463295</v>
      </c>
      <c r="S1099" s="29">
        <v>3000</v>
      </c>
      <c r="T1099" s="29">
        <f t="shared" si="68"/>
        <v>1466295</v>
      </c>
    </row>
    <row r="1100" spans="1:20" ht="21" customHeight="1" x14ac:dyDescent="0.25">
      <c r="A1100" s="21">
        <v>72</v>
      </c>
      <c r="B1100" s="61" t="s">
        <v>2925</v>
      </c>
      <c r="C1100" s="62" t="s">
        <v>2926</v>
      </c>
      <c r="D1100" s="23" t="s">
        <v>30</v>
      </c>
      <c r="E1100" s="62" t="s">
        <v>2927</v>
      </c>
      <c r="F1100" s="63" t="s">
        <v>25</v>
      </c>
      <c r="G1100" s="76">
        <v>2720</v>
      </c>
      <c r="H1100" s="61" t="s">
        <v>26</v>
      </c>
      <c r="I1100" s="1" t="s">
        <v>2928</v>
      </c>
      <c r="J1100" s="1">
        <v>28245</v>
      </c>
      <c r="K1100" s="1">
        <v>29751</v>
      </c>
      <c r="L1100" s="28">
        <v>1506</v>
      </c>
      <c r="M1100" s="29">
        <v>2559492</v>
      </c>
      <c r="N1100" s="30">
        <v>0</v>
      </c>
      <c r="O1100" s="30">
        <v>0</v>
      </c>
      <c r="P1100" s="30">
        <v>0</v>
      </c>
      <c r="Q1100" s="29">
        <v>0</v>
      </c>
      <c r="R1100" s="29">
        <v>2559492</v>
      </c>
      <c r="S1100" s="29">
        <v>3000</v>
      </c>
      <c r="T1100" s="29">
        <f t="shared" si="68"/>
        <v>2562492</v>
      </c>
    </row>
    <row r="1101" spans="1:20" ht="21" customHeight="1" x14ac:dyDescent="0.25">
      <c r="A1101" s="21">
        <v>73</v>
      </c>
      <c r="B1101" s="61" t="s">
        <v>2929</v>
      </c>
      <c r="C1101" s="62" t="s">
        <v>2930</v>
      </c>
      <c r="D1101" s="23" t="s">
        <v>30</v>
      </c>
      <c r="E1101" s="62" t="s">
        <v>2931</v>
      </c>
      <c r="F1101" s="63" t="s">
        <v>25</v>
      </c>
      <c r="G1101" s="76">
        <v>1250</v>
      </c>
      <c r="H1101" s="61" t="s">
        <v>26</v>
      </c>
      <c r="I1101" s="1" t="s">
        <v>2932</v>
      </c>
      <c r="J1101" s="1">
        <v>25827</v>
      </c>
      <c r="K1101" s="1">
        <v>26631</v>
      </c>
      <c r="L1101" s="28">
        <v>804</v>
      </c>
      <c r="M1101" s="29">
        <v>1366422</v>
      </c>
      <c r="N1101" s="30">
        <v>0</v>
      </c>
      <c r="O1101" s="30">
        <v>0</v>
      </c>
      <c r="P1101" s="30">
        <v>0</v>
      </c>
      <c r="Q1101" s="29">
        <v>0</v>
      </c>
      <c r="R1101" s="29">
        <v>1366422</v>
      </c>
      <c r="S1101" s="29">
        <v>3000</v>
      </c>
      <c r="T1101" s="29">
        <f t="shared" si="68"/>
        <v>1369422</v>
      </c>
    </row>
    <row r="1102" spans="1:20" ht="21" customHeight="1" x14ac:dyDescent="0.25">
      <c r="A1102" s="21">
        <v>74</v>
      </c>
      <c r="B1102" s="61" t="s">
        <v>2933</v>
      </c>
      <c r="C1102" s="62" t="s">
        <v>2934</v>
      </c>
      <c r="D1102" s="23" t="s">
        <v>30</v>
      </c>
      <c r="E1102" s="62" t="s">
        <v>2935</v>
      </c>
      <c r="F1102" s="63" t="s">
        <v>25</v>
      </c>
      <c r="G1102" s="76">
        <v>10600</v>
      </c>
      <c r="H1102" s="61" t="s">
        <v>26</v>
      </c>
      <c r="I1102" s="1" t="s">
        <v>2936</v>
      </c>
      <c r="J1102" s="1">
        <v>121375</v>
      </c>
      <c r="K1102" s="1">
        <v>123590</v>
      </c>
      <c r="L1102" s="28">
        <v>2215</v>
      </c>
      <c r="M1102" s="29">
        <v>3764459</v>
      </c>
      <c r="N1102" s="30">
        <v>0</v>
      </c>
      <c r="O1102" s="30">
        <v>0</v>
      </c>
      <c r="P1102" s="30">
        <v>0</v>
      </c>
      <c r="Q1102" s="29">
        <v>0</v>
      </c>
      <c r="R1102" s="29">
        <v>3764459</v>
      </c>
      <c r="S1102" s="29">
        <v>3000</v>
      </c>
      <c r="T1102" s="29">
        <f t="shared" si="68"/>
        <v>3767459</v>
      </c>
    </row>
    <row r="1103" spans="1:20" ht="21" customHeight="1" x14ac:dyDescent="0.25">
      <c r="A1103" s="21">
        <v>75</v>
      </c>
      <c r="B1103" s="61" t="s">
        <v>2937</v>
      </c>
      <c r="C1103" s="62" t="s">
        <v>2938</v>
      </c>
      <c r="D1103" s="23" t="s">
        <v>30</v>
      </c>
      <c r="E1103" s="62" t="s">
        <v>2939</v>
      </c>
      <c r="F1103" s="63" t="s">
        <v>25</v>
      </c>
      <c r="G1103" s="76">
        <v>2200</v>
      </c>
      <c r="H1103" s="61" t="s">
        <v>26</v>
      </c>
      <c r="I1103" s="1" t="s">
        <v>2940</v>
      </c>
      <c r="J1103" s="1">
        <v>26301</v>
      </c>
      <c r="K1103" s="1">
        <v>26457</v>
      </c>
      <c r="L1103" s="28">
        <v>156</v>
      </c>
      <c r="M1103" s="29">
        <v>265127</v>
      </c>
      <c r="N1103" s="30">
        <v>0</v>
      </c>
      <c r="O1103" s="30">
        <v>0</v>
      </c>
      <c r="P1103" s="30">
        <v>0</v>
      </c>
      <c r="Q1103" s="29">
        <v>0</v>
      </c>
      <c r="R1103" s="29">
        <v>265127</v>
      </c>
      <c r="S1103" s="29">
        <v>3000</v>
      </c>
      <c r="T1103" s="29">
        <f t="shared" si="68"/>
        <v>268127</v>
      </c>
    </row>
    <row r="1104" spans="1:20" ht="21" customHeight="1" x14ac:dyDescent="0.25">
      <c r="A1104" s="21">
        <v>76</v>
      </c>
      <c r="B1104" s="61" t="s">
        <v>2941</v>
      </c>
      <c r="C1104" s="62" t="s">
        <v>2942</v>
      </c>
      <c r="D1104" s="23" t="s">
        <v>30</v>
      </c>
      <c r="E1104" s="62" t="s">
        <v>2673</v>
      </c>
      <c r="F1104" s="63" t="s">
        <v>25</v>
      </c>
      <c r="G1104" s="76">
        <v>2200</v>
      </c>
      <c r="H1104" s="61" t="s">
        <v>26</v>
      </c>
      <c r="I1104" s="1" t="s">
        <v>2943</v>
      </c>
      <c r="J1104" s="1">
        <v>46546</v>
      </c>
      <c r="K1104" s="1">
        <v>46868</v>
      </c>
      <c r="L1104" s="28">
        <v>322</v>
      </c>
      <c r="M1104" s="29">
        <v>547249</v>
      </c>
      <c r="N1104" s="30">
        <v>0</v>
      </c>
      <c r="O1104" s="30">
        <v>0</v>
      </c>
      <c r="P1104" s="30">
        <v>0</v>
      </c>
      <c r="Q1104" s="29">
        <v>0</v>
      </c>
      <c r="R1104" s="29">
        <v>547249</v>
      </c>
      <c r="S1104" s="29">
        <v>3000</v>
      </c>
      <c r="T1104" s="29">
        <f t="shared" si="68"/>
        <v>550249</v>
      </c>
    </row>
    <row r="1105" spans="1:20" ht="21" customHeight="1" x14ac:dyDescent="0.25">
      <c r="A1105" s="21">
        <v>77</v>
      </c>
      <c r="B1105" s="61" t="s">
        <v>2944</v>
      </c>
      <c r="C1105" s="62" t="s">
        <v>2945</v>
      </c>
      <c r="D1105" s="23" t="s">
        <v>30</v>
      </c>
      <c r="E1105" s="62" t="s">
        <v>2946</v>
      </c>
      <c r="F1105" s="63" t="s">
        <v>25</v>
      </c>
      <c r="G1105" s="76">
        <v>5500</v>
      </c>
      <c r="H1105" s="61" t="s">
        <v>26</v>
      </c>
      <c r="I1105" s="1" t="s">
        <v>2947</v>
      </c>
      <c r="J1105" s="1">
        <v>62247</v>
      </c>
      <c r="K1105" s="1">
        <v>63544</v>
      </c>
      <c r="L1105" s="28">
        <v>1297</v>
      </c>
      <c r="M1105" s="29">
        <v>2204290</v>
      </c>
      <c r="N1105" s="30">
        <v>0</v>
      </c>
      <c r="O1105" s="30">
        <v>0</v>
      </c>
      <c r="P1105" s="30">
        <v>0</v>
      </c>
      <c r="Q1105" s="29">
        <v>0</v>
      </c>
      <c r="R1105" s="29">
        <v>2204290</v>
      </c>
      <c r="S1105" s="29">
        <v>3000</v>
      </c>
      <c r="T1105" s="29">
        <f t="shared" si="68"/>
        <v>2207290</v>
      </c>
    </row>
    <row r="1106" spans="1:20" ht="21" customHeight="1" x14ac:dyDescent="0.25">
      <c r="A1106" s="21">
        <v>78</v>
      </c>
      <c r="B1106" s="61" t="s">
        <v>2948</v>
      </c>
      <c r="C1106" s="62" t="s">
        <v>2949</v>
      </c>
      <c r="D1106" s="23" t="s">
        <v>30</v>
      </c>
      <c r="E1106" s="62" t="s">
        <v>2685</v>
      </c>
      <c r="F1106" s="63" t="s">
        <v>25</v>
      </c>
      <c r="G1106" s="76">
        <v>11000</v>
      </c>
      <c r="H1106" s="61" t="s">
        <v>26</v>
      </c>
      <c r="I1106" s="1" t="s">
        <v>2950</v>
      </c>
      <c r="J1106" s="1">
        <v>75405</v>
      </c>
      <c r="K1106" s="1">
        <v>76807</v>
      </c>
      <c r="L1106" s="28">
        <v>1402</v>
      </c>
      <c r="M1106" s="29">
        <v>2382741</v>
      </c>
      <c r="N1106" s="30">
        <v>0</v>
      </c>
      <c r="O1106" s="30">
        <v>0</v>
      </c>
      <c r="P1106" s="30">
        <v>0</v>
      </c>
      <c r="Q1106" s="29">
        <v>0</v>
      </c>
      <c r="R1106" s="29">
        <v>2382741</v>
      </c>
      <c r="S1106" s="29">
        <v>3000</v>
      </c>
      <c r="T1106" s="29">
        <f t="shared" si="68"/>
        <v>2385741</v>
      </c>
    </row>
    <row r="1107" spans="1:20" ht="21" customHeight="1" x14ac:dyDescent="0.25">
      <c r="A1107" s="21">
        <v>79</v>
      </c>
      <c r="B1107" s="61" t="s">
        <v>2951</v>
      </c>
      <c r="C1107" s="62" t="s">
        <v>2952</v>
      </c>
      <c r="D1107" s="23" t="s">
        <v>23</v>
      </c>
      <c r="E1107" s="62" t="s">
        <v>2953</v>
      </c>
      <c r="F1107" s="63" t="s">
        <v>25</v>
      </c>
      <c r="G1107" s="76">
        <v>5500</v>
      </c>
      <c r="H1107" s="61" t="s">
        <v>26</v>
      </c>
      <c r="I1107" s="1" t="s">
        <v>2954</v>
      </c>
      <c r="J1107" s="1">
        <v>36861</v>
      </c>
      <c r="K1107" s="1">
        <v>37188</v>
      </c>
      <c r="L1107" s="28">
        <v>327</v>
      </c>
      <c r="M1107" s="29">
        <v>555746</v>
      </c>
      <c r="N1107" s="30">
        <v>0</v>
      </c>
      <c r="O1107" s="30">
        <v>0</v>
      </c>
      <c r="P1107" s="30">
        <v>0</v>
      </c>
      <c r="Q1107" s="29">
        <v>0</v>
      </c>
      <c r="R1107" s="29">
        <v>555746</v>
      </c>
      <c r="S1107" s="29">
        <v>3000</v>
      </c>
      <c r="T1107" s="29">
        <f t="shared" si="68"/>
        <v>558746</v>
      </c>
    </row>
    <row r="1108" spans="1:20" ht="21" customHeight="1" x14ac:dyDescent="0.25">
      <c r="A1108" s="21">
        <v>80</v>
      </c>
      <c r="B1108" s="61" t="s">
        <v>2955</v>
      </c>
      <c r="C1108" s="62" t="s">
        <v>2956</v>
      </c>
      <c r="D1108" s="23" t="s">
        <v>30</v>
      </c>
      <c r="E1108" s="62" t="s">
        <v>2882</v>
      </c>
      <c r="F1108" s="63" t="s">
        <v>25</v>
      </c>
      <c r="G1108" s="76">
        <v>4400</v>
      </c>
      <c r="H1108" s="61" t="s">
        <v>26</v>
      </c>
      <c r="I1108" s="1" t="s">
        <v>2957</v>
      </c>
      <c r="J1108" s="1">
        <v>11076</v>
      </c>
      <c r="K1108" s="1">
        <v>12315</v>
      </c>
      <c r="L1108" s="28">
        <v>1239</v>
      </c>
      <c r="M1108" s="29">
        <v>2105718</v>
      </c>
      <c r="N1108" s="30">
        <v>0</v>
      </c>
      <c r="O1108" s="30">
        <v>0</v>
      </c>
      <c r="P1108" s="30">
        <v>0</v>
      </c>
      <c r="Q1108" s="29">
        <v>0</v>
      </c>
      <c r="R1108" s="29">
        <v>2105718</v>
      </c>
      <c r="S1108" s="29">
        <v>3000</v>
      </c>
      <c r="T1108" s="29">
        <f t="shared" si="68"/>
        <v>2108718</v>
      </c>
    </row>
    <row r="1109" spans="1:20" ht="21" customHeight="1" x14ac:dyDescent="0.25">
      <c r="A1109" s="21"/>
      <c r="B1109" s="61"/>
      <c r="C1109" s="62"/>
      <c r="D1109" s="23"/>
      <c r="E1109" s="62"/>
      <c r="F1109" s="63"/>
      <c r="G1109" s="76"/>
      <c r="H1109" s="61"/>
      <c r="I1109" s="1"/>
      <c r="J1109" s="1"/>
      <c r="K1109" s="1"/>
      <c r="L1109" s="28"/>
      <c r="M1109" s="29"/>
      <c r="N1109" s="30"/>
      <c r="O1109" s="30"/>
      <c r="P1109" s="30"/>
      <c r="Q1109" s="29"/>
      <c r="R1109" s="29"/>
      <c r="S1109" s="29"/>
      <c r="T1109" s="29"/>
    </row>
    <row r="1110" spans="1:20" ht="21" customHeight="1" x14ac:dyDescent="0.25">
      <c r="A1110" s="21"/>
      <c r="B1110" s="115"/>
      <c r="C1110" s="23"/>
      <c r="D1110" s="23"/>
      <c r="E1110" s="121" t="s">
        <v>179</v>
      </c>
      <c r="F1110" s="63"/>
      <c r="G1110" s="122">
        <v>496480</v>
      </c>
      <c r="H1110" s="61" t="s">
        <v>2958</v>
      </c>
      <c r="I1110" s="122">
        <v>0</v>
      </c>
      <c r="J1110" s="122"/>
      <c r="K1110" s="122"/>
      <c r="L1110" s="122">
        <v>149354</v>
      </c>
      <c r="M1110" s="123">
        <v>253831608</v>
      </c>
      <c r="N1110" s="124">
        <v>0</v>
      </c>
      <c r="O1110" s="124">
        <v>0</v>
      </c>
      <c r="P1110" s="124">
        <v>0</v>
      </c>
      <c r="Q1110" s="123">
        <f>SUM(Q1067:Q1109)</f>
        <v>100000</v>
      </c>
      <c r="R1110" s="123">
        <f t="shared" ref="R1110:T1110" si="69">SUM(R1067:R1109)</f>
        <v>253931608</v>
      </c>
      <c r="S1110" s="123">
        <f t="shared" si="69"/>
        <v>240000</v>
      </c>
      <c r="T1110" s="123">
        <f t="shared" si="69"/>
        <v>254171608</v>
      </c>
    </row>
    <row r="1111" spans="1:20" ht="21" customHeight="1" x14ac:dyDescent="0.25">
      <c r="A1111" s="96"/>
      <c r="B1111" s="116"/>
      <c r="C1111" s="94"/>
      <c r="D1111" s="94"/>
      <c r="E1111" s="94"/>
      <c r="G1111" s="38"/>
      <c r="H1111" s="38"/>
      <c r="L1111" s="41"/>
    </row>
    <row r="1112" spans="1:20" ht="21" customHeight="1" x14ac:dyDescent="0.25">
      <c r="B1112" s="97"/>
      <c r="L1112" s="41"/>
    </row>
    <row r="1113" spans="1:20" s="93" customFormat="1" ht="42" customHeight="1" x14ac:dyDescent="0.25">
      <c r="A1113" s="31" t="s">
        <v>4</v>
      </c>
      <c r="B1113" s="31" t="s">
        <v>5</v>
      </c>
      <c r="C1113" s="31" t="s">
        <v>6</v>
      </c>
      <c r="D1113" s="22"/>
      <c r="E1113" s="31" t="s">
        <v>7</v>
      </c>
      <c r="F1113" s="31" t="s">
        <v>8</v>
      </c>
      <c r="G1113" s="31" t="s">
        <v>9</v>
      </c>
      <c r="H1113" s="31" t="s">
        <v>10</v>
      </c>
      <c r="I1113" s="31" t="s">
        <v>11</v>
      </c>
      <c r="J1113" s="31" t="s">
        <v>12</v>
      </c>
      <c r="K1113" s="31" t="s">
        <v>13</v>
      </c>
      <c r="L1113" s="31" t="s">
        <v>14</v>
      </c>
      <c r="M1113" s="141" t="s">
        <v>15</v>
      </c>
      <c r="N1113" s="142" t="s">
        <v>16</v>
      </c>
      <c r="O1113" s="142" t="s">
        <v>17</v>
      </c>
      <c r="P1113" s="142" t="s">
        <v>18</v>
      </c>
      <c r="Q1113" s="141" t="s">
        <v>19</v>
      </c>
      <c r="R1113" s="141" t="s">
        <v>20</v>
      </c>
      <c r="S1113" s="141" t="s">
        <v>3655</v>
      </c>
      <c r="T1113" s="141" t="s">
        <v>3656</v>
      </c>
    </row>
    <row r="1114" spans="1:20" ht="21" customHeight="1" x14ac:dyDescent="0.25">
      <c r="A1114" s="21"/>
      <c r="B1114" s="61"/>
      <c r="C1114" s="62"/>
      <c r="D1114" s="23"/>
      <c r="E1114" s="62"/>
      <c r="F1114" s="63"/>
      <c r="G1114" s="76"/>
      <c r="H1114" s="61"/>
      <c r="I1114" s="1"/>
      <c r="J1114" s="1"/>
      <c r="K1114" s="1"/>
      <c r="L1114" s="28"/>
      <c r="M1114" s="29"/>
      <c r="N1114" s="30"/>
      <c r="O1114" s="30"/>
      <c r="P1114" s="30"/>
      <c r="Q1114" s="29"/>
      <c r="R1114" s="29"/>
      <c r="S1114" s="29"/>
      <c r="T1114" s="29"/>
    </row>
    <row r="1115" spans="1:20" ht="21" customHeight="1" x14ac:dyDescent="0.25">
      <c r="A1115" s="21"/>
      <c r="B1115" s="115"/>
      <c r="C1115" s="23"/>
      <c r="D1115" s="23"/>
      <c r="E1115" s="45" t="s">
        <v>181</v>
      </c>
      <c r="F1115" s="25"/>
      <c r="G1115" s="70">
        <v>496480</v>
      </c>
      <c r="H1115" s="70" t="s">
        <v>2958</v>
      </c>
      <c r="I1115" s="70">
        <v>0</v>
      </c>
      <c r="J1115" s="70"/>
      <c r="K1115" s="70"/>
      <c r="L1115" s="70">
        <v>149354</v>
      </c>
      <c r="M1115" s="47">
        <v>253831608</v>
      </c>
      <c r="N1115" s="48">
        <v>0</v>
      </c>
      <c r="O1115" s="48">
        <v>0</v>
      </c>
      <c r="P1115" s="48">
        <v>0</v>
      </c>
      <c r="Q1115" s="47">
        <f>Q1110</f>
        <v>100000</v>
      </c>
      <c r="R1115" s="47">
        <f t="shared" ref="R1115:T1115" si="70">R1110</f>
        <v>253931608</v>
      </c>
      <c r="S1115" s="47">
        <f t="shared" si="70"/>
        <v>240000</v>
      </c>
      <c r="T1115" s="47">
        <f t="shared" si="70"/>
        <v>254171608</v>
      </c>
    </row>
    <row r="1116" spans="1:20" ht="21" customHeight="1" x14ac:dyDescent="0.25">
      <c r="A1116" s="21">
        <v>81</v>
      </c>
      <c r="B1116" s="61" t="s">
        <v>2959</v>
      </c>
      <c r="C1116" s="62" t="s">
        <v>2960</v>
      </c>
      <c r="D1116" s="23" t="s">
        <v>30</v>
      </c>
      <c r="E1116" s="62" t="s">
        <v>2961</v>
      </c>
      <c r="F1116" s="63" t="s">
        <v>25</v>
      </c>
      <c r="G1116" s="76">
        <v>4400</v>
      </c>
      <c r="H1116" s="61" t="s">
        <v>26</v>
      </c>
      <c r="I1116" s="76" t="s">
        <v>2962</v>
      </c>
      <c r="J1116" s="76">
        <v>1</v>
      </c>
      <c r="K1116" s="76">
        <v>1</v>
      </c>
      <c r="L1116" s="125">
        <v>176</v>
      </c>
      <c r="M1116" s="29">
        <v>299117</v>
      </c>
      <c r="N1116" s="30">
        <v>0</v>
      </c>
      <c r="O1116" s="30">
        <v>0</v>
      </c>
      <c r="P1116" s="30">
        <v>0</v>
      </c>
      <c r="Q1116" s="29">
        <v>0</v>
      </c>
      <c r="R1116" s="29">
        <v>299117</v>
      </c>
      <c r="S1116" s="29">
        <v>3000</v>
      </c>
      <c r="T1116" s="29">
        <f t="shared" ref="T1116:T1155" si="71">R1116+S1116</f>
        <v>302117</v>
      </c>
    </row>
    <row r="1117" spans="1:20" ht="21" customHeight="1" x14ac:dyDescent="0.25">
      <c r="A1117" s="21">
        <v>82</v>
      </c>
      <c r="B1117" s="61" t="s">
        <v>2963</v>
      </c>
      <c r="C1117" s="62" t="s">
        <v>2964</v>
      </c>
      <c r="D1117" s="23" t="s">
        <v>30</v>
      </c>
      <c r="E1117" s="62" t="s">
        <v>2965</v>
      </c>
      <c r="F1117" s="63" t="s">
        <v>25</v>
      </c>
      <c r="G1117" s="76">
        <v>4400</v>
      </c>
      <c r="H1117" s="61" t="s">
        <v>26</v>
      </c>
      <c r="I1117" s="76" t="s">
        <v>2966</v>
      </c>
      <c r="J1117" s="76">
        <v>73450</v>
      </c>
      <c r="K1117" s="76">
        <v>73947</v>
      </c>
      <c r="L1117" s="125">
        <v>497</v>
      </c>
      <c r="M1117" s="29">
        <v>844666</v>
      </c>
      <c r="N1117" s="30">
        <v>0</v>
      </c>
      <c r="O1117" s="30">
        <v>0</v>
      </c>
      <c r="P1117" s="30">
        <v>0</v>
      </c>
      <c r="Q1117" s="29">
        <v>0</v>
      </c>
      <c r="R1117" s="29">
        <v>844666</v>
      </c>
      <c r="S1117" s="29">
        <v>3000</v>
      </c>
      <c r="T1117" s="29">
        <f t="shared" si="71"/>
        <v>847666</v>
      </c>
    </row>
    <row r="1118" spans="1:20" ht="21" customHeight="1" x14ac:dyDescent="0.25">
      <c r="A1118" s="21">
        <v>83</v>
      </c>
      <c r="B1118" s="61" t="s">
        <v>2967</v>
      </c>
      <c r="C1118" s="62" t="s">
        <v>2968</v>
      </c>
      <c r="D1118" s="23" t="s">
        <v>30</v>
      </c>
      <c r="E1118" s="62" t="s">
        <v>2969</v>
      </c>
      <c r="F1118" s="63" t="s">
        <v>25</v>
      </c>
      <c r="G1118" s="76">
        <v>4400</v>
      </c>
      <c r="H1118" s="61" t="s">
        <v>26</v>
      </c>
      <c r="I1118" s="76" t="s">
        <v>2970</v>
      </c>
      <c r="J1118" s="76">
        <v>91760</v>
      </c>
      <c r="K1118" s="76">
        <v>94206</v>
      </c>
      <c r="L1118" s="125">
        <v>2446</v>
      </c>
      <c r="M1118" s="29">
        <v>4157050</v>
      </c>
      <c r="N1118" s="30">
        <v>0</v>
      </c>
      <c r="O1118" s="30">
        <v>0</v>
      </c>
      <c r="P1118" s="30">
        <v>0</v>
      </c>
      <c r="Q1118" s="29">
        <v>0</v>
      </c>
      <c r="R1118" s="29">
        <v>4157050</v>
      </c>
      <c r="S1118" s="29">
        <v>3000</v>
      </c>
      <c r="T1118" s="29">
        <f t="shared" si="71"/>
        <v>4160050</v>
      </c>
    </row>
    <row r="1119" spans="1:20" ht="21" customHeight="1" x14ac:dyDescent="0.25">
      <c r="A1119" s="21">
        <v>84</v>
      </c>
      <c r="B1119" s="61" t="s">
        <v>2971</v>
      </c>
      <c r="C1119" s="62" t="s">
        <v>2972</v>
      </c>
      <c r="D1119" s="23" t="s">
        <v>30</v>
      </c>
      <c r="E1119" s="62" t="s">
        <v>2882</v>
      </c>
      <c r="F1119" s="63" t="s">
        <v>25</v>
      </c>
      <c r="G1119" s="76">
        <v>5500</v>
      </c>
      <c r="H1119" s="61" t="s">
        <v>26</v>
      </c>
      <c r="I1119" s="76" t="s">
        <v>2973</v>
      </c>
      <c r="J1119" s="76">
        <v>26146</v>
      </c>
      <c r="K1119" s="76">
        <v>27292</v>
      </c>
      <c r="L1119" s="125">
        <v>1146</v>
      </c>
      <c r="M1119" s="29">
        <v>1947661</v>
      </c>
      <c r="N1119" s="30">
        <v>0</v>
      </c>
      <c r="O1119" s="30">
        <v>0</v>
      </c>
      <c r="P1119" s="30">
        <v>0</v>
      </c>
      <c r="Q1119" s="29">
        <v>0</v>
      </c>
      <c r="R1119" s="29">
        <v>1947661</v>
      </c>
      <c r="S1119" s="29">
        <v>3000</v>
      </c>
      <c r="T1119" s="29">
        <f t="shared" si="71"/>
        <v>1950661</v>
      </c>
    </row>
    <row r="1120" spans="1:20" ht="21" customHeight="1" x14ac:dyDescent="0.25">
      <c r="A1120" s="21">
        <v>85</v>
      </c>
      <c r="B1120" s="61" t="s">
        <v>2974</v>
      </c>
      <c r="C1120" s="62" t="s">
        <v>2975</v>
      </c>
      <c r="D1120" s="23" t="s">
        <v>30</v>
      </c>
      <c r="E1120" s="62" t="s">
        <v>2976</v>
      </c>
      <c r="F1120" s="63" t="s">
        <v>25</v>
      </c>
      <c r="G1120" s="76">
        <v>4400</v>
      </c>
      <c r="H1120" s="61" t="s">
        <v>26</v>
      </c>
      <c r="I1120" s="76" t="s">
        <v>2977</v>
      </c>
      <c r="J1120" s="76">
        <v>367</v>
      </c>
      <c r="K1120" s="76">
        <v>1836</v>
      </c>
      <c r="L1120" s="125">
        <v>1469</v>
      </c>
      <c r="M1120" s="29">
        <v>2496610</v>
      </c>
      <c r="N1120" s="30">
        <v>0</v>
      </c>
      <c r="O1120" s="30">
        <v>0</v>
      </c>
      <c r="P1120" s="30">
        <v>0</v>
      </c>
      <c r="Q1120" s="29">
        <v>0</v>
      </c>
      <c r="R1120" s="29">
        <v>2496610</v>
      </c>
      <c r="S1120" s="29">
        <v>3000</v>
      </c>
      <c r="T1120" s="29">
        <f t="shared" si="71"/>
        <v>2499610</v>
      </c>
    </row>
    <row r="1121" spans="1:20" ht="21" customHeight="1" x14ac:dyDescent="0.25">
      <c r="A1121" s="21">
        <v>86</v>
      </c>
      <c r="B1121" s="61" t="s">
        <v>2978</v>
      </c>
      <c r="C1121" s="62" t="s">
        <v>2979</v>
      </c>
      <c r="D1121" s="23" t="s">
        <v>30</v>
      </c>
      <c r="E1121" s="62" t="s">
        <v>2980</v>
      </c>
      <c r="F1121" s="63" t="s">
        <v>25</v>
      </c>
      <c r="G1121" s="76">
        <v>5500</v>
      </c>
      <c r="H1121" s="61" t="s">
        <v>26</v>
      </c>
      <c r="I1121" s="76" t="s">
        <v>2981</v>
      </c>
      <c r="J1121" s="76">
        <v>60728</v>
      </c>
      <c r="K1121" s="76">
        <v>62028</v>
      </c>
      <c r="L1121" s="125">
        <v>1300</v>
      </c>
      <c r="M1121" s="29">
        <v>2209389</v>
      </c>
      <c r="N1121" s="30">
        <v>0</v>
      </c>
      <c r="O1121" s="30">
        <v>0</v>
      </c>
      <c r="P1121" s="30">
        <v>0</v>
      </c>
      <c r="Q1121" s="29">
        <v>0</v>
      </c>
      <c r="R1121" s="29">
        <v>2209389</v>
      </c>
      <c r="S1121" s="29">
        <v>3000</v>
      </c>
      <c r="T1121" s="29">
        <f t="shared" si="71"/>
        <v>2212389</v>
      </c>
    </row>
    <row r="1122" spans="1:20" ht="21" customHeight="1" x14ac:dyDescent="0.25">
      <c r="A1122" s="21">
        <v>87</v>
      </c>
      <c r="B1122" s="61" t="s">
        <v>2982</v>
      </c>
      <c r="C1122" s="62" t="s">
        <v>2983</v>
      </c>
      <c r="D1122" s="23" t="s">
        <v>30</v>
      </c>
      <c r="E1122" s="62" t="s">
        <v>2984</v>
      </c>
      <c r="F1122" s="63" t="s">
        <v>25</v>
      </c>
      <c r="G1122" s="76">
        <v>5500</v>
      </c>
      <c r="H1122" s="61" t="s">
        <v>26</v>
      </c>
      <c r="I1122" s="76" t="s">
        <v>2985</v>
      </c>
      <c r="J1122" s="76">
        <v>23610</v>
      </c>
      <c r="K1122" s="76">
        <v>24881</v>
      </c>
      <c r="L1122" s="125">
        <v>1271</v>
      </c>
      <c r="M1122" s="29">
        <v>2160103</v>
      </c>
      <c r="N1122" s="30">
        <v>0</v>
      </c>
      <c r="O1122" s="30">
        <v>0</v>
      </c>
      <c r="P1122" s="30">
        <v>0</v>
      </c>
      <c r="Q1122" s="29">
        <v>0</v>
      </c>
      <c r="R1122" s="29">
        <v>2160103</v>
      </c>
      <c r="S1122" s="29">
        <v>3000</v>
      </c>
      <c r="T1122" s="29">
        <f t="shared" si="71"/>
        <v>2163103</v>
      </c>
    </row>
    <row r="1123" spans="1:20" ht="21" customHeight="1" x14ac:dyDescent="0.25">
      <c r="A1123" s="21">
        <v>88</v>
      </c>
      <c r="B1123" s="61" t="s">
        <v>2986</v>
      </c>
      <c r="C1123" s="62" t="s">
        <v>2987</v>
      </c>
      <c r="D1123" s="23" t="s">
        <v>30</v>
      </c>
      <c r="E1123" s="62" t="s">
        <v>2886</v>
      </c>
      <c r="F1123" s="63" t="s">
        <v>25</v>
      </c>
      <c r="G1123" s="76">
        <v>5500</v>
      </c>
      <c r="H1123" s="61" t="s">
        <v>26</v>
      </c>
      <c r="I1123" s="76" t="s">
        <v>2988</v>
      </c>
      <c r="J1123" s="76">
        <v>93717</v>
      </c>
      <c r="K1123" s="76">
        <v>94555</v>
      </c>
      <c r="L1123" s="125">
        <v>838</v>
      </c>
      <c r="M1123" s="29">
        <v>1424206</v>
      </c>
      <c r="N1123" s="30">
        <v>0</v>
      </c>
      <c r="O1123" s="30">
        <v>0</v>
      </c>
      <c r="P1123" s="30">
        <v>0</v>
      </c>
      <c r="Q1123" s="29">
        <v>0</v>
      </c>
      <c r="R1123" s="29">
        <v>1424206</v>
      </c>
      <c r="S1123" s="29">
        <v>3000</v>
      </c>
      <c r="T1123" s="29">
        <f t="shared" si="71"/>
        <v>1427206</v>
      </c>
    </row>
    <row r="1124" spans="1:20" ht="21" customHeight="1" x14ac:dyDescent="0.25">
      <c r="A1124" s="21">
        <v>89</v>
      </c>
      <c r="B1124" s="61" t="s">
        <v>2989</v>
      </c>
      <c r="C1124" s="62" t="s">
        <v>2990</v>
      </c>
      <c r="D1124" s="23" t="s">
        <v>30</v>
      </c>
      <c r="E1124" s="62" t="s">
        <v>2886</v>
      </c>
      <c r="F1124" s="63" t="s">
        <v>25</v>
      </c>
      <c r="G1124" s="76">
        <v>5500</v>
      </c>
      <c r="H1124" s="61" t="s">
        <v>26</v>
      </c>
      <c r="I1124" s="76" t="s">
        <v>2991</v>
      </c>
      <c r="J1124" s="76">
        <v>83823</v>
      </c>
      <c r="K1124" s="76">
        <v>84694</v>
      </c>
      <c r="L1124" s="125">
        <v>871</v>
      </c>
      <c r="M1124" s="29">
        <v>1480291</v>
      </c>
      <c r="N1124" s="30">
        <v>0</v>
      </c>
      <c r="O1124" s="30">
        <v>0</v>
      </c>
      <c r="P1124" s="30">
        <v>0</v>
      </c>
      <c r="Q1124" s="29">
        <v>0</v>
      </c>
      <c r="R1124" s="29">
        <v>1480291</v>
      </c>
      <c r="S1124" s="29">
        <v>3000</v>
      </c>
      <c r="T1124" s="29">
        <f t="shared" si="71"/>
        <v>1483291</v>
      </c>
    </row>
    <row r="1125" spans="1:20" ht="21" customHeight="1" x14ac:dyDescent="0.25">
      <c r="A1125" s="21">
        <v>90</v>
      </c>
      <c r="B1125" s="61" t="s">
        <v>2992</v>
      </c>
      <c r="C1125" s="62" t="s">
        <v>2993</v>
      </c>
      <c r="D1125" s="23" t="s">
        <v>30</v>
      </c>
      <c r="E1125" s="62" t="s">
        <v>2994</v>
      </c>
      <c r="F1125" s="63" t="s">
        <v>25</v>
      </c>
      <c r="G1125" s="76">
        <v>4400</v>
      </c>
      <c r="H1125" s="61" t="s">
        <v>26</v>
      </c>
      <c r="I1125" s="76" t="s">
        <v>2995</v>
      </c>
      <c r="J1125" s="76">
        <v>52922</v>
      </c>
      <c r="K1125" s="76">
        <v>53692</v>
      </c>
      <c r="L1125" s="125">
        <v>770</v>
      </c>
      <c r="M1125" s="29">
        <v>1308638</v>
      </c>
      <c r="N1125" s="30">
        <v>0</v>
      </c>
      <c r="O1125" s="30">
        <v>0</v>
      </c>
      <c r="P1125" s="30">
        <v>0</v>
      </c>
      <c r="Q1125" s="29">
        <v>0</v>
      </c>
      <c r="R1125" s="29">
        <v>1308638</v>
      </c>
      <c r="S1125" s="29">
        <v>3000</v>
      </c>
      <c r="T1125" s="29">
        <f t="shared" si="71"/>
        <v>1311638</v>
      </c>
    </row>
    <row r="1126" spans="1:20" ht="21" customHeight="1" x14ac:dyDescent="0.25">
      <c r="A1126" s="21">
        <v>91</v>
      </c>
      <c r="B1126" s="61" t="s">
        <v>2996</v>
      </c>
      <c r="C1126" s="62" t="s">
        <v>2997</v>
      </c>
      <c r="D1126" s="23" t="s">
        <v>84</v>
      </c>
      <c r="E1126" s="62" t="s">
        <v>2998</v>
      </c>
      <c r="F1126" s="63" t="s">
        <v>25</v>
      </c>
      <c r="G1126" s="76">
        <v>4400</v>
      </c>
      <c r="H1126" s="61" t="s">
        <v>26</v>
      </c>
      <c r="I1126" s="76" t="s">
        <v>2999</v>
      </c>
      <c r="J1126" s="76">
        <v>81548</v>
      </c>
      <c r="K1126" s="76">
        <v>82585</v>
      </c>
      <c r="L1126" s="125">
        <v>1037</v>
      </c>
      <c r="M1126" s="29">
        <v>1762413</v>
      </c>
      <c r="N1126" s="30">
        <v>0</v>
      </c>
      <c r="O1126" s="30">
        <v>0</v>
      </c>
      <c r="P1126" s="30">
        <v>0</v>
      </c>
      <c r="Q1126" s="29">
        <v>0</v>
      </c>
      <c r="R1126" s="29">
        <v>1762413</v>
      </c>
      <c r="S1126" s="29">
        <v>3000</v>
      </c>
      <c r="T1126" s="29">
        <f t="shared" si="71"/>
        <v>1765413</v>
      </c>
    </row>
    <row r="1127" spans="1:20" ht="21" customHeight="1" x14ac:dyDescent="0.25">
      <c r="A1127" s="21">
        <v>92</v>
      </c>
      <c r="B1127" s="61" t="s">
        <v>3000</v>
      </c>
      <c r="C1127" s="62" t="s">
        <v>3001</v>
      </c>
      <c r="D1127" s="23" t="s">
        <v>84</v>
      </c>
      <c r="E1127" s="62" t="s">
        <v>3002</v>
      </c>
      <c r="F1127" s="63" t="s">
        <v>25</v>
      </c>
      <c r="G1127" s="76">
        <v>4400</v>
      </c>
      <c r="H1127" s="61" t="s">
        <v>26</v>
      </c>
      <c r="I1127" s="76" t="s">
        <v>3003</v>
      </c>
      <c r="J1127" s="76">
        <v>48840</v>
      </c>
      <c r="K1127" s="76">
        <v>49346</v>
      </c>
      <c r="L1127" s="125">
        <v>506</v>
      </c>
      <c r="M1127" s="29">
        <v>859962</v>
      </c>
      <c r="N1127" s="30">
        <v>0</v>
      </c>
      <c r="O1127" s="30">
        <v>0</v>
      </c>
      <c r="P1127" s="30">
        <v>0</v>
      </c>
      <c r="Q1127" s="29">
        <v>0</v>
      </c>
      <c r="R1127" s="29">
        <v>859962</v>
      </c>
      <c r="S1127" s="29">
        <v>3000</v>
      </c>
      <c r="T1127" s="29">
        <f t="shared" si="71"/>
        <v>862962</v>
      </c>
    </row>
    <row r="1128" spans="1:20" ht="21" customHeight="1" x14ac:dyDescent="0.25">
      <c r="A1128" s="21">
        <v>93</v>
      </c>
      <c r="B1128" s="61" t="s">
        <v>3004</v>
      </c>
      <c r="C1128" s="62" t="s">
        <v>3005</v>
      </c>
      <c r="D1128" s="23" t="s">
        <v>30</v>
      </c>
      <c r="E1128" s="62" t="s">
        <v>3006</v>
      </c>
      <c r="F1128" s="63" t="s">
        <v>25</v>
      </c>
      <c r="G1128" s="76">
        <v>7700</v>
      </c>
      <c r="H1128" s="61" t="s">
        <v>26</v>
      </c>
      <c r="I1128" s="76" t="s">
        <v>3007</v>
      </c>
      <c r="J1128" s="76">
        <v>17142</v>
      </c>
      <c r="K1128" s="76">
        <v>17456</v>
      </c>
      <c r="L1128" s="125">
        <v>314</v>
      </c>
      <c r="M1128" s="29">
        <v>533652</v>
      </c>
      <c r="N1128" s="30">
        <v>0</v>
      </c>
      <c r="O1128" s="30">
        <v>0</v>
      </c>
      <c r="P1128" s="30">
        <v>0</v>
      </c>
      <c r="Q1128" s="29">
        <v>0</v>
      </c>
      <c r="R1128" s="29">
        <v>533652</v>
      </c>
      <c r="S1128" s="29">
        <v>3000</v>
      </c>
      <c r="T1128" s="29">
        <f t="shared" si="71"/>
        <v>536652</v>
      </c>
    </row>
    <row r="1129" spans="1:20" ht="21" customHeight="1" x14ac:dyDescent="0.25">
      <c r="A1129" s="21">
        <v>94</v>
      </c>
      <c r="B1129" s="61" t="s">
        <v>3008</v>
      </c>
      <c r="C1129" s="62" t="s">
        <v>3009</v>
      </c>
      <c r="D1129" s="23" t="s">
        <v>23</v>
      </c>
      <c r="E1129" s="62" t="s">
        <v>3010</v>
      </c>
      <c r="F1129" s="63" t="s">
        <v>25</v>
      </c>
      <c r="G1129" s="76">
        <v>5500</v>
      </c>
      <c r="H1129" s="61" t="s">
        <v>26</v>
      </c>
      <c r="I1129" s="76" t="s">
        <v>3011</v>
      </c>
      <c r="J1129" s="76">
        <v>876</v>
      </c>
      <c r="K1129" s="76">
        <v>1620</v>
      </c>
      <c r="L1129" s="125">
        <v>744</v>
      </c>
      <c r="M1129" s="29">
        <v>1264450</v>
      </c>
      <c r="N1129" s="30">
        <v>0</v>
      </c>
      <c r="O1129" s="30">
        <v>0</v>
      </c>
      <c r="P1129" s="30">
        <v>0</v>
      </c>
      <c r="Q1129" s="29">
        <v>0</v>
      </c>
      <c r="R1129" s="29">
        <v>1264450</v>
      </c>
      <c r="S1129" s="29">
        <v>3000</v>
      </c>
      <c r="T1129" s="29">
        <f t="shared" si="71"/>
        <v>1267450</v>
      </c>
    </row>
    <row r="1130" spans="1:20" ht="21" customHeight="1" x14ac:dyDescent="0.25">
      <c r="A1130" s="21">
        <v>95</v>
      </c>
      <c r="B1130" s="61" t="s">
        <v>3012</v>
      </c>
      <c r="C1130" s="62" t="s">
        <v>3013</v>
      </c>
      <c r="D1130" s="23" t="s">
        <v>23</v>
      </c>
      <c r="E1130" s="62" t="s">
        <v>3014</v>
      </c>
      <c r="F1130" s="63" t="s">
        <v>25</v>
      </c>
      <c r="G1130" s="76">
        <v>11000</v>
      </c>
      <c r="H1130" s="61" t="s">
        <v>26</v>
      </c>
      <c r="I1130" s="76" t="s">
        <v>3015</v>
      </c>
      <c r="J1130" s="76">
        <v>37907</v>
      </c>
      <c r="K1130" s="76">
        <v>39393</v>
      </c>
      <c r="L1130" s="125">
        <v>1486</v>
      </c>
      <c r="M1130" s="29">
        <v>2525502</v>
      </c>
      <c r="N1130" s="30">
        <v>0</v>
      </c>
      <c r="O1130" s="30">
        <v>0</v>
      </c>
      <c r="P1130" s="30">
        <v>0</v>
      </c>
      <c r="Q1130" s="29">
        <v>0</v>
      </c>
      <c r="R1130" s="29">
        <v>2525502</v>
      </c>
      <c r="S1130" s="29">
        <v>3000</v>
      </c>
      <c r="T1130" s="29">
        <f t="shared" si="71"/>
        <v>2528502</v>
      </c>
    </row>
    <row r="1131" spans="1:20" ht="21" customHeight="1" x14ac:dyDescent="0.25">
      <c r="A1131" s="21">
        <v>96</v>
      </c>
      <c r="B1131" s="61" t="s">
        <v>3016</v>
      </c>
      <c r="C1131" s="62" t="s">
        <v>3017</v>
      </c>
      <c r="D1131" s="23" t="s">
        <v>23</v>
      </c>
      <c r="E1131" s="62" t="s">
        <v>3018</v>
      </c>
      <c r="F1131" s="63" t="s">
        <v>25</v>
      </c>
      <c r="G1131" s="76">
        <v>4400</v>
      </c>
      <c r="H1131" s="61" t="s">
        <v>26</v>
      </c>
      <c r="I1131" s="76" t="s">
        <v>3019</v>
      </c>
      <c r="J1131" s="76">
        <v>18615</v>
      </c>
      <c r="K1131" s="76">
        <v>19350</v>
      </c>
      <c r="L1131" s="125">
        <v>735</v>
      </c>
      <c r="M1131" s="29">
        <v>1249155</v>
      </c>
      <c r="N1131" s="30">
        <v>0</v>
      </c>
      <c r="O1131" s="30">
        <v>0</v>
      </c>
      <c r="P1131" s="30">
        <v>0</v>
      </c>
      <c r="Q1131" s="29">
        <v>0</v>
      </c>
      <c r="R1131" s="29">
        <v>1249155</v>
      </c>
      <c r="S1131" s="29">
        <v>3000</v>
      </c>
      <c r="T1131" s="29">
        <f t="shared" si="71"/>
        <v>1252155</v>
      </c>
    </row>
    <row r="1132" spans="1:20" ht="21" customHeight="1" x14ac:dyDescent="0.25">
      <c r="A1132" s="21">
        <v>97</v>
      </c>
      <c r="B1132" s="61" t="s">
        <v>3020</v>
      </c>
      <c r="C1132" s="62" t="s">
        <v>3021</v>
      </c>
      <c r="D1132" s="23" t="s">
        <v>23</v>
      </c>
      <c r="E1132" s="62" t="s">
        <v>3022</v>
      </c>
      <c r="F1132" s="63" t="s">
        <v>25</v>
      </c>
      <c r="G1132" s="76">
        <v>11000</v>
      </c>
      <c r="H1132" s="61" t="s">
        <v>26</v>
      </c>
      <c r="I1132" s="76" t="s">
        <v>3023</v>
      </c>
      <c r="J1132" s="76">
        <v>62132</v>
      </c>
      <c r="K1132" s="76">
        <v>63774</v>
      </c>
      <c r="L1132" s="125">
        <v>1642</v>
      </c>
      <c r="M1132" s="29">
        <v>2790628</v>
      </c>
      <c r="N1132" s="30">
        <v>0</v>
      </c>
      <c r="O1132" s="30">
        <v>0</v>
      </c>
      <c r="P1132" s="30">
        <v>0</v>
      </c>
      <c r="Q1132" s="29">
        <v>0</v>
      </c>
      <c r="R1132" s="29">
        <v>2790628</v>
      </c>
      <c r="S1132" s="29">
        <v>3000</v>
      </c>
      <c r="T1132" s="29">
        <f t="shared" si="71"/>
        <v>2793628</v>
      </c>
    </row>
    <row r="1133" spans="1:20" ht="21" customHeight="1" x14ac:dyDescent="0.25">
      <c r="A1133" s="21">
        <v>98</v>
      </c>
      <c r="B1133" s="61" t="s">
        <v>3024</v>
      </c>
      <c r="C1133" s="62" t="s">
        <v>3025</v>
      </c>
      <c r="D1133" s="23" t="s">
        <v>30</v>
      </c>
      <c r="E1133" s="62" t="s">
        <v>3026</v>
      </c>
      <c r="F1133" s="63" t="s">
        <v>25</v>
      </c>
      <c r="G1133" s="76">
        <v>7700</v>
      </c>
      <c r="H1133" s="61" t="s">
        <v>26</v>
      </c>
      <c r="I1133" s="76" t="s">
        <v>3027</v>
      </c>
      <c r="J1133" s="76">
        <v>43665</v>
      </c>
      <c r="K1133" s="76">
        <v>44162</v>
      </c>
      <c r="L1133" s="125">
        <v>497</v>
      </c>
      <c r="M1133" s="29">
        <v>844666</v>
      </c>
      <c r="N1133" s="30">
        <v>0</v>
      </c>
      <c r="O1133" s="30">
        <v>0</v>
      </c>
      <c r="P1133" s="30">
        <v>0</v>
      </c>
      <c r="Q1133" s="29">
        <v>0</v>
      </c>
      <c r="R1133" s="29">
        <v>844666</v>
      </c>
      <c r="S1133" s="29">
        <v>3000</v>
      </c>
      <c r="T1133" s="29">
        <f t="shared" si="71"/>
        <v>847666</v>
      </c>
    </row>
    <row r="1134" spans="1:20" ht="21" customHeight="1" x14ac:dyDescent="0.25">
      <c r="A1134" s="21">
        <v>99</v>
      </c>
      <c r="B1134" s="61" t="s">
        <v>3028</v>
      </c>
      <c r="C1134" s="62" t="s">
        <v>3029</v>
      </c>
      <c r="D1134" s="23" t="s">
        <v>84</v>
      </c>
      <c r="E1134" s="62" t="s">
        <v>2841</v>
      </c>
      <c r="F1134" s="63" t="s">
        <v>25</v>
      </c>
      <c r="G1134" s="76">
        <v>3500</v>
      </c>
      <c r="H1134" s="61" t="s">
        <v>26</v>
      </c>
      <c r="I1134" s="76" t="s">
        <v>3030</v>
      </c>
      <c r="J1134" s="76">
        <v>42102</v>
      </c>
      <c r="K1134" s="76">
        <v>42484</v>
      </c>
      <c r="L1134" s="125">
        <v>382</v>
      </c>
      <c r="M1134" s="29">
        <v>649220</v>
      </c>
      <c r="N1134" s="30">
        <v>0</v>
      </c>
      <c r="O1134" s="30">
        <v>0</v>
      </c>
      <c r="P1134" s="30">
        <v>0</v>
      </c>
      <c r="Q1134" s="29">
        <v>0</v>
      </c>
      <c r="R1134" s="29">
        <v>649220</v>
      </c>
      <c r="S1134" s="29">
        <v>3000</v>
      </c>
      <c r="T1134" s="29">
        <f t="shared" si="71"/>
        <v>652220</v>
      </c>
    </row>
    <row r="1135" spans="1:20" ht="21" customHeight="1" x14ac:dyDescent="0.25">
      <c r="A1135" s="21">
        <v>100</v>
      </c>
      <c r="B1135" s="61" t="s">
        <v>3031</v>
      </c>
      <c r="C1135" s="62" t="s">
        <v>3032</v>
      </c>
      <c r="D1135" s="23" t="s">
        <v>30</v>
      </c>
      <c r="E1135" s="62" t="s">
        <v>3033</v>
      </c>
      <c r="F1135" s="63" t="s">
        <v>25</v>
      </c>
      <c r="G1135" s="76">
        <v>4400</v>
      </c>
      <c r="H1135" s="61" t="s">
        <v>26</v>
      </c>
      <c r="I1135" s="76" t="s">
        <v>3034</v>
      </c>
      <c r="J1135" s="76">
        <v>9247</v>
      </c>
      <c r="K1135" s="76">
        <v>9259</v>
      </c>
      <c r="L1135" s="125">
        <v>176</v>
      </c>
      <c r="M1135" s="29">
        <v>299117</v>
      </c>
      <c r="N1135" s="30">
        <v>0</v>
      </c>
      <c r="O1135" s="30">
        <v>0</v>
      </c>
      <c r="P1135" s="30">
        <v>0</v>
      </c>
      <c r="Q1135" s="29">
        <v>0</v>
      </c>
      <c r="R1135" s="29">
        <v>299117</v>
      </c>
      <c r="S1135" s="29">
        <v>3000</v>
      </c>
      <c r="T1135" s="29">
        <f t="shared" si="71"/>
        <v>302117</v>
      </c>
    </row>
    <row r="1136" spans="1:20" ht="21" customHeight="1" x14ac:dyDescent="0.25">
      <c r="A1136" s="21">
        <v>101</v>
      </c>
      <c r="B1136" s="61" t="s">
        <v>3035</v>
      </c>
      <c r="C1136" s="62" t="s">
        <v>3036</v>
      </c>
      <c r="D1136" s="23" t="s">
        <v>30</v>
      </c>
      <c r="E1136" s="62" t="s">
        <v>3037</v>
      </c>
      <c r="F1136" s="63" t="s">
        <v>25</v>
      </c>
      <c r="G1136" s="76">
        <v>4400</v>
      </c>
      <c r="H1136" s="61" t="s">
        <v>26</v>
      </c>
      <c r="I1136" s="76" t="s">
        <v>3038</v>
      </c>
      <c r="J1136" s="76">
        <v>15773</v>
      </c>
      <c r="K1136" s="76">
        <v>16011</v>
      </c>
      <c r="L1136" s="125">
        <v>238</v>
      </c>
      <c r="M1136" s="29">
        <v>404488</v>
      </c>
      <c r="N1136" s="30">
        <v>0</v>
      </c>
      <c r="O1136" s="30">
        <v>0</v>
      </c>
      <c r="P1136" s="30">
        <v>0</v>
      </c>
      <c r="Q1136" s="29">
        <v>0</v>
      </c>
      <c r="R1136" s="29">
        <v>404488</v>
      </c>
      <c r="S1136" s="29">
        <v>3000</v>
      </c>
      <c r="T1136" s="29">
        <f t="shared" si="71"/>
        <v>407488</v>
      </c>
    </row>
    <row r="1137" spans="1:20" ht="21" customHeight="1" x14ac:dyDescent="0.25">
      <c r="A1137" s="21">
        <v>102</v>
      </c>
      <c r="B1137" s="61" t="s">
        <v>3039</v>
      </c>
      <c r="C1137" s="62" t="s">
        <v>3040</v>
      </c>
      <c r="D1137" s="23" t="s">
        <v>30</v>
      </c>
      <c r="E1137" s="62" t="s">
        <v>3037</v>
      </c>
      <c r="F1137" s="63" t="s">
        <v>25</v>
      </c>
      <c r="G1137" s="76">
        <v>4400</v>
      </c>
      <c r="H1137" s="61" t="s">
        <v>26</v>
      </c>
      <c r="I1137" s="76" t="s">
        <v>3041</v>
      </c>
      <c r="J1137" s="76">
        <v>15063</v>
      </c>
      <c r="K1137" s="76">
        <v>15327</v>
      </c>
      <c r="L1137" s="125">
        <v>264</v>
      </c>
      <c r="M1137" s="29">
        <v>448676</v>
      </c>
      <c r="N1137" s="30">
        <v>0</v>
      </c>
      <c r="O1137" s="30">
        <v>0</v>
      </c>
      <c r="P1137" s="30">
        <v>0</v>
      </c>
      <c r="Q1137" s="29">
        <v>0</v>
      </c>
      <c r="R1137" s="29">
        <v>448676</v>
      </c>
      <c r="S1137" s="29">
        <v>3000</v>
      </c>
      <c r="T1137" s="29">
        <f t="shared" si="71"/>
        <v>451676</v>
      </c>
    </row>
    <row r="1138" spans="1:20" ht="21" customHeight="1" x14ac:dyDescent="0.25">
      <c r="A1138" s="21">
        <v>103</v>
      </c>
      <c r="B1138" s="61" t="s">
        <v>3042</v>
      </c>
      <c r="C1138" s="62" t="s">
        <v>3043</v>
      </c>
      <c r="D1138" s="23" t="s">
        <v>30</v>
      </c>
      <c r="E1138" s="62" t="s">
        <v>2677</v>
      </c>
      <c r="F1138" s="63" t="s">
        <v>25</v>
      </c>
      <c r="G1138" s="76">
        <v>5500</v>
      </c>
      <c r="H1138" s="61" t="s">
        <v>26</v>
      </c>
      <c r="I1138" s="76" t="s">
        <v>3044</v>
      </c>
      <c r="J1138" s="76">
        <v>89293</v>
      </c>
      <c r="K1138" s="76">
        <v>90004</v>
      </c>
      <c r="L1138" s="125">
        <v>711</v>
      </c>
      <c r="M1138" s="29">
        <v>1208366</v>
      </c>
      <c r="N1138" s="30">
        <v>0</v>
      </c>
      <c r="O1138" s="30">
        <v>0</v>
      </c>
      <c r="P1138" s="30">
        <v>0</v>
      </c>
      <c r="Q1138" s="29">
        <v>0</v>
      </c>
      <c r="R1138" s="29">
        <v>1208366</v>
      </c>
      <c r="S1138" s="29">
        <v>3000</v>
      </c>
      <c r="T1138" s="29">
        <f t="shared" si="71"/>
        <v>1211366</v>
      </c>
    </row>
    <row r="1139" spans="1:20" ht="21" customHeight="1" x14ac:dyDescent="0.25">
      <c r="A1139" s="21">
        <v>104</v>
      </c>
      <c r="B1139" s="61" t="s">
        <v>3045</v>
      </c>
      <c r="C1139" s="62" t="s">
        <v>3046</v>
      </c>
      <c r="D1139" s="23" t="s">
        <v>84</v>
      </c>
      <c r="E1139" s="62" t="s">
        <v>3006</v>
      </c>
      <c r="F1139" s="63" t="s">
        <v>25</v>
      </c>
      <c r="G1139" s="76">
        <v>4400</v>
      </c>
      <c r="H1139" s="61" t="s">
        <v>26</v>
      </c>
      <c r="I1139" s="76" t="s">
        <v>3047</v>
      </c>
      <c r="J1139" s="76">
        <v>3027</v>
      </c>
      <c r="K1139" s="76">
        <v>3079</v>
      </c>
      <c r="L1139" s="125">
        <v>176</v>
      </c>
      <c r="M1139" s="29">
        <v>299117</v>
      </c>
      <c r="N1139" s="30">
        <v>0</v>
      </c>
      <c r="O1139" s="30">
        <v>0</v>
      </c>
      <c r="P1139" s="30">
        <v>0</v>
      </c>
      <c r="Q1139" s="29">
        <v>0</v>
      </c>
      <c r="R1139" s="29">
        <v>299117</v>
      </c>
      <c r="S1139" s="29">
        <v>3000</v>
      </c>
      <c r="T1139" s="29">
        <f t="shared" si="71"/>
        <v>302117</v>
      </c>
    </row>
    <row r="1140" spans="1:20" ht="21" customHeight="1" x14ac:dyDescent="0.25">
      <c r="A1140" s="21">
        <v>105</v>
      </c>
      <c r="B1140" s="61" t="s">
        <v>3048</v>
      </c>
      <c r="C1140" s="62" t="s">
        <v>3049</v>
      </c>
      <c r="D1140" s="23" t="s">
        <v>30</v>
      </c>
      <c r="E1140" s="62" t="s">
        <v>3050</v>
      </c>
      <c r="F1140" s="63" t="s">
        <v>25</v>
      </c>
      <c r="G1140" s="76">
        <v>4400</v>
      </c>
      <c r="H1140" s="61" t="s">
        <v>26</v>
      </c>
      <c r="I1140" s="76" t="s">
        <v>3051</v>
      </c>
      <c r="J1140" s="76">
        <v>1785</v>
      </c>
      <c r="K1140" s="76">
        <v>1828</v>
      </c>
      <c r="L1140" s="125">
        <v>176</v>
      </c>
      <c r="M1140" s="29">
        <v>299117</v>
      </c>
      <c r="N1140" s="30">
        <v>0</v>
      </c>
      <c r="O1140" s="30">
        <v>0</v>
      </c>
      <c r="P1140" s="30">
        <v>0</v>
      </c>
      <c r="Q1140" s="29">
        <v>0</v>
      </c>
      <c r="R1140" s="29">
        <v>299117</v>
      </c>
      <c r="S1140" s="29">
        <v>3000</v>
      </c>
      <c r="T1140" s="29">
        <f t="shared" si="71"/>
        <v>302117</v>
      </c>
    </row>
    <row r="1141" spans="1:20" ht="21" customHeight="1" x14ac:dyDescent="0.25">
      <c r="A1141" s="21">
        <v>106</v>
      </c>
      <c r="B1141" s="61" t="s">
        <v>3052</v>
      </c>
      <c r="C1141" s="62" t="s">
        <v>3053</v>
      </c>
      <c r="D1141" s="23" t="s">
        <v>30</v>
      </c>
      <c r="E1141" s="62" t="s">
        <v>2769</v>
      </c>
      <c r="F1141" s="63" t="s">
        <v>25</v>
      </c>
      <c r="G1141" s="76">
        <v>2200</v>
      </c>
      <c r="H1141" s="61" t="s">
        <v>26</v>
      </c>
      <c r="I1141" s="76" t="s">
        <v>3054</v>
      </c>
      <c r="J1141" s="76">
        <v>29379</v>
      </c>
      <c r="K1141" s="76">
        <v>30805</v>
      </c>
      <c r="L1141" s="125">
        <v>1426</v>
      </c>
      <c r="M1141" s="29">
        <v>2423530</v>
      </c>
      <c r="N1141" s="30">
        <v>0</v>
      </c>
      <c r="O1141" s="30">
        <v>0</v>
      </c>
      <c r="P1141" s="30">
        <v>0</v>
      </c>
      <c r="Q1141" s="29">
        <v>0</v>
      </c>
      <c r="R1141" s="29">
        <v>2423530</v>
      </c>
      <c r="S1141" s="29">
        <v>3000</v>
      </c>
      <c r="T1141" s="29">
        <f t="shared" si="71"/>
        <v>2426530</v>
      </c>
    </row>
    <row r="1142" spans="1:20" ht="21" customHeight="1" x14ac:dyDescent="0.25">
      <c r="A1142" s="21">
        <v>107</v>
      </c>
      <c r="B1142" s="61" t="s">
        <v>3055</v>
      </c>
      <c r="C1142" s="62" t="s">
        <v>3056</v>
      </c>
      <c r="D1142" s="23" t="s">
        <v>30</v>
      </c>
      <c r="E1142" s="62" t="s">
        <v>3057</v>
      </c>
      <c r="F1142" s="63" t="s">
        <v>25</v>
      </c>
      <c r="G1142" s="76">
        <v>4400</v>
      </c>
      <c r="H1142" s="61" t="s">
        <v>26</v>
      </c>
      <c r="I1142" s="76" t="s">
        <v>3058</v>
      </c>
      <c r="J1142" s="76">
        <v>30758</v>
      </c>
      <c r="K1142" s="76">
        <v>32288</v>
      </c>
      <c r="L1142" s="125">
        <v>1530</v>
      </c>
      <c r="M1142" s="29">
        <v>2600281</v>
      </c>
      <c r="N1142" s="30">
        <v>0</v>
      </c>
      <c r="O1142" s="30">
        <v>0</v>
      </c>
      <c r="P1142" s="30">
        <v>0</v>
      </c>
      <c r="Q1142" s="29">
        <v>0</v>
      </c>
      <c r="R1142" s="29">
        <v>2600281</v>
      </c>
      <c r="S1142" s="29">
        <v>3000</v>
      </c>
      <c r="T1142" s="29">
        <f t="shared" si="71"/>
        <v>2603281</v>
      </c>
    </row>
    <row r="1143" spans="1:20" ht="21" customHeight="1" x14ac:dyDescent="0.25">
      <c r="A1143" s="21">
        <v>108</v>
      </c>
      <c r="B1143" s="61" t="s">
        <v>3059</v>
      </c>
      <c r="C1143" s="62" t="s">
        <v>3060</v>
      </c>
      <c r="D1143" s="23" t="s">
        <v>30</v>
      </c>
      <c r="E1143" s="62" t="s">
        <v>3057</v>
      </c>
      <c r="F1143" s="63" t="s">
        <v>25</v>
      </c>
      <c r="G1143" s="76">
        <v>4400</v>
      </c>
      <c r="H1143" s="61" t="s">
        <v>26</v>
      </c>
      <c r="I1143" s="76" t="s">
        <v>3061</v>
      </c>
      <c r="J1143" s="76">
        <v>3771</v>
      </c>
      <c r="K1143" s="76">
        <v>4922</v>
      </c>
      <c r="L1143" s="125">
        <v>1151</v>
      </c>
      <c r="M1143" s="29">
        <v>1956159</v>
      </c>
      <c r="N1143" s="30">
        <v>0</v>
      </c>
      <c r="O1143" s="30">
        <v>0</v>
      </c>
      <c r="P1143" s="30">
        <v>0</v>
      </c>
      <c r="Q1143" s="29">
        <v>0</v>
      </c>
      <c r="R1143" s="29">
        <v>1956159</v>
      </c>
      <c r="S1143" s="29">
        <v>3000</v>
      </c>
      <c r="T1143" s="29">
        <f t="shared" si="71"/>
        <v>1959159</v>
      </c>
    </row>
    <row r="1144" spans="1:20" ht="21" customHeight="1" x14ac:dyDescent="0.25">
      <c r="A1144" s="21">
        <v>109</v>
      </c>
      <c r="B1144" s="61" t="s">
        <v>3062</v>
      </c>
      <c r="C1144" s="62" t="s">
        <v>3063</v>
      </c>
      <c r="D1144" s="23" t="s">
        <v>30</v>
      </c>
      <c r="E1144" s="62" t="s">
        <v>3064</v>
      </c>
      <c r="F1144" s="63" t="s">
        <v>25</v>
      </c>
      <c r="G1144" s="76">
        <v>4400</v>
      </c>
      <c r="H1144" s="61" t="s">
        <v>26</v>
      </c>
      <c r="I1144" s="76" t="s">
        <v>3065</v>
      </c>
      <c r="J1144" s="76">
        <v>13998</v>
      </c>
      <c r="K1144" s="76">
        <v>15399</v>
      </c>
      <c r="L1144" s="125">
        <v>1401</v>
      </c>
      <c r="M1144" s="29">
        <v>2381042</v>
      </c>
      <c r="N1144" s="30">
        <v>0</v>
      </c>
      <c r="O1144" s="30">
        <v>0</v>
      </c>
      <c r="P1144" s="30">
        <v>0</v>
      </c>
      <c r="Q1144" s="29">
        <v>0</v>
      </c>
      <c r="R1144" s="29">
        <v>2381042</v>
      </c>
      <c r="S1144" s="29">
        <v>3000</v>
      </c>
      <c r="T1144" s="29">
        <f t="shared" si="71"/>
        <v>2384042</v>
      </c>
    </row>
    <row r="1145" spans="1:20" ht="21" customHeight="1" x14ac:dyDescent="0.25">
      <c r="A1145" s="21">
        <v>110</v>
      </c>
      <c r="B1145" s="61" t="s">
        <v>3066</v>
      </c>
      <c r="C1145" s="62" t="s">
        <v>3067</v>
      </c>
      <c r="D1145" s="23" t="s">
        <v>30</v>
      </c>
      <c r="E1145" s="62" t="s">
        <v>3068</v>
      </c>
      <c r="F1145" s="63" t="s">
        <v>25</v>
      </c>
      <c r="G1145" s="76">
        <v>4400</v>
      </c>
      <c r="H1145" s="61" t="s">
        <v>26</v>
      </c>
      <c r="I1145" s="76" t="s">
        <v>3069</v>
      </c>
      <c r="J1145" s="76">
        <v>24585</v>
      </c>
      <c r="K1145" s="76">
        <v>25594</v>
      </c>
      <c r="L1145" s="125">
        <v>1009</v>
      </c>
      <c r="M1145" s="29">
        <v>1714826</v>
      </c>
      <c r="N1145" s="30">
        <v>0</v>
      </c>
      <c r="O1145" s="30">
        <v>0</v>
      </c>
      <c r="P1145" s="30">
        <v>0</v>
      </c>
      <c r="Q1145" s="29">
        <v>0</v>
      </c>
      <c r="R1145" s="29">
        <v>1714826</v>
      </c>
      <c r="S1145" s="29">
        <v>3000</v>
      </c>
      <c r="T1145" s="29">
        <f t="shared" si="71"/>
        <v>1717826</v>
      </c>
    </row>
    <row r="1146" spans="1:20" ht="21" customHeight="1" x14ac:dyDescent="0.25">
      <c r="A1146" s="21">
        <v>111</v>
      </c>
      <c r="B1146" s="61" t="s">
        <v>3070</v>
      </c>
      <c r="C1146" s="62" t="s">
        <v>3071</v>
      </c>
      <c r="D1146" s="23" t="s">
        <v>30</v>
      </c>
      <c r="E1146" s="62" t="s">
        <v>111</v>
      </c>
      <c r="F1146" s="63" t="s">
        <v>25</v>
      </c>
      <c r="G1146" s="76">
        <v>4400</v>
      </c>
      <c r="H1146" s="61" t="s">
        <v>26</v>
      </c>
      <c r="I1146" s="76" t="s">
        <v>3072</v>
      </c>
      <c r="J1146" s="76">
        <v>76530</v>
      </c>
      <c r="K1146" s="76">
        <v>77506</v>
      </c>
      <c r="L1146" s="125">
        <v>976</v>
      </c>
      <c r="M1146" s="29">
        <v>1658741</v>
      </c>
      <c r="N1146" s="30">
        <v>0</v>
      </c>
      <c r="O1146" s="30">
        <v>0</v>
      </c>
      <c r="P1146" s="30">
        <v>0</v>
      </c>
      <c r="Q1146" s="29">
        <v>0</v>
      </c>
      <c r="R1146" s="29">
        <v>1658741</v>
      </c>
      <c r="S1146" s="29">
        <v>3000</v>
      </c>
      <c r="T1146" s="29">
        <f t="shared" si="71"/>
        <v>1661741</v>
      </c>
    </row>
    <row r="1147" spans="1:20" ht="21" customHeight="1" x14ac:dyDescent="0.25">
      <c r="A1147" s="21">
        <v>112</v>
      </c>
      <c r="B1147" s="61" t="s">
        <v>3073</v>
      </c>
      <c r="C1147" s="62" t="s">
        <v>3074</v>
      </c>
      <c r="D1147" s="23" t="s">
        <v>30</v>
      </c>
      <c r="E1147" s="62" t="s">
        <v>111</v>
      </c>
      <c r="F1147" s="63" t="s">
        <v>25</v>
      </c>
      <c r="G1147" s="76">
        <v>4400</v>
      </c>
      <c r="H1147" s="61" t="s">
        <v>26</v>
      </c>
      <c r="I1147" s="76" t="s">
        <v>3075</v>
      </c>
      <c r="J1147" s="76">
        <v>83624</v>
      </c>
      <c r="K1147" s="76">
        <v>84754</v>
      </c>
      <c r="L1147" s="125">
        <v>1130</v>
      </c>
      <c r="M1147" s="29">
        <v>1920469</v>
      </c>
      <c r="N1147" s="30">
        <v>0</v>
      </c>
      <c r="O1147" s="30">
        <v>0</v>
      </c>
      <c r="P1147" s="30">
        <v>0</v>
      </c>
      <c r="Q1147" s="29">
        <v>0</v>
      </c>
      <c r="R1147" s="29">
        <v>1920469</v>
      </c>
      <c r="S1147" s="29">
        <v>3000</v>
      </c>
      <c r="T1147" s="29">
        <f t="shared" si="71"/>
        <v>1923469</v>
      </c>
    </row>
    <row r="1148" spans="1:20" ht="21" customHeight="1" x14ac:dyDescent="0.25">
      <c r="A1148" s="21">
        <v>113</v>
      </c>
      <c r="B1148" s="61" t="s">
        <v>3076</v>
      </c>
      <c r="C1148" s="62" t="s">
        <v>3077</v>
      </c>
      <c r="D1148" s="23" t="s">
        <v>30</v>
      </c>
      <c r="E1148" s="62" t="s">
        <v>3078</v>
      </c>
      <c r="F1148" s="63" t="s">
        <v>25</v>
      </c>
      <c r="G1148" s="76">
        <v>4400</v>
      </c>
      <c r="H1148" s="61" t="s">
        <v>26</v>
      </c>
      <c r="I1148" s="76" t="s">
        <v>3079</v>
      </c>
      <c r="J1148" s="76">
        <v>91</v>
      </c>
      <c r="K1148" s="76">
        <v>91</v>
      </c>
      <c r="L1148" s="125">
        <v>176</v>
      </c>
      <c r="M1148" s="29">
        <v>299117</v>
      </c>
      <c r="N1148" s="30">
        <v>0</v>
      </c>
      <c r="O1148" s="30">
        <v>0</v>
      </c>
      <c r="P1148" s="30">
        <v>0</v>
      </c>
      <c r="Q1148" s="29">
        <v>0</v>
      </c>
      <c r="R1148" s="29">
        <v>299117</v>
      </c>
      <c r="S1148" s="29">
        <v>3000</v>
      </c>
      <c r="T1148" s="29">
        <f t="shared" si="71"/>
        <v>302117</v>
      </c>
    </row>
    <row r="1149" spans="1:20" ht="21" customHeight="1" x14ac:dyDescent="0.25">
      <c r="A1149" s="21">
        <v>114</v>
      </c>
      <c r="B1149" s="61" t="s">
        <v>3080</v>
      </c>
      <c r="C1149" s="62" t="s">
        <v>3081</v>
      </c>
      <c r="D1149" s="23" t="s">
        <v>30</v>
      </c>
      <c r="E1149" s="62" t="s">
        <v>3082</v>
      </c>
      <c r="F1149" s="63" t="s">
        <v>25</v>
      </c>
      <c r="G1149" s="76">
        <v>4400</v>
      </c>
      <c r="H1149" s="61" t="s">
        <v>26</v>
      </c>
      <c r="I1149" s="76" t="s">
        <v>3083</v>
      </c>
      <c r="J1149" s="76">
        <v>43524</v>
      </c>
      <c r="K1149" s="76">
        <v>43846</v>
      </c>
      <c r="L1149" s="125">
        <v>322</v>
      </c>
      <c r="M1149" s="29">
        <v>547249</v>
      </c>
      <c r="N1149" s="30">
        <v>0</v>
      </c>
      <c r="O1149" s="30">
        <v>0</v>
      </c>
      <c r="P1149" s="30">
        <v>0</v>
      </c>
      <c r="Q1149" s="29">
        <v>0</v>
      </c>
      <c r="R1149" s="29">
        <v>547249</v>
      </c>
      <c r="S1149" s="29">
        <v>3000</v>
      </c>
      <c r="T1149" s="29">
        <f t="shared" si="71"/>
        <v>550249</v>
      </c>
    </row>
    <row r="1150" spans="1:20" ht="21" customHeight="1" x14ac:dyDescent="0.25">
      <c r="A1150" s="21">
        <v>115</v>
      </c>
      <c r="B1150" s="61" t="s">
        <v>3084</v>
      </c>
      <c r="C1150" s="62" t="s">
        <v>3085</v>
      </c>
      <c r="D1150" s="23" t="s">
        <v>30</v>
      </c>
      <c r="E1150" s="62" t="s">
        <v>3086</v>
      </c>
      <c r="F1150" s="63" t="s">
        <v>25</v>
      </c>
      <c r="G1150" s="76">
        <v>4400</v>
      </c>
      <c r="H1150" s="61" t="s">
        <v>26</v>
      </c>
      <c r="I1150" s="76" t="s">
        <v>3087</v>
      </c>
      <c r="J1150" s="76">
        <v>26059</v>
      </c>
      <c r="K1150" s="76">
        <v>27596</v>
      </c>
      <c r="L1150" s="125">
        <v>1537</v>
      </c>
      <c r="M1150" s="29">
        <v>2612178</v>
      </c>
      <c r="N1150" s="30">
        <v>0</v>
      </c>
      <c r="O1150" s="30">
        <v>0</v>
      </c>
      <c r="P1150" s="30">
        <v>0</v>
      </c>
      <c r="Q1150" s="29">
        <v>0</v>
      </c>
      <c r="R1150" s="29">
        <v>2612178</v>
      </c>
      <c r="S1150" s="29">
        <v>3000</v>
      </c>
      <c r="T1150" s="29">
        <f t="shared" si="71"/>
        <v>2615178</v>
      </c>
    </row>
    <row r="1151" spans="1:20" ht="21" customHeight="1" x14ac:dyDescent="0.25">
      <c r="A1151" s="21">
        <v>116</v>
      </c>
      <c r="B1151" s="61" t="s">
        <v>3088</v>
      </c>
      <c r="C1151" s="62" t="s">
        <v>3089</v>
      </c>
      <c r="D1151" s="23" t="s">
        <v>30</v>
      </c>
      <c r="E1151" s="62" t="s">
        <v>3090</v>
      </c>
      <c r="F1151" s="63" t="s">
        <v>25</v>
      </c>
      <c r="G1151" s="76">
        <v>4400</v>
      </c>
      <c r="H1151" s="61" t="s">
        <v>26</v>
      </c>
      <c r="I1151" s="76" t="s">
        <v>3091</v>
      </c>
      <c r="J1151" s="76">
        <v>13295</v>
      </c>
      <c r="K1151" s="76">
        <v>13839</v>
      </c>
      <c r="L1151" s="125">
        <v>544</v>
      </c>
      <c r="M1151" s="29">
        <v>924544</v>
      </c>
      <c r="N1151" s="30">
        <v>0</v>
      </c>
      <c r="O1151" s="30">
        <v>0</v>
      </c>
      <c r="P1151" s="30">
        <v>0</v>
      </c>
      <c r="Q1151" s="29">
        <v>0</v>
      </c>
      <c r="R1151" s="29">
        <v>924544</v>
      </c>
      <c r="S1151" s="29">
        <v>3000</v>
      </c>
      <c r="T1151" s="29">
        <f t="shared" si="71"/>
        <v>927544</v>
      </c>
    </row>
    <row r="1152" spans="1:20" ht="21" customHeight="1" x14ac:dyDescent="0.25">
      <c r="A1152" s="21">
        <v>117</v>
      </c>
      <c r="B1152" s="61" t="s">
        <v>3092</v>
      </c>
      <c r="C1152" s="62" t="s">
        <v>3093</v>
      </c>
      <c r="D1152" s="23" t="s">
        <v>30</v>
      </c>
      <c r="E1152" s="62" t="s">
        <v>3094</v>
      </c>
      <c r="F1152" s="63" t="s">
        <v>25</v>
      </c>
      <c r="G1152" s="76">
        <v>4400</v>
      </c>
      <c r="H1152" s="61" t="s">
        <v>26</v>
      </c>
      <c r="I1152" s="76" t="s">
        <v>3095</v>
      </c>
      <c r="J1152" s="76">
        <v>20109</v>
      </c>
      <c r="K1152" s="76">
        <v>20273</v>
      </c>
      <c r="L1152" s="125">
        <v>176</v>
      </c>
      <c r="M1152" s="29">
        <v>299117</v>
      </c>
      <c r="N1152" s="30">
        <v>0</v>
      </c>
      <c r="O1152" s="30">
        <v>0</v>
      </c>
      <c r="P1152" s="30">
        <v>0</v>
      </c>
      <c r="Q1152" s="29">
        <v>0</v>
      </c>
      <c r="R1152" s="29">
        <v>299117</v>
      </c>
      <c r="S1152" s="29">
        <v>3000</v>
      </c>
      <c r="T1152" s="29">
        <f t="shared" si="71"/>
        <v>302117</v>
      </c>
    </row>
    <row r="1153" spans="1:20" ht="21" customHeight="1" x14ac:dyDescent="0.25">
      <c r="A1153" s="21">
        <v>118</v>
      </c>
      <c r="B1153" s="61" t="s">
        <v>3096</v>
      </c>
      <c r="C1153" s="62" t="s">
        <v>3097</v>
      </c>
      <c r="D1153" s="23" t="s">
        <v>30</v>
      </c>
      <c r="E1153" s="62" t="s">
        <v>3098</v>
      </c>
      <c r="F1153" s="63" t="s">
        <v>25</v>
      </c>
      <c r="G1153" s="76">
        <v>4400</v>
      </c>
      <c r="H1153" s="61" t="s">
        <v>26</v>
      </c>
      <c r="I1153" s="76" t="s">
        <v>3099</v>
      </c>
      <c r="J1153" s="76">
        <v>306</v>
      </c>
      <c r="K1153" s="76">
        <v>420</v>
      </c>
      <c r="L1153" s="125">
        <v>176</v>
      </c>
      <c r="M1153" s="29">
        <v>299117</v>
      </c>
      <c r="N1153" s="30">
        <v>0</v>
      </c>
      <c r="O1153" s="30">
        <v>0</v>
      </c>
      <c r="P1153" s="30">
        <v>0</v>
      </c>
      <c r="Q1153" s="29">
        <v>0</v>
      </c>
      <c r="R1153" s="29">
        <v>299117</v>
      </c>
      <c r="S1153" s="29">
        <v>3000</v>
      </c>
      <c r="T1153" s="29">
        <f t="shared" si="71"/>
        <v>302117</v>
      </c>
    </row>
    <row r="1154" spans="1:20" ht="21" customHeight="1" x14ac:dyDescent="0.25">
      <c r="A1154" s="21">
        <v>119</v>
      </c>
      <c r="B1154" s="61" t="s">
        <v>3100</v>
      </c>
      <c r="C1154" s="62" t="s">
        <v>3101</v>
      </c>
      <c r="D1154" s="23" t="s">
        <v>30</v>
      </c>
      <c r="E1154" s="62" t="s">
        <v>2863</v>
      </c>
      <c r="F1154" s="63" t="s">
        <v>25</v>
      </c>
      <c r="G1154" s="76">
        <v>5500</v>
      </c>
      <c r="H1154" s="61" t="s">
        <v>26</v>
      </c>
      <c r="I1154" s="76" t="s">
        <v>3102</v>
      </c>
      <c r="J1154" s="76">
        <v>14054</v>
      </c>
      <c r="K1154" s="76">
        <v>363</v>
      </c>
      <c r="L1154" s="125">
        <v>363</v>
      </c>
      <c r="M1154" s="29">
        <v>616929</v>
      </c>
      <c r="N1154" s="30">
        <v>0</v>
      </c>
      <c r="O1154" s="30">
        <v>0</v>
      </c>
      <c r="P1154" s="30">
        <v>0</v>
      </c>
      <c r="Q1154" s="29">
        <v>0</v>
      </c>
      <c r="R1154" s="29">
        <v>616929</v>
      </c>
      <c r="S1154" s="29">
        <v>3000</v>
      </c>
      <c r="T1154" s="29">
        <f t="shared" si="71"/>
        <v>619929</v>
      </c>
    </row>
    <row r="1155" spans="1:20" ht="21" customHeight="1" x14ac:dyDescent="0.25">
      <c r="A1155" s="21">
        <v>120</v>
      </c>
      <c r="B1155" s="61" t="s">
        <v>3103</v>
      </c>
      <c r="C1155" s="62" t="s">
        <v>3104</v>
      </c>
      <c r="D1155" s="23" t="s">
        <v>84</v>
      </c>
      <c r="E1155" s="62" t="s">
        <v>3105</v>
      </c>
      <c r="F1155" s="63" t="s">
        <v>25</v>
      </c>
      <c r="G1155" s="76">
        <v>4400</v>
      </c>
      <c r="H1155" s="61" t="s">
        <v>26</v>
      </c>
      <c r="I1155" s="76" t="s">
        <v>3106</v>
      </c>
      <c r="J1155" s="76">
        <v>88236</v>
      </c>
      <c r="K1155" s="76">
        <v>89578</v>
      </c>
      <c r="L1155" s="125">
        <v>1342</v>
      </c>
      <c r="M1155" s="29">
        <v>2280769</v>
      </c>
      <c r="N1155" s="30">
        <v>0</v>
      </c>
      <c r="O1155" s="30">
        <v>0</v>
      </c>
      <c r="P1155" s="30">
        <v>0</v>
      </c>
      <c r="Q1155" s="29">
        <v>0</v>
      </c>
      <c r="R1155" s="29">
        <v>2280769</v>
      </c>
      <c r="S1155" s="29">
        <v>3000</v>
      </c>
      <c r="T1155" s="29">
        <f t="shared" si="71"/>
        <v>2283769</v>
      </c>
    </row>
    <row r="1156" spans="1:20" ht="21" customHeight="1" x14ac:dyDescent="0.25">
      <c r="A1156" s="21"/>
      <c r="B1156" s="75"/>
      <c r="C1156" s="24"/>
      <c r="D1156" s="23"/>
      <c r="E1156" s="24"/>
      <c r="F1156" s="25"/>
      <c r="G1156" s="120"/>
      <c r="H1156" s="120"/>
      <c r="I1156" s="25" t="s">
        <v>0</v>
      </c>
      <c r="J1156" s="25"/>
      <c r="K1156" s="25"/>
      <c r="L1156" s="125"/>
      <c r="M1156" s="29"/>
      <c r="N1156" s="30"/>
      <c r="O1156" s="30"/>
      <c r="P1156" s="30"/>
      <c r="Q1156" s="29"/>
      <c r="R1156" s="29"/>
      <c r="S1156" s="29"/>
      <c r="T1156" s="29"/>
    </row>
    <row r="1157" spans="1:20" ht="36" customHeight="1" x14ac:dyDescent="0.25">
      <c r="A1157" s="60"/>
      <c r="B1157" s="118"/>
      <c r="C1157" s="44"/>
      <c r="D1157" s="24"/>
      <c r="E1157" s="24" t="s">
        <v>179</v>
      </c>
      <c r="F1157" s="25"/>
      <c r="G1157" s="46">
        <v>697980</v>
      </c>
      <c r="H1157" s="46">
        <v>0</v>
      </c>
      <c r="I1157" s="46">
        <v>0</v>
      </c>
      <c r="J1157" s="46"/>
      <c r="K1157" s="46"/>
      <c r="L1157" s="46">
        <v>182481</v>
      </c>
      <c r="M1157" s="47">
        <v>310131936</v>
      </c>
      <c r="N1157" s="48">
        <v>0</v>
      </c>
      <c r="O1157" s="48">
        <v>0</v>
      </c>
      <c r="P1157" s="48">
        <v>0</v>
      </c>
      <c r="Q1157" s="47">
        <f>SUM(Q1114:Q1156)</f>
        <v>100000</v>
      </c>
      <c r="R1157" s="47">
        <f t="shared" ref="R1157:T1157" si="72">SUM(R1114:R1156)</f>
        <v>310231936</v>
      </c>
      <c r="S1157" s="47">
        <f t="shared" si="72"/>
        <v>360000</v>
      </c>
      <c r="T1157" s="47">
        <f t="shared" si="72"/>
        <v>310591936</v>
      </c>
    </row>
    <row r="1158" spans="1:20" ht="21" customHeight="1" x14ac:dyDescent="0.25">
      <c r="A1158" s="35"/>
      <c r="B1158" s="119"/>
      <c r="E1158" s="15"/>
      <c r="G1158" s="49"/>
      <c r="H1158" s="49"/>
      <c r="L1158" s="41"/>
    </row>
    <row r="1159" spans="1:20" ht="21" customHeight="1" x14ac:dyDescent="0.25">
      <c r="B1159" s="97"/>
      <c r="L1159" s="41"/>
    </row>
    <row r="1160" spans="1:20" s="93" customFormat="1" ht="42" customHeight="1" x14ac:dyDescent="0.25">
      <c r="A1160" s="31" t="s">
        <v>4</v>
      </c>
      <c r="B1160" s="31" t="s">
        <v>5</v>
      </c>
      <c r="C1160" s="31" t="s">
        <v>6</v>
      </c>
      <c r="D1160" s="22"/>
      <c r="E1160" s="31" t="s">
        <v>7</v>
      </c>
      <c r="F1160" s="31" t="s">
        <v>8</v>
      </c>
      <c r="G1160" s="31" t="s">
        <v>9</v>
      </c>
      <c r="H1160" s="31" t="s">
        <v>10</v>
      </c>
      <c r="I1160" s="31" t="s">
        <v>11</v>
      </c>
      <c r="J1160" s="31" t="s">
        <v>12</v>
      </c>
      <c r="K1160" s="31" t="s">
        <v>13</v>
      </c>
      <c r="L1160" s="31" t="s">
        <v>14</v>
      </c>
      <c r="M1160" s="141" t="s">
        <v>15</v>
      </c>
      <c r="N1160" s="142" t="s">
        <v>16</v>
      </c>
      <c r="O1160" s="142" t="s">
        <v>17</v>
      </c>
      <c r="P1160" s="142" t="s">
        <v>18</v>
      </c>
      <c r="Q1160" s="141" t="s">
        <v>19</v>
      </c>
      <c r="R1160" s="141" t="s">
        <v>20</v>
      </c>
      <c r="S1160" s="141" t="s">
        <v>3655</v>
      </c>
      <c r="T1160" s="141" t="s">
        <v>3656</v>
      </c>
    </row>
    <row r="1161" spans="1:20" ht="21" customHeight="1" x14ac:dyDescent="0.25">
      <c r="A1161" s="21"/>
      <c r="B1161" s="75"/>
      <c r="C1161" s="24"/>
      <c r="D1161" s="23"/>
      <c r="E1161" s="24"/>
      <c r="F1161" s="25"/>
      <c r="G1161" s="120"/>
      <c r="H1161" s="120"/>
      <c r="I1161" s="25" t="s">
        <v>0</v>
      </c>
      <c r="J1161" s="25"/>
      <c r="K1161" s="25"/>
      <c r="L1161" s="125"/>
      <c r="M1161" s="29"/>
      <c r="N1161" s="30"/>
      <c r="O1161" s="30"/>
      <c r="P1161" s="30"/>
      <c r="Q1161" s="29"/>
      <c r="R1161" s="29"/>
      <c r="S1161" s="29"/>
      <c r="T1161" s="29"/>
    </row>
    <row r="1162" spans="1:20" ht="21" customHeight="1" x14ac:dyDescent="0.25">
      <c r="A1162" s="21"/>
      <c r="B1162" s="115"/>
      <c r="C1162" s="23"/>
      <c r="D1162" s="23"/>
      <c r="E1162" s="45" t="s">
        <v>181</v>
      </c>
      <c r="F1162" s="25"/>
      <c r="G1162" s="70">
        <v>697980</v>
      </c>
      <c r="H1162" s="70">
        <v>0</v>
      </c>
      <c r="I1162" s="70">
        <v>0</v>
      </c>
      <c r="J1162" s="70"/>
      <c r="K1162" s="70"/>
      <c r="L1162" s="70">
        <v>182481</v>
      </c>
      <c r="M1162" s="47">
        <v>310131936</v>
      </c>
      <c r="N1162" s="48">
        <v>0</v>
      </c>
      <c r="O1162" s="48">
        <v>0</v>
      </c>
      <c r="P1162" s="48">
        <v>0</v>
      </c>
      <c r="Q1162" s="47">
        <f>Q1157</f>
        <v>100000</v>
      </c>
      <c r="R1162" s="47">
        <f t="shared" ref="R1162:T1162" si="73">R1157</f>
        <v>310231936</v>
      </c>
      <c r="S1162" s="47">
        <f t="shared" si="73"/>
        <v>360000</v>
      </c>
      <c r="T1162" s="47">
        <f t="shared" si="73"/>
        <v>310591936</v>
      </c>
    </row>
    <row r="1163" spans="1:20" ht="21" customHeight="1" x14ac:dyDescent="0.25">
      <c r="A1163" s="21">
        <v>121</v>
      </c>
      <c r="B1163" s="61" t="s">
        <v>3107</v>
      </c>
      <c r="C1163" s="62" t="s">
        <v>3108</v>
      </c>
      <c r="D1163" s="23" t="s">
        <v>23</v>
      </c>
      <c r="E1163" s="62" t="s">
        <v>3109</v>
      </c>
      <c r="F1163" s="63" t="s">
        <v>25</v>
      </c>
      <c r="G1163" s="76">
        <v>5500</v>
      </c>
      <c r="H1163" s="61" t="s">
        <v>26</v>
      </c>
      <c r="I1163" s="65" t="s">
        <v>3110</v>
      </c>
      <c r="J1163" s="65">
        <v>98342</v>
      </c>
      <c r="K1163" s="65">
        <v>99293</v>
      </c>
      <c r="L1163" s="28">
        <v>951</v>
      </c>
      <c r="M1163" s="29">
        <v>1616253</v>
      </c>
      <c r="N1163" s="30">
        <v>0</v>
      </c>
      <c r="O1163" s="30">
        <v>0</v>
      </c>
      <c r="P1163" s="30">
        <v>0</v>
      </c>
      <c r="Q1163" s="29">
        <v>0</v>
      </c>
      <c r="R1163" s="29">
        <v>1616253</v>
      </c>
      <c r="S1163" s="29">
        <v>3000</v>
      </c>
      <c r="T1163" s="29">
        <f t="shared" ref="T1163:T1202" si="74">R1163+S1163</f>
        <v>1619253</v>
      </c>
    </row>
    <row r="1164" spans="1:20" ht="21" customHeight="1" x14ac:dyDescent="0.25">
      <c r="A1164" s="21">
        <v>122</v>
      </c>
      <c r="B1164" s="61" t="s">
        <v>3111</v>
      </c>
      <c r="C1164" s="62" t="s">
        <v>3112</v>
      </c>
      <c r="D1164" s="23" t="s">
        <v>23</v>
      </c>
      <c r="E1164" s="62" t="s">
        <v>3109</v>
      </c>
      <c r="F1164" s="63" t="s">
        <v>25</v>
      </c>
      <c r="G1164" s="76">
        <v>5500</v>
      </c>
      <c r="H1164" s="61" t="s">
        <v>26</v>
      </c>
      <c r="I1164" s="65" t="s">
        <v>3113</v>
      </c>
      <c r="J1164" s="65">
        <v>26446</v>
      </c>
      <c r="K1164" s="65">
        <v>27349</v>
      </c>
      <c r="L1164" s="28">
        <v>903</v>
      </c>
      <c r="M1164" s="29">
        <v>1534676</v>
      </c>
      <c r="N1164" s="30">
        <v>0</v>
      </c>
      <c r="O1164" s="30">
        <v>0</v>
      </c>
      <c r="P1164" s="30">
        <v>0</v>
      </c>
      <c r="Q1164" s="29">
        <v>0</v>
      </c>
      <c r="R1164" s="29">
        <v>1534676</v>
      </c>
      <c r="S1164" s="29">
        <v>3000</v>
      </c>
      <c r="T1164" s="29">
        <f t="shared" si="74"/>
        <v>1537676</v>
      </c>
    </row>
    <row r="1165" spans="1:20" ht="21" customHeight="1" x14ac:dyDescent="0.25">
      <c r="A1165" s="21">
        <v>123</v>
      </c>
      <c r="B1165" s="61" t="s">
        <v>3114</v>
      </c>
      <c r="C1165" s="62" t="s">
        <v>3115</v>
      </c>
      <c r="D1165" s="23" t="s">
        <v>23</v>
      </c>
      <c r="E1165" s="62" t="s">
        <v>2863</v>
      </c>
      <c r="F1165" s="63" t="s">
        <v>25</v>
      </c>
      <c r="G1165" s="76">
        <v>4400</v>
      </c>
      <c r="H1165" s="61" t="s">
        <v>26</v>
      </c>
      <c r="I1165" s="65" t="s">
        <v>3116</v>
      </c>
      <c r="J1165" s="65">
        <v>8028</v>
      </c>
      <c r="K1165" s="65">
        <v>8175</v>
      </c>
      <c r="L1165" s="28">
        <v>176</v>
      </c>
      <c r="M1165" s="29">
        <v>299117</v>
      </c>
      <c r="N1165" s="30">
        <v>0</v>
      </c>
      <c r="O1165" s="30">
        <v>0</v>
      </c>
      <c r="P1165" s="30">
        <v>0</v>
      </c>
      <c r="Q1165" s="29">
        <v>0</v>
      </c>
      <c r="R1165" s="29">
        <v>299117</v>
      </c>
      <c r="S1165" s="29">
        <v>3000</v>
      </c>
      <c r="T1165" s="29">
        <f t="shared" si="74"/>
        <v>302117</v>
      </c>
    </row>
    <row r="1166" spans="1:20" ht="21" customHeight="1" x14ac:dyDescent="0.25">
      <c r="A1166" s="21">
        <v>124</v>
      </c>
      <c r="B1166" s="61" t="s">
        <v>3117</v>
      </c>
      <c r="C1166" s="62" t="s">
        <v>3118</v>
      </c>
      <c r="D1166" s="23" t="s">
        <v>23</v>
      </c>
      <c r="E1166" s="62" t="s">
        <v>3119</v>
      </c>
      <c r="F1166" s="63" t="s">
        <v>25</v>
      </c>
      <c r="G1166" s="76">
        <v>4400</v>
      </c>
      <c r="H1166" s="61" t="s">
        <v>26</v>
      </c>
      <c r="I1166" s="65" t="s">
        <v>3120</v>
      </c>
      <c r="J1166" s="65">
        <v>6204</v>
      </c>
      <c r="K1166" s="65">
        <v>7107</v>
      </c>
      <c r="L1166" s="28">
        <v>903</v>
      </c>
      <c r="M1166" s="29">
        <v>1534676</v>
      </c>
      <c r="N1166" s="30">
        <v>0</v>
      </c>
      <c r="O1166" s="30">
        <v>0</v>
      </c>
      <c r="P1166" s="30">
        <v>0</v>
      </c>
      <c r="Q1166" s="29">
        <v>0</v>
      </c>
      <c r="R1166" s="29">
        <v>1534676</v>
      </c>
      <c r="S1166" s="29">
        <v>3000</v>
      </c>
      <c r="T1166" s="29">
        <f t="shared" si="74"/>
        <v>1537676</v>
      </c>
    </row>
    <row r="1167" spans="1:20" ht="21" customHeight="1" x14ac:dyDescent="0.25">
      <c r="A1167" s="21">
        <v>125</v>
      </c>
      <c r="B1167" s="61" t="s">
        <v>3121</v>
      </c>
      <c r="C1167" s="62" t="s">
        <v>3122</v>
      </c>
      <c r="D1167" s="23" t="s">
        <v>23</v>
      </c>
      <c r="E1167" s="62" t="s">
        <v>3123</v>
      </c>
      <c r="F1167" s="63" t="s">
        <v>25</v>
      </c>
      <c r="G1167" s="76">
        <v>4400</v>
      </c>
      <c r="H1167" s="61" t="s">
        <v>26</v>
      </c>
      <c r="I1167" s="65" t="s">
        <v>3124</v>
      </c>
      <c r="J1167" s="65">
        <v>56500</v>
      </c>
      <c r="K1167" s="65">
        <v>57250</v>
      </c>
      <c r="L1167" s="28">
        <v>750</v>
      </c>
      <c r="M1167" s="29">
        <v>1274648</v>
      </c>
      <c r="N1167" s="30">
        <v>0</v>
      </c>
      <c r="O1167" s="30">
        <v>0</v>
      </c>
      <c r="P1167" s="30">
        <v>0</v>
      </c>
      <c r="Q1167" s="29">
        <v>0</v>
      </c>
      <c r="R1167" s="29">
        <v>1274648</v>
      </c>
      <c r="S1167" s="29">
        <v>3000</v>
      </c>
      <c r="T1167" s="29">
        <f t="shared" si="74"/>
        <v>1277648</v>
      </c>
    </row>
    <row r="1168" spans="1:20" ht="21" customHeight="1" x14ac:dyDescent="0.25">
      <c r="A1168" s="21">
        <v>126</v>
      </c>
      <c r="B1168" s="61" t="s">
        <v>3125</v>
      </c>
      <c r="C1168" s="62" t="s">
        <v>3126</v>
      </c>
      <c r="D1168" s="23" t="s">
        <v>23</v>
      </c>
      <c r="E1168" s="62" t="s">
        <v>3127</v>
      </c>
      <c r="F1168" s="63" t="s">
        <v>25</v>
      </c>
      <c r="G1168" s="76">
        <v>4400</v>
      </c>
      <c r="H1168" s="61" t="s">
        <v>26</v>
      </c>
      <c r="I1168" s="65" t="s">
        <v>3128</v>
      </c>
      <c r="J1168" s="65">
        <v>19615</v>
      </c>
      <c r="K1168" s="65">
        <v>20056</v>
      </c>
      <c r="L1168" s="28">
        <v>441</v>
      </c>
      <c r="M1168" s="29">
        <v>749493</v>
      </c>
      <c r="N1168" s="30">
        <v>0</v>
      </c>
      <c r="O1168" s="30">
        <v>0</v>
      </c>
      <c r="P1168" s="30">
        <v>0</v>
      </c>
      <c r="Q1168" s="29">
        <v>0</v>
      </c>
      <c r="R1168" s="29">
        <v>749493</v>
      </c>
      <c r="S1168" s="29">
        <v>3000</v>
      </c>
      <c r="T1168" s="29">
        <f t="shared" si="74"/>
        <v>752493</v>
      </c>
    </row>
    <row r="1169" spans="1:20" ht="21" customHeight="1" x14ac:dyDescent="0.25">
      <c r="A1169" s="21">
        <v>127</v>
      </c>
      <c r="B1169" s="61" t="s">
        <v>3129</v>
      </c>
      <c r="C1169" s="62" t="s">
        <v>3130</v>
      </c>
      <c r="D1169" s="23" t="s">
        <v>23</v>
      </c>
      <c r="E1169" s="62" t="s">
        <v>2931</v>
      </c>
      <c r="F1169" s="63" t="s">
        <v>25</v>
      </c>
      <c r="G1169" s="76">
        <v>4400</v>
      </c>
      <c r="H1169" s="61" t="s">
        <v>26</v>
      </c>
      <c r="I1169" s="65" t="s">
        <v>3131</v>
      </c>
      <c r="J1169" s="65">
        <v>14469</v>
      </c>
      <c r="K1169" s="65">
        <v>15336</v>
      </c>
      <c r="L1169" s="28">
        <v>867</v>
      </c>
      <c r="M1169" s="29">
        <v>1473493</v>
      </c>
      <c r="N1169" s="30">
        <v>0</v>
      </c>
      <c r="O1169" s="30">
        <v>0</v>
      </c>
      <c r="P1169" s="30">
        <v>0</v>
      </c>
      <c r="Q1169" s="29">
        <v>0</v>
      </c>
      <c r="R1169" s="29">
        <v>1473493</v>
      </c>
      <c r="S1169" s="29">
        <v>3000</v>
      </c>
      <c r="T1169" s="29">
        <f t="shared" si="74"/>
        <v>1476493</v>
      </c>
    </row>
    <row r="1170" spans="1:20" ht="21" customHeight="1" x14ac:dyDescent="0.25">
      <c r="A1170" s="21">
        <v>128</v>
      </c>
      <c r="B1170" s="61" t="s">
        <v>3132</v>
      </c>
      <c r="C1170" s="62" t="s">
        <v>3133</v>
      </c>
      <c r="D1170" s="23" t="s">
        <v>30</v>
      </c>
      <c r="E1170" s="62" t="s">
        <v>3134</v>
      </c>
      <c r="F1170" s="63" t="s">
        <v>25</v>
      </c>
      <c r="G1170" s="76">
        <v>4400</v>
      </c>
      <c r="H1170" s="61" t="s">
        <v>26</v>
      </c>
      <c r="I1170" s="65" t="s">
        <v>3135</v>
      </c>
      <c r="J1170" s="65">
        <v>40724</v>
      </c>
      <c r="K1170" s="65">
        <v>41132</v>
      </c>
      <c r="L1170" s="28">
        <v>408</v>
      </c>
      <c r="M1170" s="29">
        <v>693408</v>
      </c>
      <c r="N1170" s="30">
        <v>0</v>
      </c>
      <c r="O1170" s="30">
        <v>0</v>
      </c>
      <c r="P1170" s="30">
        <v>0</v>
      </c>
      <c r="Q1170" s="29">
        <v>0</v>
      </c>
      <c r="R1170" s="29">
        <v>693408</v>
      </c>
      <c r="S1170" s="29">
        <v>3000</v>
      </c>
      <c r="T1170" s="29">
        <f t="shared" si="74"/>
        <v>696408</v>
      </c>
    </row>
    <row r="1171" spans="1:20" ht="21" customHeight="1" x14ac:dyDescent="0.25">
      <c r="A1171" s="21">
        <v>129</v>
      </c>
      <c r="B1171" s="61" t="s">
        <v>3136</v>
      </c>
      <c r="C1171" s="62" t="s">
        <v>3137</v>
      </c>
      <c r="D1171" s="23" t="s">
        <v>30</v>
      </c>
      <c r="E1171" s="62" t="s">
        <v>2923</v>
      </c>
      <c r="F1171" s="63" t="s">
        <v>25</v>
      </c>
      <c r="G1171" s="76">
        <v>7700</v>
      </c>
      <c r="H1171" s="61" t="s">
        <v>26</v>
      </c>
      <c r="I1171" s="65" t="s">
        <v>3138</v>
      </c>
      <c r="J1171" s="65">
        <v>35966</v>
      </c>
      <c r="K1171" s="65">
        <v>38283</v>
      </c>
      <c r="L1171" s="28">
        <v>2317</v>
      </c>
      <c r="M1171" s="29">
        <v>3937811</v>
      </c>
      <c r="N1171" s="30">
        <v>0</v>
      </c>
      <c r="O1171" s="30">
        <v>0</v>
      </c>
      <c r="P1171" s="30">
        <v>0</v>
      </c>
      <c r="Q1171" s="29">
        <v>0</v>
      </c>
      <c r="R1171" s="29">
        <v>3937811</v>
      </c>
      <c r="S1171" s="29">
        <v>3000</v>
      </c>
      <c r="T1171" s="29">
        <f t="shared" si="74"/>
        <v>3940811</v>
      </c>
    </row>
    <row r="1172" spans="1:20" ht="21" customHeight="1" x14ac:dyDescent="0.25">
      <c r="A1172" s="21">
        <v>130</v>
      </c>
      <c r="B1172" s="61" t="s">
        <v>3139</v>
      </c>
      <c r="C1172" s="62" t="s">
        <v>3140</v>
      </c>
      <c r="D1172" s="23" t="s">
        <v>30</v>
      </c>
      <c r="E1172" s="62" t="s">
        <v>3141</v>
      </c>
      <c r="F1172" s="63" t="s">
        <v>25</v>
      </c>
      <c r="G1172" s="76">
        <v>2200</v>
      </c>
      <c r="H1172" s="61" t="s">
        <v>26</v>
      </c>
      <c r="I1172" s="65" t="s">
        <v>3142</v>
      </c>
      <c r="J1172" s="65">
        <v>41164</v>
      </c>
      <c r="K1172" s="65">
        <v>41722</v>
      </c>
      <c r="L1172" s="28">
        <v>558</v>
      </c>
      <c r="M1172" s="29">
        <v>948338</v>
      </c>
      <c r="N1172" s="30">
        <v>0</v>
      </c>
      <c r="O1172" s="30">
        <v>0</v>
      </c>
      <c r="P1172" s="30">
        <v>0</v>
      </c>
      <c r="Q1172" s="29">
        <v>0</v>
      </c>
      <c r="R1172" s="29">
        <v>948338</v>
      </c>
      <c r="S1172" s="29">
        <v>3000</v>
      </c>
      <c r="T1172" s="29">
        <f t="shared" si="74"/>
        <v>951338</v>
      </c>
    </row>
    <row r="1173" spans="1:20" ht="21" customHeight="1" x14ac:dyDescent="0.25">
      <c r="A1173" s="21">
        <v>131</v>
      </c>
      <c r="B1173" s="61" t="s">
        <v>3143</v>
      </c>
      <c r="C1173" s="62" t="s">
        <v>3144</v>
      </c>
      <c r="D1173" s="23" t="s">
        <v>30</v>
      </c>
      <c r="E1173" s="62" t="s">
        <v>886</v>
      </c>
      <c r="F1173" s="63" t="s">
        <v>25</v>
      </c>
      <c r="G1173" s="76">
        <v>5500</v>
      </c>
      <c r="H1173" s="61" t="s">
        <v>26</v>
      </c>
      <c r="I1173" s="65" t="s">
        <v>3145</v>
      </c>
      <c r="J1173" s="65">
        <v>14380</v>
      </c>
      <c r="K1173" s="65">
        <v>17185</v>
      </c>
      <c r="L1173" s="28">
        <v>2805</v>
      </c>
      <c r="M1173" s="29">
        <v>4767182</v>
      </c>
      <c r="N1173" s="30">
        <v>0</v>
      </c>
      <c r="O1173" s="30">
        <v>0</v>
      </c>
      <c r="P1173" s="30">
        <v>0</v>
      </c>
      <c r="Q1173" s="29">
        <v>0</v>
      </c>
      <c r="R1173" s="29">
        <v>4767182</v>
      </c>
      <c r="S1173" s="29">
        <v>3000</v>
      </c>
      <c r="T1173" s="29">
        <f t="shared" si="74"/>
        <v>4770182</v>
      </c>
    </row>
    <row r="1174" spans="1:20" ht="21" customHeight="1" x14ac:dyDescent="0.25">
      <c r="A1174" s="21">
        <v>132</v>
      </c>
      <c r="B1174" s="61" t="s">
        <v>3146</v>
      </c>
      <c r="C1174" s="62" t="s">
        <v>3147</v>
      </c>
      <c r="D1174" s="23" t="s">
        <v>30</v>
      </c>
      <c r="E1174" s="62" t="s">
        <v>3057</v>
      </c>
      <c r="F1174" s="63" t="s">
        <v>25</v>
      </c>
      <c r="G1174" s="76">
        <v>4400</v>
      </c>
      <c r="H1174" s="61" t="s">
        <v>26</v>
      </c>
      <c r="I1174" s="65" t="s">
        <v>3148</v>
      </c>
      <c r="J1174" s="65">
        <v>53644</v>
      </c>
      <c r="K1174" s="65">
        <v>54288</v>
      </c>
      <c r="L1174" s="28">
        <v>644</v>
      </c>
      <c r="M1174" s="29">
        <v>1094497</v>
      </c>
      <c r="N1174" s="30">
        <v>0</v>
      </c>
      <c r="O1174" s="30">
        <v>0</v>
      </c>
      <c r="P1174" s="30">
        <v>0</v>
      </c>
      <c r="Q1174" s="29">
        <v>0</v>
      </c>
      <c r="R1174" s="29">
        <v>1094497</v>
      </c>
      <c r="S1174" s="29">
        <v>3000</v>
      </c>
      <c r="T1174" s="29">
        <f t="shared" si="74"/>
        <v>1097497</v>
      </c>
    </row>
    <row r="1175" spans="1:20" ht="21" customHeight="1" x14ac:dyDescent="0.25">
      <c r="A1175" s="21">
        <v>133</v>
      </c>
      <c r="B1175" s="61" t="s">
        <v>3149</v>
      </c>
      <c r="C1175" s="62" t="s">
        <v>3150</v>
      </c>
      <c r="D1175" s="23" t="s">
        <v>30</v>
      </c>
      <c r="E1175" s="62" t="s">
        <v>3123</v>
      </c>
      <c r="F1175" s="63" t="s">
        <v>25</v>
      </c>
      <c r="G1175" s="76">
        <v>7700</v>
      </c>
      <c r="H1175" s="61" t="s">
        <v>26</v>
      </c>
      <c r="I1175" s="65" t="s">
        <v>3151</v>
      </c>
      <c r="J1175" s="65">
        <v>91038</v>
      </c>
      <c r="K1175" s="65">
        <v>91903</v>
      </c>
      <c r="L1175" s="28">
        <v>865</v>
      </c>
      <c r="M1175" s="29">
        <v>1470093</v>
      </c>
      <c r="N1175" s="30">
        <v>0</v>
      </c>
      <c r="O1175" s="30">
        <v>0</v>
      </c>
      <c r="P1175" s="30">
        <v>0</v>
      </c>
      <c r="Q1175" s="29">
        <v>0</v>
      </c>
      <c r="R1175" s="29">
        <v>1470093</v>
      </c>
      <c r="S1175" s="29">
        <v>3000</v>
      </c>
      <c r="T1175" s="29">
        <f t="shared" si="74"/>
        <v>1473093</v>
      </c>
    </row>
    <row r="1176" spans="1:20" ht="21" customHeight="1" x14ac:dyDescent="0.25">
      <c r="A1176" s="21">
        <v>134</v>
      </c>
      <c r="B1176" s="61" t="s">
        <v>3152</v>
      </c>
      <c r="C1176" s="62" t="s">
        <v>3153</v>
      </c>
      <c r="D1176" s="23" t="s">
        <v>30</v>
      </c>
      <c r="E1176" s="62" t="s">
        <v>3154</v>
      </c>
      <c r="F1176" s="63" t="s">
        <v>25</v>
      </c>
      <c r="G1176" s="76">
        <v>4400</v>
      </c>
      <c r="H1176" s="61" t="s">
        <v>26</v>
      </c>
      <c r="I1176" s="65" t="s">
        <v>3155</v>
      </c>
      <c r="J1176" s="65">
        <v>59086</v>
      </c>
      <c r="K1176" s="65">
        <v>59811</v>
      </c>
      <c r="L1176" s="28">
        <v>725</v>
      </c>
      <c r="M1176" s="29">
        <v>1232159</v>
      </c>
      <c r="N1176" s="30">
        <v>0</v>
      </c>
      <c r="O1176" s="30">
        <v>0</v>
      </c>
      <c r="P1176" s="30">
        <v>0</v>
      </c>
      <c r="Q1176" s="29">
        <v>0</v>
      </c>
      <c r="R1176" s="29">
        <v>1232159</v>
      </c>
      <c r="S1176" s="29">
        <v>3000</v>
      </c>
      <c r="T1176" s="29">
        <f t="shared" si="74"/>
        <v>1235159</v>
      </c>
    </row>
    <row r="1177" spans="1:20" ht="21" customHeight="1" x14ac:dyDescent="0.25">
      <c r="A1177" s="21">
        <v>135</v>
      </c>
      <c r="B1177" s="61" t="s">
        <v>3156</v>
      </c>
      <c r="C1177" s="62" t="s">
        <v>3157</v>
      </c>
      <c r="D1177" s="23" t="s">
        <v>30</v>
      </c>
      <c r="E1177" s="62" t="s">
        <v>3158</v>
      </c>
      <c r="F1177" s="63" t="s">
        <v>25</v>
      </c>
      <c r="G1177" s="76">
        <v>4400</v>
      </c>
      <c r="H1177" s="61" t="s">
        <v>26</v>
      </c>
      <c r="I1177" s="65" t="s">
        <v>3159</v>
      </c>
      <c r="J1177" s="65">
        <v>33665</v>
      </c>
      <c r="K1177" s="65">
        <v>34980</v>
      </c>
      <c r="L1177" s="28">
        <v>1315</v>
      </c>
      <c r="M1177" s="29">
        <v>2234882</v>
      </c>
      <c r="N1177" s="30">
        <v>0</v>
      </c>
      <c r="O1177" s="30">
        <v>0</v>
      </c>
      <c r="P1177" s="30">
        <v>0</v>
      </c>
      <c r="Q1177" s="29">
        <v>0</v>
      </c>
      <c r="R1177" s="29">
        <v>2234882</v>
      </c>
      <c r="S1177" s="29">
        <v>3000</v>
      </c>
      <c r="T1177" s="29">
        <f t="shared" si="74"/>
        <v>2237882</v>
      </c>
    </row>
    <row r="1178" spans="1:20" ht="21" customHeight="1" x14ac:dyDescent="0.25">
      <c r="A1178" s="21">
        <v>136</v>
      </c>
      <c r="B1178" s="61" t="s">
        <v>3160</v>
      </c>
      <c r="C1178" s="62" t="s">
        <v>3161</v>
      </c>
      <c r="D1178" s="23" t="s">
        <v>30</v>
      </c>
      <c r="E1178" s="62" t="s">
        <v>3037</v>
      </c>
      <c r="F1178" s="63" t="s">
        <v>25</v>
      </c>
      <c r="G1178" s="76">
        <v>4400</v>
      </c>
      <c r="H1178" s="61" t="s">
        <v>26</v>
      </c>
      <c r="I1178" s="65" t="s">
        <v>3162</v>
      </c>
      <c r="J1178" s="65">
        <v>48917</v>
      </c>
      <c r="K1178" s="65">
        <v>49231</v>
      </c>
      <c r="L1178" s="28">
        <v>314</v>
      </c>
      <c r="M1178" s="29">
        <v>533652</v>
      </c>
      <c r="N1178" s="30">
        <v>0</v>
      </c>
      <c r="O1178" s="30">
        <v>0</v>
      </c>
      <c r="P1178" s="30">
        <v>0</v>
      </c>
      <c r="Q1178" s="29">
        <v>0</v>
      </c>
      <c r="R1178" s="29">
        <v>533652</v>
      </c>
      <c r="S1178" s="29">
        <v>3000</v>
      </c>
      <c r="T1178" s="29">
        <f t="shared" si="74"/>
        <v>536652</v>
      </c>
    </row>
    <row r="1179" spans="1:20" ht="21" customHeight="1" x14ac:dyDescent="0.25">
      <c r="A1179" s="21">
        <v>137</v>
      </c>
      <c r="B1179" s="61" t="s">
        <v>3163</v>
      </c>
      <c r="C1179" s="62" t="s">
        <v>3164</v>
      </c>
      <c r="D1179" s="23" t="s">
        <v>30</v>
      </c>
      <c r="E1179" s="62" t="s">
        <v>3165</v>
      </c>
      <c r="F1179" s="63" t="s">
        <v>25</v>
      </c>
      <c r="G1179" s="76">
        <v>4400</v>
      </c>
      <c r="H1179" s="61" t="s">
        <v>26</v>
      </c>
      <c r="I1179" s="65" t="s">
        <v>3166</v>
      </c>
      <c r="J1179" s="65">
        <v>29859</v>
      </c>
      <c r="K1179" s="65">
        <v>31225</v>
      </c>
      <c r="L1179" s="28">
        <v>1366</v>
      </c>
      <c r="M1179" s="29">
        <v>2321558</v>
      </c>
      <c r="N1179" s="30">
        <v>0</v>
      </c>
      <c r="O1179" s="30">
        <v>0</v>
      </c>
      <c r="P1179" s="30">
        <v>0</v>
      </c>
      <c r="Q1179" s="29">
        <v>0</v>
      </c>
      <c r="R1179" s="29">
        <v>2321558</v>
      </c>
      <c r="S1179" s="29">
        <v>3000</v>
      </c>
      <c r="T1179" s="29">
        <f t="shared" si="74"/>
        <v>2324558</v>
      </c>
    </row>
    <row r="1180" spans="1:20" ht="21" customHeight="1" x14ac:dyDescent="0.25">
      <c r="A1180" s="21">
        <v>138</v>
      </c>
      <c r="B1180" s="61" t="s">
        <v>3167</v>
      </c>
      <c r="C1180" s="62" t="s">
        <v>3168</v>
      </c>
      <c r="D1180" s="23" t="s">
        <v>30</v>
      </c>
      <c r="E1180" s="62" t="s">
        <v>3169</v>
      </c>
      <c r="F1180" s="63" t="s">
        <v>25</v>
      </c>
      <c r="G1180" s="76">
        <v>5500</v>
      </c>
      <c r="H1180" s="61" t="s">
        <v>26</v>
      </c>
      <c r="I1180" s="65" t="s">
        <v>3170</v>
      </c>
      <c r="J1180" s="65">
        <v>5259</v>
      </c>
      <c r="K1180" s="65">
        <v>6067</v>
      </c>
      <c r="L1180" s="28">
        <v>808</v>
      </c>
      <c r="M1180" s="29">
        <v>1373220</v>
      </c>
      <c r="N1180" s="30">
        <v>0</v>
      </c>
      <c r="O1180" s="30">
        <v>0</v>
      </c>
      <c r="P1180" s="30">
        <v>0</v>
      </c>
      <c r="Q1180" s="29">
        <v>0</v>
      </c>
      <c r="R1180" s="29">
        <v>1373220</v>
      </c>
      <c r="S1180" s="29">
        <v>3000</v>
      </c>
      <c r="T1180" s="29">
        <f t="shared" si="74"/>
        <v>1376220</v>
      </c>
    </row>
    <row r="1181" spans="1:20" ht="21" customHeight="1" x14ac:dyDescent="0.25">
      <c r="A1181" s="21">
        <v>139</v>
      </c>
      <c r="B1181" s="61" t="s">
        <v>3171</v>
      </c>
      <c r="C1181" s="62" t="s">
        <v>3172</v>
      </c>
      <c r="D1181" s="23" t="s">
        <v>30</v>
      </c>
      <c r="E1181" s="62" t="s">
        <v>3169</v>
      </c>
      <c r="F1181" s="63" t="s">
        <v>25</v>
      </c>
      <c r="G1181" s="76">
        <v>5500</v>
      </c>
      <c r="H1181" s="61" t="s">
        <v>26</v>
      </c>
      <c r="I1181" s="65" t="s">
        <v>3173</v>
      </c>
      <c r="J1181" s="65">
        <v>85978</v>
      </c>
      <c r="K1181" s="65">
        <v>86734</v>
      </c>
      <c r="L1181" s="28">
        <v>756</v>
      </c>
      <c r="M1181" s="29">
        <v>1284845</v>
      </c>
      <c r="N1181" s="30">
        <v>0</v>
      </c>
      <c r="O1181" s="30">
        <v>0</v>
      </c>
      <c r="P1181" s="30">
        <v>0</v>
      </c>
      <c r="Q1181" s="29">
        <v>0</v>
      </c>
      <c r="R1181" s="29">
        <v>1284845</v>
      </c>
      <c r="S1181" s="29">
        <v>3000</v>
      </c>
      <c r="T1181" s="29">
        <f t="shared" si="74"/>
        <v>1287845</v>
      </c>
    </row>
    <row r="1182" spans="1:20" ht="21" customHeight="1" x14ac:dyDescent="0.25">
      <c r="A1182" s="21">
        <v>140</v>
      </c>
      <c r="B1182" s="61" t="s">
        <v>3174</v>
      </c>
      <c r="C1182" s="62" t="s">
        <v>3175</v>
      </c>
      <c r="D1182" s="23" t="s">
        <v>30</v>
      </c>
      <c r="E1182" s="62" t="s">
        <v>789</v>
      </c>
      <c r="F1182" s="63" t="s">
        <v>25</v>
      </c>
      <c r="G1182" s="76">
        <v>5500</v>
      </c>
      <c r="H1182" s="61" t="s">
        <v>26</v>
      </c>
      <c r="I1182" s="65" t="s">
        <v>3176</v>
      </c>
      <c r="J1182" s="65">
        <v>1</v>
      </c>
      <c r="K1182" s="65">
        <v>1</v>
      </c>
      <c r="L1182" s="28">
        <v>220</v>
      </c>
      <c r="M1182" s="29">
        <v>373897</v>
      </c>
      <c r="N1182" s="30">
        <v>0</v>
      </c>
      <c r="O1182" s="30">
        <v>0</v>
      </c>
      <c r="P1182" s="30">
        <v>0</v>
      </c>
      <c r="Q1182" s="29">
        <v>0</v>
      </c>
      <c r="R1182" s="29">
        <v>373897</v>
      </c>
      <c r="S1182" s="29">
        <v>3000</v>
      </c>
      <c r="T1182" s="29">
        <f t="shared" si="74"/>
        <v>376897</v>
      </c>
    </row>
    <row r="1183" spans="1:20" ht="21" customHeight="1" x14ac:dyDescent="0.25">
      <c r="A1183" s="21">
        <v>141</v>
      </c>
      <c r="B1183" s="61" t="s">
        <v>3177</v>
      </c>
      <c r="C1183" s="62" t="s">
        <v>3178</v>
      </c>
      <c r="D1183" s="23" t="s">
        <v>30</v>
      </c>
      <c r="E1183" s="62" t="s">
        <v>3179</v>
      </c>
      <c r="F1183" s="63" t="s">
        <v>25</v>
      </c>
      <c r="G1183" s="76">
        <v>7700</v>
      </c>
      <c r="H1183" s="61" t="s">
        <v>26</v>
      </c>
      <c r="I1183" s="65" t="s">
        <v>3180</v>
      </c>
      <c r="J1183" s="65">
        <v>38584</v>
      </c>
      <c r="K1183" s="65">
        <v>41387</v>
      </c>
      <c r="L1183" s="28">
        <v>2803</v>
      </c>
      <c r="M1183" s="29">
        <v>4763783</v>
      </c>
      <c r="N1183" s="30">
        <v>0</v>
      </c>
      <c r="O1183" s="30">
        <v>0</v>
      </c>
      <c r="P1183" s="30">
        <v>0</v>
      </c>
      <c r="Q1183" s="29">
        <v>0</v>
      </c>
      <c r="R1183" s="29">
        <v>4763783</v>
      </c>
      <c r="S1183" s="29">
        <v>3000</v>
      </c>
      <c r="T1183" s="29">
        <f t="shared" si="74"/>
        <v>4766783</v>
      </c>
    </row>
    <row r="1184" spans="1:20" ht="21" customHeight="1" x14ac:dyDescent="0.25">
      <c r="A1184" s="21">
        <v>142</v>
      </c>
      <c r="B1184" s="61" t="s">
        <v>3181</v>
      </c>
      <c r="C1184" s="62" t="s">
        <v>3182</v>
      </c>
      <c r="D1184" s="23" t="s">
        <v>30</v>
      </c>
      <c r="E1184" s="62" t="s">
        <v>2697</v>
      </c>
      <c r="F1184" s="63" t="s">
        <v>25</v>
      </c>
      <c r="G1184" s="76">
        <v>5500</v>
      </c>
      <c r="H1184" s="61" t="s">
        <v>26</v>
      </c>
      <c r="I1184" s="65" t="s">
        <v>3183</v>
      </c>
      <c r="J1184" s="65">
        <v>23626</v>
      </c>
      <c r="K1184" s="65">
        <v>23849</v>
      </c>
      <c r="L1184" s="28">
        <v>223</v>
      </c>
      <c r="M1184" s="29">
        <v>378995</v>
      </c>
      <c r="N1184" s="30">
        <v>0</v>
      </c>
      <c r="O1184" s="30">
        <v>0</v>
      </c>
      <c r="P1184" s="30">
        <v>0</v>
      </c>
      <c r="Q1184" s="29">
        <v>0</v>
      </c>
      <c r="R1184" s="29">
        <v>378995</v>
      </c>
      <c r="S1184" s="29">
        <v>3000</v>
      </c>
      <c r="T1184" s="29">
        <f t="shared" si="74"/>
        <v>381995</v>
      </c>
    </row>
    <row r="1185" spans="1:20" ht="21" customHeight="1" x14ac:dyDescent="0.25">
      <c r="A1185" s="21">
        <v>143</v>
      </c>
      <c r="B1185" s="61" t="s">
        <v>3184</v>
      </c>
      <c r="C1185" s="62" t="s">
        <v>3185</v>
      </c>
      <c r="D1185" s="23" t="s">
        <v>30</v>
      </c>
      <c r="E1185" s="62" t="s">
        <v>3186</v>
      </c>
      <c r="F1185" s="63" t="s">
        <v>25</v>
      </c>
      <c r="G1185" s="76">
        <v>5500</v>
      </c>
      <c r="H1185" s="61" t="s">
        <v>26</v>
      </c>
      <c r="I1185" s="65" t="s">
        <v>3187</v>
      </c>
      <c r="J1185" s="65">
        <v>12592</v>
      </c>
      <c r="K1185" s="65">
        <v>13379</v>
      </c>
      <c r="L1185" s="28">
        <v>787</v>
      </c>
      <c r="M1185" s="29">
        <v>1337530</v>
      </c>
      <c r="N1185" s="30">
        <v>0</v>
      </c>
      <c r="O1185" s="30">
        <v>0</v>
      </c>
      <c r="P1185" s="30">
        <v>0</v>
      </c>
      <c r="Q1185" s="29">
        <v>0</v>
      </c>
      <c r="R1185" s="29">
        <v>1337530</v>
      </c>
      <c r="S1185" s="29">
        <v>3000</v>
      </c>
      <c r="T1185" s="29">
        <f t="shared" si="74"/>
        <v>1340530</v>
      </c>
    </row>
    <row r="1186" spans="1:20" ht="21" customHeight="1" x14ac:dyDescent="0.25">
      <c r="A1186" s="21">
        <v>144</v>
      </c>
      <c r="B1186" s="61" t="s">
        <v>3188</v>
      </c>
      <c r="C1186" s="62" t="s">
        <v>3189</v>
      </c>
      <c r="D1186" s="23" t="s">
        <v>30</v>
      </c>
      <c r="E1186" s="62" t="s">
        <v>789</v>
      </c>
      <c r="F1186" s="63" t="s">
        <v>25</v>
      </c>
      <c r="G1186" s="76">
        <v>2200</v>
      </c>
      <c r="H1186" s="61" t="s">
        <v>26</v>
      </c>
      <c r="I1186" s="65" t="s">
        <v>3190</v>
      </c>
      <c r="J1186" s="65">
        <v>2760</v>
      </c>
      <c r="K1186" s="65">
        <v>2831</v>
      </c>
      <c r="L1186" s="28">
        <v>88</v>
      </c>
      <c r="M1186" s="29">
        <v>149559</v>
      </c>
      <c r="N1186" s="30">
        <v>0</v>
      </c>
      <c r="O1186" s="30">
        <v>0</v>
      </c>
      <c r="P1186" s="30">
        <v>0</v>
      </c>
      <c r="Q1186" s="29">
        <v>0</v>
      </c>
      <c r="R1186" s="29">
        <v>149559</v>
      </c>
      <c r="S1186" s="29">
        <v>3000</v>
      </c>
      <c r="T1186" s="29">
        <f t="shared" si="74"/>
        <v>152559</v>
      </c>
    </row>
    <row r="1187" spans="1:20" ht="21" customHeight="1" x14ac:dyDescent="0.25">
      <c r="A1187" s="21">
        <v>145</v>
      </c>
      <c r="B1187" s="61" t="s">
        <v>3191</v>
      </c>
      <c r="C1187" s="62" t="s">
        <v>3192</v>
      </c>
      <c r="D1187" s="23" t="s">
        <v>30</v>
      </c>
      <c r="E1187" s="62" t="s">
        <v>3193</v>
      </c>
      <c r="F1187" s="63" t="s">
        <v>25</v>
      </c>
      <c r="G1187" s="76">
        <v>4400</v>
      </c>
      <c r="H1187" s="61" t="s">
        <v>26</v>
      </c>
      <c r="I1187" s="65" t="s">
        <v>3194</v>
      </c>
      <c r="J1187" s="65">
        <v>12453</v>
      </c>
      <c r="K1187" s="65">
        <v>13242</v>
      </c>
      <c r="L1187" s="28">
        <v>789</v>
      </c>
      <c r="M1187" s="29">
        <v>1340929</v>
      </c>
      <c r="N1187" s="30">
        <v>0</v>
      </c>
      <c r="O1187" s="30">
        <v>0</v>
      </c>
      <c r="P1187" s="30">
        <v>0</v>
      </c>
      <c r="Q1187" s="29">
        <v>0</v>
      </c>
      <c r="R1187" s="29">
        <v>1340929</v>
      </c>
      <c r="S1187" s="29">
        <v>3000</v>
      </c>
      <c r="T1187" s="29">
        <f t="shared" si="74"/>
        <v>1343929</v>
      </c>
    </row>
    <row r="1188" spans="1:20" ht="21" customHeight="1" x14ac:dyDescent="0.25">
      <c r="A1188" s="21">
        <v>146</v>
      </c>
      <c r="B1188" s="61" t="s">
        <v>3195</v>
      </c>
      <c r="C1188" s="62" t="s">
        <v>3196</v>
      </c>
      <c r="D1188" s="23" t="s">
        <v>30</v>
      </c>
      <c r="E1188" s="62" t="s">
        <v>3197</v>
      </c>
      <c r="F1188" s="63" t="s">
        <v>25</v>
      </c>
      <c r="G1188" s="76">
        <v>4400</v>
      </c>
      <c r="H1188" s="61" t="s">
        <v>26</v>
      </c>
      <c r="I1188" s="65" t="s">
        <v>3198</v>
      </c>
      <c r="J1188" s="65">
        <v>26964</v>
      </c>
      <c r="K1188" s="65">
        <v>27068</v>
      </c>
      <c r="L1188" s="28">
        <v>176</v>
      </c>
      <c r="M1188" s="29">
        <v>299117</v>
      </c>
      <c r="N1188" s="30">
        <v>0</v>
      </c>
      <c r="O1188" s="30">
        <v>0</v>
      </c>
      <c r="P1188" s="30">
        <v>0</v>
      </c>
      <c r="Q1188" s="29">
        <v>0</v>
      </c>
      <c r="R1188" s="29">
        <v>299117</v>
      </c>
      <c r="S1188" s="29">
        <v>3000</v>
      </c>
      <c r="T1188" s="29">
        <f t="shared" si="74"/>
        <v>302117</v>
      </c>
    </row>
    <row r="1189" spans="1:20" ht="21" customHeight="1" x14ac:dyDescent="0.25">
      <c r="A1189" s="21">
        <v>147</v>
      </c>
      <c r="B1189" s="61" t="s">
        <v>3199</v>
      </c>
      <c r="C1189" s="62" t="s">
        <v>3200</v>
      </c>
      <c r="D1189" s="23" t="s">
        <v>30</v>
      </c>
      <c r="E1189" s="62" t="s">
        <v>3201</v>
      </c>
      <c r="F1189" s="63" t="s">
        <v>25</v>
      </c>
      <c r="G1189" s="76">
        <v>4400</v>
      </c>
      <c r="H1189" s="61" t="s">
        <v>26</v>
      </c>
      <c r="I1189" s="65" t="s">
        <v>3202</v>
      </c>
      <c r="J1189" s="65">
        <v>27956</v>
      </c>
      <c r="K1189" s="65">
        <v>28624</v>
      </c>
      <c r="L1189" s="28">
        <v>668</v>
      </c>
      <c r="M1189" s="29">
        <v>1135286</v>
      </c>
      <c r="N1189" s="30">
        <v>0</v>
      </c>
      <c r="O1189" s="30">
        <v>0</v>
      </c>
      <c r="P1189" s="30">
        <v>0</v>
      </c>
      <c r="Q1189" s="29">
        <v>0</v>
      </c>
      <c r="R1189" s="29">
        <v>1135286</v>
      </c>
      <c r="S1189" s="29">
        <v>3000</v>
      </c>
      <c r="T1189" s="29">
        <f t="shared" si="74"/>
        <v>1138286</v>
      </c>
    </row>
    <row r="1190" spans="1:20" ht="21" customHeight="1" x14ac:dyDescent="0.25">
      <c r="A1190" s="21">
        <v>148</v>
      </c>
      <c r="B1190" s="61" t="s">
        <v>3203</v>
      </c>
      <c r="C1190" s="62" t="s">
        <v>3204</v>
      </c>
      <c r="D1190" s="23" t="s">
        <v>30</v>
      </c>
      <c r="E1190" s="62" t="s">
        <v>3205</v>
      </c>
      <c r="F1190" s="63" t="s">
        <v>25</v>
      </c>
      <c r="G1190" s="76">
        <v>3500</v>
      </c>
      <c r="H1190" s="61" t="s">
        <v>26</v>
      </c>
      <c r="I1190" s="65" t="s">
        <v>3206</v>
      </c>
      <c r="J1190" s="65">
        <v>85697</v>
      </c>
      <c r="K1190" s="65">
        <v>86792</v>
      </c>
      <c r="L1190" s="28">
        <v>1095</v>
      </c>
      <c r="M1190" s="29">
        <v>1860985</v>
      </c>
      <c r="N1190" s="30">
        <v>0</v>
      </c>
      <c r="O1190" s="30">
        <v>0</v>
      </c>
      <c r="P1190" s="30">
        <v>0</v>
      </c>
      <c r="Q1190" s="29">
        <v>0</v>
      </c>
      <c r="R1190" s="29">
        <v>1860985</v>
      </c>
      <c r="S1190" s="29">
        <v>3000</v>
      </c>
      <c r="T1190" s="29">
        <f t="shared" si="74"/>
        <v>1863985</v>
      </c>
    </row>
    <row r="1191" spans="1:20" ht="21" customHeight="1" x14ac:dyDescent="0.25">
      <c r="A1191" s="21">
        <v>149</v>
      </c>
      <c r="B1191" s="61" t="s">
        <v>3207</v>
      </c>
      <c r="C1191" s="62" t="s">
        <v>3208</v>
      </c>
      <c r="D1191" s="23" t="s">
        <v>30</v>
      </c>
      <c r="E1191" s="62" t="s">
        <v>3209</v>
      </c>
      <c r="F1191" s="63" t="s">
        <v>25</v>
      </c>
      <c r="G1191" s="76">
        <v>280</v>
      </c>
      <c r="H1191" s="61" t="s">
        <v>26</v>
      </c>
      <c r="I1191" s="65" t="s">
        <v>3210</v>
      </c>
      <c r="J1191" s="65">
        <v>200</v>
      </c>
      <c r="K1191" s="65">
        <v>200</v>
      </c>
      <c r="L1191" s="28">
        <v>105</v>
      </c>
      <c r="M1191" s="29">
        <v>178451</v>
      </c>
      <c r="N1191" s="30">
        <v>0</v>
      </c>
      <c r="O1191" s="30">
        <v>0</v>
      </c>
      <c r="P1191" s="30">
        <v>0</v>
      </c>
      <c r="Q1191" s="29">
        <v>0</v>
      </c>
      <c r="R1191" s="29">
        <v>178451</v>
      </c>
      <c r="S1191" s="29">
        <v>3000</v>
      </c>
      <c r="T1191" s="29">
        <f t="shared" si="74"/>
        <v>181451</v>
      </c>
    </row>
    <row r="1192" spans="1:20" ht="21" customHeight="1" x14ac:dyDescent="0.25">
      <c r="A1192" s="21">
        <v>150</v>
      </c>
      <c r="B1192" s="61" t="s">
        <v>3211</v>
      </c>
      <c r="C1192" s="62" t="s">
        <v>3212</v>
      </c>
      <c r="D1192" s="23" t="s">
        <v>30</v>
      </c>
      <c r="E1192" s="62" t="s">
        <v>3213</v>
      </c>
      <c r="F1192" s="63" t="s">
        <v>25</v>
      </c>
      <c r="G1192" s="76">
        <v>3690</v>
      </c>
      <c r="H1192" s="61" t="s">
        <v>26</v>
      </c>
      <c r="I1192" s="65" t="s">
        <v>3214</v>
      </c>
      <c r="J1192" s="65">
        <v>0</v>
      </c>
      <c r="K1192" s="65">
        <v>0</v>
      </c>
      <c r="L1192" s="28">
        <v>1384</v>
      </c>
      <c r="M1192" s="29">
        <v>2352150</v>
      </c>
      <c r="N1192" s="30">
        <v>0</v>
      </c>
      <c r="O1192" s="30">
        <v>0</v>
      </c>
      <c r="P1192" s="30">
        <v>0</v>
      </c>
      <c r="Q1192" s="29">
        <v>0</v>
      </c>
      <c r="R1192" s="29">
        <v>2352150</v>
      </c>
      <c r="S1192" s="29">
        <v>3000</v>
      </c>
      <c r="T1192" s="29">
        <f t="shared" si="74"/>
        <v>2355150</v>
      </c>
    </row>
    <row r="1193" spans="1:20" ht="21" customHeight="1" x14ac:dyDescent="0.25">
      <c r="A1193" s="21">
        <v>151</v>
      </c>
      <c r="B1193" s="61" t="s">
        <v>3215</v>
      </c>
      <c r="C1193" s="62" t="s">
        <v>3216</v>
      </c>
      <c r="D1193" s="23" t="s">
        <v>30</v>
      </c>
      <c r="E1193" s="62" t="s">
        <v>3217</v>
      </c>
      <c r="F1193" s="63" t="s">
        <v>25</v>
      </c>
      <c r="G1193" s="76">
        <v>640</v>
      </c>
      <c r="H1193" s="61" t="s">
        <v>26</v>
      </c>
      <c r="I1193" s="65" t="s">
        <v>3218</v>
      </c>
      <c r="J1193" s="65">
        <v>457</v>
      </c>
      <c r="K1193" s="65">
        <v>457</v>
      </c>
      <c r="L1193" s="28">
        <v>240</v>
      </c>
      <c r="M1193" s="29">
        <v>407887</v>
      </c>
      <c r="N1193" s="30">
        <v>0</v>
      </c>
      <c r="O1193" s="30">
        <v>0</v>
      </c>
      <c r="P1193" s="30">
        <v>0</v>
      </c>
      <c r="Q1193" s="29">
        <v>0</v>
      </c>
      <c r="R1193" s="29">
        <v>407887</v>
      </c>
      <c r="S1193" s="29">
        <v>3000</v>
      </c>
      <c r="T1193" s="29">
        <f t="shared" si="74"/>
        <v>410887</v>
      </c>
    </row>
    <row r="1194" spans="1:20" ht="21" customHeight="1" x14ac:dyDescent="0.25">
      <c r="A1194" s="21">
        <v>152</v>
      </c>
      <c r="B1194" s="61" t="s">
        <v>3219</v>
      </c>
      <c r="C1194" s="62" t="s">
        <v>3220</v>
      </c>
      <c r="D1194" s="23" t="s">
        <v>30</v>
      </c>
      <c r="E1194" s="62" t="s">
        <v>2822</v>
      </c>
      <c r="F1194" s="63" t="s">
        <v>25</v>
      </c>
      <c r="G1194" s="76">
        <v>1940</v>
      </c>
      <c r="H1194" s="61" t="s">
        <v>26</v>
      </c>
      <c r="I1194" s="65" t="s">
        <v>3221</v>
      </c>
      <c r="J1194" s="65">
        <v>0</v>
      </c>
      <c r="K1194" s="65">
        <v>0</v>
      </c>
      <c r="L1194" s="28">
        <v>728</v>
      </c>
      <c r="M1194" s="29">
        <v>1237258</v>
      </c>
      <c r="N1194" s="30">
        <v>0</v>
      </c>
      <c r="O1194" s="30">
        <v>0</v>
      </c>
      <c r="P1194" s="30">
        <v>0</v>
      </c>
      <c r="Q1194" s="29">
        <v>0</v>
      </c>
      <c r="R1194" s="29">
        <v>1237258</v>
      </c>
      <c r="S1194" s="29">
        <v>3000</v>
      </c>
      <c r="T1194" s="29">
        <f t="shared" si="74"/>
        <v>1240258</v>
      </c>
    </row>
    <row r="1195" spans="1:20" ht="21" customHeight="1" x14ac:dyDescent="0.25">
      <c r="A1195" s="21">
        <v>153</v>
      </c>
      <c r="B1195" s="61" t="s">
        <v>3222</v>
      </c>
      <c r="C1195" s="62" t="s">
        <v>3223</v>
      </c>
      <c r="D1195" s="23" t="s">
        <v>30</v>
      </c>
      <c r="E1195" s="62" t="s">
        <v>3224</v>
      </c>
      <c r="F1195" s="63" t="s">
        <v>25</v>
      </c>
      <c r="G1195" s="76">
        <v>1780</v>
      </c>
      <c r="H1195" s="61" t="s">
        <v>26</v>
      </c>
      <c r="I1195" s="65" t="s">
        <v>3225</v>
      </c>
      <c r="J1195" s="65">
        <v>40146</v>
      </c>
      <c r="K1195" s="65">
        <v>40146</v>
      </c>
      <c r="L1195" s="28">
        <v>668</v>
      </c>
      <c r="M1195" s="29">
        <v>1135286</v>
      </c>
      <c r="N1195" s="30">
        <v>0</v>
      </c>
      <c r="O1195" s="30">
        <v>0</v>
      </c>
      <c r="P1195" s="30">
        <v>0</v>
      </c>
      <c r="Q1195" s="29">
        <v>0</v>
      </c>
      <c r="R1195" s="29">
        <v>1135286</v>
      </c>
      <c r="S1195" s="29">
        <v>3000</v>
      </c>
      <c r="T1195" s="29">
        <f t="shared" si="74"/>
        <v>1138286</v>
      </c>
    </row>
    <row r="1196" spans="1:20" ht="21" customHeight="1" x14ac:dyDescent="0.25">
      <c r="A1196" s="21">
        <v>154</v>
      </c>
      <c r="B1196" s="61" t="s">
        <v>3226</v>
      </c>
      <c r="C1196" s="62" t="s">
        <v>3227</v>
      </c>
      <c r="D1196" s="23" t="s">
        <v>30</v>
      </c>
      <c r="E1196" s="62" t="s">
        <v>3228</v>
      </c>
      <c r="F1196" s="63" t="s">
        <v>25</v>
      </c>
      <c r="G1196" s="76">
        <v>1820</v>
      </c>
      <c r="H1196" s="61" t="s">
        <v>26</v>
      </c>
      <c r="I1196" s="65" t="s">
        <v>3229</v>
      </c>
      <c r="J1196" s="65">
        <v>1356</v>
      </c>
      <c r="K1196" s="65">
        <v>1356</v>
      </c>
      <c r="L1196" s="28">
        <v>683</v>
      </c>
      <c r="M1196" s="29">
        <v>1160779</v>
      </c>
      <c r="N1196" s="30">
        <v>0</v>
      </c>
      <c r="O1196" s="30">
        <v>0</v>
      </c>
      <c r="P1196" s="30">
        <v>0</v>
      </c>
      <c r="Q1196" s="29">
        <v>0</v>
      </c>
      <c r="R1196" s="29">
        <v>1160779</v>
      </c>
      <c r="S1196" s="29">
        <v>3000</v>
      </c>
      <c r="T1196" s="29">
        <f t="shared" si="74"/>
        <v>1163779</v>
      </c>
    </row>
    <row r="1197" spans="1:20" ht="21" customHeight="1" x14ac:dyDescent="0.25">
      <c r="A1197" s="21">
        <v>155</v>
      </c>
      <c r="B1197" s="61" t="s">
        <v>3230</v>
      </c>
      <c r="C1197" s="62" t="s">
        <v>3231</v>
      </c>
      <c r="D1197" s="23" t="s">
        <v>30</v>
      </c>
      <c r="E1197" s="62" t="s">
        <v>3232</v>
      </c>
      <c r="F1197" s="63" t="s">
        <v>25</v>
      </c>
      <c r="G1197" s="76">
        <v>1140</v>
      </c>
      <c r="H1197" s="61" t="s">
        <v>26</v>
      </c>
      <c r="I1197" s="65" t="s">
        <v>3233</v>
      </c>
      <c r="J1197" s="65">
        <v>2188</v>
      </c>
      <c r="K1197" s="65">
        <v>2188</v>
      </c>
      <c r="L1197" s="28">
        <v>428</v>
      </c>
      <c r="M1197" s="29">
        <v>727399</v>
      </c>
      <c r="N1197" s="30">
        <v>0</v>
      </c>
      <c r="O1197" s="30">
        <v>0</v>
      </c>
      <c r="P1197" s="30">
        <v>0</v>
      </c>
      <c r="Q1197" s="29">
        <v>0</v>
      </c>
      <c r="R1197" s="29">
        <v>727399</v>
      </c>
      <c r="S1197" s="29">
        <v>3000</v>
      </c>
      <c r="T1197" s="29">
        <f t="shared" si="74"/>
        <v>730399</v>
      </c>
    </row>
    <row r="1198" spans="1:20" ht="21" customHeight="1" x14ac:dyDescent="0.25">
      <c r="A1198" s="21">
        <v>156</v>
      </c>
      <c r="B1198" s="61" t="s">
        <v>3234</v>
      </c>
      <c r="C1198" s="62" t="s">
        <v>3235</v>
      </c>
      <c r="D1198" s="23" t="s">
        <v>30</v>
      </c>
      <c r="E1198" s="62" t="s">
        <v>2994</v>
      </c>
      <c r="F1198" s="63" t="s">
        <v>25</v>
      </c>
      <c r="G1198" s="76">
        <v>2450</v>
      </c>
      <c r="H1198" s="61" t="s">
        <v>26</v>
      </c>
      <c r="I1198" s="65" t="s">
        <v>3236</v>
      </c>
      <c r="J1198" s="65">
        <v>2219</v>
      </c>
      <c r="K1198" s="65">
        <v>2219</v>
      </c>
      <c r="L1198" s="28">
        <v>919</v>
      </c>
      <c r="M1198" s="29">
        <v>1561868</v>
      </c>
      <c r="N1198" s="30">
        <v>0</v>
      </c>
      <c r="O1198" s="30">
        <v>0</v>
      </c>
      <c r="P1198" s="30">
        <v>0</v>
      </c>
      <c r="Q1198" s="29">
        <v>0</v>
      </c>
      <c r="R1198" s="29">
        <v>1561868</v>
      </c>
      <c r="S1198" s="29">
        <v>3000</v>
      </c>
      <c r="T1198" s="29">
        <f t="shared" si="74"/>
        <v>1564868</v>
      </c>
    </row>
    <row r="1199" spans="1:20" ht="21" customHeight="1" x14ac:dyDescent="0.25">
      <c r="A1199" s="21">
        <v>157</v>
      </c>
      <c r="B1199" s="61" t="s">
        <v>3237</v>
      </c>
      <c r="C1199" s="62" t="s">
        <v>3238</v>
      </c>
      <c r="D1199" s="23" t="s">
        <v>30</v>
      </c>
      <c r="E1199" s="62" t="s">
        <v>3239</v>
      </c>
      <c r="F1199" s="63" t="s">
        <v>25</v>
      </c>
      <c r="G1199" s="76">
        <v>4590</v>
      </c>
      <c r="H1199" s="61" t="s">
        <v>26</v>
      </c>
      <c r="I1199" s="65" t="s">
        <v>3240</v>
      </c>
      <c r="J1199" s="65">
        <v>3275</v>
      </c>
      <c r="K1199" s="65">
        <v>3275</v>
      </c>
      <c r="L1199" s="28">
        <v>1721</v>
      </c>
      <c r="M1199" s="29">
        <v>2924891</v>
      </c>
      <c r="N1199" s="30">
        <v>0</v>
      </c>
      <c r="O1199" s="30">
        <v>0</v>
      </c>
      <c r="P1199" s="30">
        <v>0</v>
      </c>
      <c r="Q1199" s="29">
        <v>0</v>
      </c>
      <c r="R1199" s="29">
        <v>2924891</v>
      </c>
      <c r="S1199" s="29">
        <v>3000</v>
      </c>
      <c r="T1199" s="29">
        <f t="shared" si="74"/>
        <v>2927891</v>
      </c>
    </row>
    <row r="1200" spans="1:20" ht="21" customHeight="1" x14ac:dyDescent="0.25">
      <c r="A1200" s="21">
        <v>158</v>
      </c>
      <c r="B1200" s="61" t="s">
        <v>3241</v>
      </c>
      <c r="C1200" s="62" t="s">
        <v>3242</v>
      </c>
      <c r="D1200" s="23" t="s">
        <v>30</v>
      </c>
      <c r="E1200" s="62" t="s">
        <v>2994</v>
      </c>
      <c r="F1200" s="63" t="s">
        <v>25</v>
      </c>
      <c r="G1200" s="76">
        <v>3190</v>
      </c>
      <c r="H1200" s="61" t="s">
        <v>26</v>
      </c>
      <c r="I1200" s="65" t="s">
        <v>3243</v>
      </c>
      <c r="J1200" s="65">
        <v>0</v>
      </c>
      <c r="K1200" s="65">
        <v>0</v>
      </c>
      <c r="L1200" s="28">
        <v>1196</v>
      </c>
      <c r="M1200" s="29">
        <v>2032638</v>
      </c>
      <c r="N1200" s="30">
        <v>0</v>
      </c>
      <c r="O1200" s="30">
        <v>0</v>
      </c>
      <c r="P1200" s="30">
        <v>0</v>
      </c>
      <c r="Q1200" s="29">
        <v>0</v>
      </c>
      <c r="R1200" s="29">
        <v>2032638</v>
      </c>
      <c r="S1200" s="29">
        <v>3000</v>
      </c>
      <c r="T1200" s="29">
        <f t="shared" si="74"/>
        <v>2035638</v>
      </c>
    </row>
    <row r="1201" spans="1:20" ht="21" customHeight="1" x14ac:dyDescent="0.25">
      <c r="A1201" s="24">
        <v>159</v>
      </c>
      <c r="B1201" s="61" t="s">
        <v>3244</v>
      </c>
      <c r="C1201" s="62" t="s">
        <v>3245</v>
      </c>
      <c r="D1201" s="24" t="s">
        <v>30</v>
      </c>
      <c r="E1201" s="62" t="s">
        <v>3246</v>
      </c>
      <c r="F1201" s="63" t="s">
        <v>25</v>
      </c>
      <c r="G1201" s="76">
        <v>5440</v>
      </c>
      <c r="H1201" s="61" t="s">
        <v>26</v>
      </c>
      <c r="I1201" s="65" t="s">
        <v>3247</v>
      </c>
      <c r="J1201" s="65">
        <v>59</v>
      </c>
      <c r="K1201" s="65">
        <v>59</v>
      </c>
      <c r="L1201" s="28">
        <v>2040</v>
      </c>
      <c r="M1201" s="29">
        <v>3467041</v>
      </c>
      <c r="N1201" s="30">
        <v>0</v>
      </c>
      <c r="O1201" s="30">
        <v>0</v>
      </c>
      <c r="P1201" s="30">
        <v>0</v>
      </c>
      <c r="Q1201" s="29">
        <v>0</v>
      </c>
      <c r="R1201" s="29">
        <v>3467041</v>
      </c>
      <c r="S1201" s="29">
        <v>3000</v>
      </c>
      <c r="T1201" s="29">
        <f t="shared" si="74"/>
        <v>3470041</v>
      </c>
    </row>
    <row r="1202" spans="1:20" ht="21" customHeight="1" x14ac:dyDescent="0.25">
      <c r="A1202" s="24">
        <v>160</v>
      </c>
      <c r="B1202" s="61" t="s">
        <v>3248</v>
      </c>
      <c r="C1202" s="62" t="s">
        <v>3249</v>
      </c>
      <c r="D1202" s="24" t="s">
        <v>30</v>
      </c>
      <c r="E1202" s="62" t="s">
        <v>3250</v>
      </c>
      <c r="F1202" s="63" t="s">
        <v>25</v>
      </c>
      <c r="G1202" s="76">
        <v>3440</v>
      </c>
      <c r="H1202" s="61" t="s">
        <v>26</v>
      </c>
      <c r="I1202" s="65" t="s">
        <v>3251</v>
      </c>
      <c r="J1202" s="65">
        <v>7873</v>
      </c>
      <c r="K1202" s="65">
        <v>7873</v>
      </c>
      <c r="L1202" s="28">
        <v>1290</v>
      </c>
      <c r="M1202" s="29">
        <v>2192394</v>
      </c>
      <c r="N1202" s="30">
        <v>0</v>
      </c>
      <c r="O1202" s="30">
        <v>0</v>
      </c>
      <c r="P1202" s="30">
        <v>0</v>
      </c>
      <c r="Q1202" s="29">
        <v>0</v>
      </c>
      <c r="R1202" s="29">
        <v>2192394</v>
      </c>
      <c r="S1202" s="29">
        <v>3000</v>
      </c>
      <c r="T1202" s="29">
        <f t="shared" si="74"/>
        <v>2195394</v>
      </c>
    </row>
    <row r="1203" spans="1:20" ht="21" customHeight="1" x14ac:dyDescent="0.25">
      <c r="A1203" s="21"/>
      <c r="B1203" s="75"/>
      <c r="C1203" s="24"/>
      <c r="D1203" s="23"/>
      <c r="E1203" s="24"/>
      <c r="F1203" s="25"/>
      <c r="G1203" s="120"/>
      <c r="H1203" s="28"/>
      <c r="I1203" s="25"/>
      <c r="J1203" s="25"/>
      <c r="K1203" s="25"/>
      <c r="L1203" s="28"/>
      <c r="M1203" s="29"/>
      <c r="N1203" s="30"/>
      <c r="O1203" s="30"/>
      <c r="P1203" s="30"/>
      <c r="Q1203" s="29"/>
      <c r="R1203" s="29"/>
      <c r="S1203" s="29"/>
      <c r="T1203" s="29"/>
    </row>
    <row r="1204" spans="1:20" ht="36" customHeight="1" x14ac:dyDescent="0.25">
      <c r="A1204" s="60"/>
      <c r="B1204" s="118"/>
      <c r="C1204" s="44"/>
      <c r="D1204" s="24"/>
      <c r="E1204" s="24" t="s">
        <v>179</v>
      </c>
      <c r="F1204" s="25"/>
      <c r="G1204" s="46">
        <v>864980</v>
      </c>
      <c r="H1204" s="46">
        <v>0</v>
      </c>
      <c r="I1204" s="46">
        <v>0</v>
      </c>
      <c r="J1204" s="46"/>
      <c r="K1204" s="46"/>
      <c r="L1204" s="46">
        <v>218604</v>
      </c>
      <c r="M1204" s="47">
        <v>371524060</v>
      </c>
      <c r="N1204" s="48">
        <v>0</v>
      </c>
      <c r="O1204" s="48">
        <v>0</v>
      </c>
      <c r="P1204" s="48">
        <v>0</v>
      </c>
      <c r="Q1204" s="47">
        <f>SUM(Q1161:Q1203)</f>
        <v>100000</v>
      </c>
      <c r="R1204" s="47">
        <f t="shared" ref="R1204:T1204" si="75">SUM(R1161:R1203)</f>
        <v>371624060</v>
      </c>
      <c r="S1204" s="47">
        <f t="shared" si="75"/>
        <v>480000</v>
      </c>
      <c r="T1204" s="47">
        <f t="shared" si="75"/>
        <v>372104060</v>
      </c>
    </row>
    <row r="1205" spans="1:20" ht="21" customHeight="1" x14ac:dyDescent="0.25">
      <c r="A1205" s="35"/>
      <c r="B1205" s="119"/>
      <c r="C1205" s="126"/>
      <c r="E1205" s="15"/>
      <c r="G1205" s="49"/>
      <c r="H1205" s="49"/>
      <c r="L1205" s="41"/>
    </row>
    <row r="1206" spans="1:20" ht="21" customHeight="1" x14ac:dyDescent="0.25">
      <c r="A1206" s="35"/>
      <c r="B1206" s="119"/>
      <c r="E1206" s="15"/>
      <c r="G1206" s="49"/>
      <c r="H1206" s="49"/>
      <c r="L1206" s="41"/>
    </row>
    <row r="1207" spans="1:20" ht="21" customHeight="1" x14ac:dyDescent="0.25">
      <c r="B1207" s="97"/>
      <c r="L1207" s="41"/>
    </row>
    <row r="1208" spans="1:20" s="93" customFormat="1" ht="42" customHeight="1" x14ac:dyDescent="0.25">
      <c r="A1208" s="31" t="s">
        <v>4</v>
      </c>
      <c r="B1208" s="31" t="s">
        <v>5</v>
      </c>
      <c r="C1208" s="31" t="s">
        <v>6</v>
      </c>
      <c r="D1208" s="22"/>
      <c r="E1208" s="31" t="s">
        <v>7</v>
      </c>
      <c r="F1208" s="31" t="s">
        <v>8</v>
      </c>
      <c r="G1208" s="31" t="s">
        <v>9</v>
      </c>
      <c r="H1208" s="31" t="s">
        <v>10</v>
      </c>
      <c r="I1208" s="31" t="s">
        <v>11</v>
      </c>
      <c r="J1208" s="31" t="s">
        <v>12</v>
      </c>
      <c r="K1208" s="31" t="s">
        <v>13</v>
      </c>
      <c r="L1208" s="31" t="s">
        <v>14</v>
      </c>
      <c r="M1208" s="141" t="s">
        <v>15</v>
      </c>
      <c r="N1208" s="142" t="s">
        <v>16</v>
      </c>
      <c r="O1208" s="142" t="s">
        <v>17</v>
      </c>
      <c r="P1208" s="142" t="s">
        <v>18</v>
      </c>
      <c r="Q1208" s="141" t="s">
        <v>19</v>
      </c>
      <c r="R1208" s="141" t="s">
        <v>20</v>
      </c>
      <c r="S1208" s="141" t="s">
        <v>3655</v>
      </c>
      <c r="T1208" s="141" t="s">
        <v>3656</v>
      </c>
    </row>
    <row r="1209" spans="1:20" ht="21" customHeight="1" x14ac:dyDescent="0.25">
      <c r="A1209" s="21"/>
      <c r="B1209" s="75"/>
      <c r="C1209" s="24"/>
      <c r="D1209" s="23"/>
      <c r="E1209" s="24"/>
      <c r="F1209" s="25"/>
      <c r="G1209" s="120"/>
      <c r="H1209" s="28"/>
      <c r="I1209" s="25"/>
      <c r="J1209" s="25"/>
      <c r="K1209" s="25"/>
      <c r="L1209" s="28"/>
      <c r="M1209" s="29"/>
      <c r="N1209" s="30"/>
      <c r="O1209" s="30"/>
      <c r="P1209" s="30"/>
      <c r="Q1209" s="29"/>
      <c r="R1209" s="29"/>
      <c r="S1209" s="29"/>
      <c r="T1209" s="29"/>
    </row>
    <row r="1210" spans="1:20" ht="21" customHeight="1" x14ac:dyDescent="0.25">
      <c r="A1210" s="21"/>
      <c r="B1210" s="115"/>
      <c r="C1210" s="23"/>
      <c r="D1210" s="23"/>
      <c r="E1210" s="45" t="s">
        <v>181</v>
      </c>
      <c r="F1210" s="25"/>
      <c r="G1210" s="70">
        <v>864980</v>
      </c>
      <c r="H1210" s="70">
        <v>0</v>
      </c>
      <c r="I1210" s="70">
        <v>0</v>
      </c>
      <c r="J1210" s="70"/>
      <c r="K1210" s="70"/>
      <c r="L1210" s="70">
        <v>218604</v>
      </c>
      <c r="M1210" s="47">
        <v>371524060</v>
      </c>
      <c r="N1210" s="48">
        <v>0</v>
      </c>
      <c r="O1210" s="48">
        <v>0</v>
      </c>
      <c r="P1210" s="48">
        <v>0</v>
      </c>
      <c r="Q1210" s="47">
        <f>Q1204</f>
        <v>100000</v>
      </c>
      <c r="R1210" s="47">
        <f t="shared" ref="R1210:S1210" si="76">R1204</f>
        <v>371624060</v>
      </c>
      <c r="S1210" s="47">
        <f t="shared" si="76"/>
        <v>480000</v>
      </c>
      <c r="T1210" s="47">
        <f>T1204</f>
        <v>372104060</v>
      </c>
    </row>
    <row r="1211" spans="1:20" ht="21" customHeight="1" x14ac:dyDescent="0.25">
      <c r="A1211" s="24">
        <v>161</v>
      </c>
      <c r="B1211" s="75" t="s">
        <v>3252</v>
      </c>
      <c r="C1211" s="24" t="s">
        <v>3253</v>
      </c>
      <c r="D1211" s="24" t="s">
        <v>30</v>
      </c>
      <c r="E1211" s="62" t="s">
        <v>3254</v>
      </c>
      <c r="F1211" s="63" t="s">
        <v>25</v>
      </c>
      <c r="G1211" s="76">
        <v>3450</v>
      </c>
      <c r="H1211" s="56" t="s">
        <v>26</v>
      </c>
      <c r="I1211" s="76" t="s">
        <v>3255</v>
      </c>
      <c r="J1211" s="76">
        <v>2463</v>
      </c>
      <c r="K1211" s="76">
        <v>2463</v>
      </c>
      <c r="L1211" s="28">
        <v>1294</v>
      </c>
      <c r="M1211" s="29">
        <v>2199192</v>
      </c>
      <c r="N1211" s="30">
        <v>0</v>
      </c>
      <c r="O1211" s="30">
        <v>0</v>
      </c>
      <c r="P1211" s="30">
        <v>0</v>
      </c>
      <c r="Q1211" s="29">
        <v>0</v>
      </c>
      <c r="R1211" s="29">
        <v>2199192</v>
      </c>
      <c r="S1211" s="29">
        <v>3000</v>
      </c>
      <c r="T1211" s="29">
        <f t="shared" ref="T1211:T1250" si="77">R1211+S1211</f>
        <v>2202192</v>
      </c>
    </row>
    <row r="1212" spans="1:20" ht="21" customHeight="1" x14ac:dyDescent="0.25">
      <c r="A1212" s="24">
        <v>162</v>
      </c>
      <c r="B1212" s="75" t="s">
        <v>3256</v>
      </c>
      <c r="C1212" s="24" t="s">
        <v>3257</v>
      </c>
      <c r="D1212" s="24" t="s">
        <v>30</v>
      </c>
      <c r="E1212" s="62" t="s">
        <v>3258</v>
      </c>
      <c r="F1212" s="63" t="s">
        <v>25</v>
      </c>
      <c r="G1212" s="76">
        <v>2155</v>
      </c>
      <c r="H1212" s="56" t="s">
        <v>26</v>
      </c>
      <c r="I1212" s="76" t="s">
        <v>3259</v>
      </c>
      <c r="J1212" s="76">
        <v>0</v>
      </c>
      <c r="K1212" s="76">
        <v>0</v>
      </c>
      <c r="L1212" s="28">
        <v>808</v>
      </c>
      <c r="M1212" s="29">
        <v>1373220</v>
      </c>
      <c r="N1212" s="30">
        <v>0</v>
      </c>
      <c r="O1212" s="30">
        <v>0</v>
      </c>
      <c r="P1212" s="30">
        <v>0</v>
      </c>
      <c r="Q1212" s="29">
        <v>0</v>
      </c>
      <c r="R1212" s="29">
        <v>1373220</v>
      </c>
      <c r="S1212" s="29">
        <v>3000</v>
      </c>
      <c r="T1212" s="29">
        <f t="shared" si="77"/>
        <v>1376220</v>
      </c>
    </row>
    <row r="1213" spans="1:20" ht="21" customHeight="1" x14ac:dyDescent="0.25">
      <c r="A1213" s="24">
        <v>163</v>
      </c>
      <c r="B1213" s="75" t="s">
        <v>3260</v>
      </c>
      <c r="C1213" s="24" t="s">
        <v>3261</v>
      </c>
      <c r="D1213" s="24" t="s">
        <v>30</v>
      </c>
      <c r="E1213" s="62" t="s">
        <v>3262</v>
      </c>
      <c r="F1213" s="63" t="s">
        <v>25</v>
      </c>
      <c r="G1213" s="76">
        <v>4400</v>
      </c>
      <c r="H1213" s="56" t="s">
        <v>26</v>
      </c>
      <c r="I1213" s="76" t="s">
        <v>3263</v>
      </c>
      <c r="J1213" s="76">
        <v>18547</v>
      </c>
      <c r="K1213" s="76">
        <v>19102</v>
      </c>
      <c r="L1213" s="28">
        <v>555</v>
      </c>
      <c r="M1213" s="29">
        <v>943239</v>
      </c>
      <c r="N1213" s="30">
        <v>0</v>
      </c>
      <c r="O1213" s="30">
        <v>0</v>
      </c>
      <c r="P1213" s="30">
        <v>0</v>
      </c>
      <c r="Q1213" s="29">
        <v>0</v>
      </c>
      <c r="R1213" s="29">
        <v>943239</v>
      </c>
      <c r="S1213" s="29">
        <v>3000</v>
      </c>
      <c r="T1213" s="29">
        <f t="shared" si="77"/>
        <v>946239</v>
      </c>
    </row>
    <row r="1214" spans="1:20" ht="21" customHeight="1" x14ac:dyDescent="0.25">
      <c r="A1214" s="24">
        <v>164</v>
      </c>
      <c r="B1214" s="75" t="s">
        <v>3264</v>
      </c>
      <c r="C1214" s="24" t="s">
        <v>3265</v>
      </c>
      <c r="D1214" s="24" t="s">
        <v>30</v>
      </c>
      <c r="E1214" s="62" t="s">
        <v>2829</v>
      </c>
      <c r="F1214" s="63" t="s">
        <v>25</v>
      </c>
      <c r="G1214" s="76">
        <v>3500</v>
      </c>
      <c r="H1214" s="56" t="s">
        <v>26</v>
      </c>
      <c r="I1214" s="76" t="s">
        <v>3266</v>
      </c>
      <c r="J1214" s="76">
        <v>39181</v>
      </c>
      <c r="K1214" s="76">
        <v>40289</v>
      </c>
      <c r="L1214" s="28">
        <v>1108</v>
      </c>
      <c r="M1214" s="29">
        <v>1883079</v>
      </c>
      <c r="N1214" s="30">
        <v>0</v>
      </c>
      <c r="O1214" s="30">
        <v>0</v>
      </c>
      <c r="P1214" s="30">
        <v>0</v>
      </c>
      <c r="Q1214" s="29">
        <v>0</v>
      </c>
      <c r="R1214" s="29">
        <v>1883079</v>
      </c>
      <c r="S1214" s="29">
        <v>3000</v>
      </c>
      <c r="T1214" s="29">
        <f t="shared" si="77"/>
        <v>1886079</v>
      </c>
    </row>
    <row r="1215" spans="1:20" ht="21" customHeight="1" x14ac:dyDescent="0.25">
      <c r="A1215" s="24">
        <v>165</v>
      </c>
      <c r="B1215" s="75" t="s">
        <v>3267</v>
      </c>
      <c r="C1215" s="24" t="s">
        <v>3268</v>
      </c>
      <c r="D1215" s="24" t="s">
        <v>30</v>
      </c>
      <c r="E1215" s="62" t="s">
        <v>3006</v>
      </c>
      <c r="F1215" s="63" t="s">
        <v>25</v>
      </c>
      <c r="G1215" s="76">
        <v>2200</v>
      </c>
      <c r="H1215" s="56" t="s">
        <v>26</v>
      </c>
      <c r="I1215" s="76" t="s">
        <v>3269</v>
      </c>
      <c r="J1215" s="76">
        <v>2782</v>
      </c>
      <c r="K1215" s="76">
        <v>3149</v>
      </c>
      <c r="L1215" s="28">
        <v>367</v>
      </c>
      <c r="M1215" s="29">
        <v>623728</v>
      </c>
      <c r="N1215" s="30">
        <v>0</v>
      </c>
      <c r="O1215" s="30">
        <v>0</v>
      </c>
      <c r="P1215" s="30">
        <v>0</v>
      </c>
      <c r="Q1215" s="29">
        <v>0</v>
      </c>
      <c r="R1215" s="29">
        <v>623728</v>
      </c>
      <c r="S1215" s="29">
        <v>3000</v>
      </c>
      <c r="T1215" s="29">
        <f t="shared" si="77"/>
        <v>626728</v>
      </c>
    </row>
    <row r="1216" spans="1:20" ht="21" customHeight="1" x14ac:dyDescent="0.25">
      <c r="A1216" s="24">
        <v>166</v>
      </c>
      <c r="B1216" s="75" t="s">
        <v>3270</v>
      </c>
      <c r="C1216" s="24" t="s">
        <v>3271</v>
      </c>
      <c r="D1216" s="24" t="s">
        <v>30</v>
      </c>
      <c r="E1216" s="62" t="s">
        <v>3010</v>
      </c>
      <c r="F1216" s="63" t="s">
        <v>25</v>
      </c>
      <c r="G1216" s="76">
        <v>2200</v>
      </c>
      <c r="H1216" s="56" t="s">
        <v>26</v>
      </c>
      <c r="I1216" s="76" t="s">
        <v>3272</v>
      </c>
      <c r="J1216" s="76">
        <v>46872</v>
      </c>
      <c r="K1216" s="76">
        <v>47824</v>
      </c>
      <c r="L1216" s="28">
        <v>952</v>
      </c>
      <c r="M1216" s="29">
        <v>1617953</v>
      </c>
      <c r="N1216" s="30">
        <v>0</v>
      </c>
      <c r="O1216" s="30">
        <v>0</v>
      </c>
      <c r="P1216" s="30">
        <v>0</v>
      </c>
      <c r="Q1216" s="29">
        <v>0</v>
      </c>
      <c r="R1216" s="29">
        <v>1617953</v>
      </c>
      <c r="S1216" s="29">
        <v>3000</v>
      </c>
      <c r="T1216" s="29">
        <f t="shared" si="77"/>
        <v>1620953</v>
      </c>
    </row>
    <row r="1217" spans="1:20" ht="21" customHeight="1" x14ac:dyDescent="0.25">
      <c r="A1217" s="24">
        <v>167</v>
      </c>
      <c r="B1217" s="75" t="s">
        <v>3273</v>
      </c>
      <c r="C1217" s="24" t="s">
        <v>3274</v>
      </c>
      <c r="D1217" s="24" t="s">
        <v>30</v>
      </c>
      <c r="E1217" s="62" t="s">
        <v>2849</v>
      </c>
      <c r="F1217" s="63" t="s">
        <v>25</v>
      </c>
      <c r="G1217" s="76">
        <v>2200</v>
      </c>
      <c r="H1217" s="56" t="s">
        <v>26</v>
      </c>
      <c r="I1217" s="76" t="s">
        <v>3275</v>
      </c>
      <c r="J1217" s="76">
        <v>48077</v>
      </c>
      <c r="K1217" s="76">
        <v>48988</v>
      </c>
      <c r="L1217" s="28">
        <v>911</v>
      </c>
      <c r="M1217" s="29">
        <v>1548272</v>
      </c>
      <c r="N1217" s="30">
        <v>0</v>
      </c>
      <c r="O1217" s="30">
        <v>0</v>
      </c>
      <c r="P1217" s="30">
        <v>0</v>
      </c>
      <c r="Q1217" s="29">
        <v>0</v>
      </c>
      <c r="R1217" s="29">
        <v>1548272</v>
      </c>
      <c r="S1217" s="29">
        <v>3000</v>
      </c>
      <c r="T1217" s="29">
        <f t="shared" si="77"/>
        <v>1551272</v>
      </c>
    </row>
    <row r="1218" spans="1:20" ht="21" customHeight="1" x14ac:dyDescent="0.25">
      <c r="A1218" s="24">
        <v>168</v>
      </c>
      <c r="B1218" s="75" t="s">
        <v>3276</v>
      </c>
      <c r="C1218" s="24" t="s">
        <v>3277</v>
      </c>
      <c r="D1218" s="24" t="s">
        <v>30</v>
      </c>
      <c r="E1218" s="62" t="s">
        <v>3278</v>
      </c>
      <c r="F1218" s="63" t="s">
        <v>25</v>
      </c>
      <c r="G1218" s="76">
        <v>3500</v>
      </c>
      <c r="H1218" s="56" t="s">
        <v>26</v>
      </c>
      <c r="I1218" s="76" t="s">
        <v>3279</v>
      </c>
      <c r="J1218" s="76">
        <v>99282</v>
      </c>
      <c r="K1218" s="76">
        <v>945</v>
      </c>
      <c r="L1218" s="28">
        <v>1663</v>
      </c>
      <c r="M1218" s="29">
        <v>2826318</v>
      </c>
      <c r="N1218" s="30">
        <v>0</v>
      </c>
      <c r="O1218" s="30">
        <v>0</v>
      </c>
      <c r="P1218" s="30">
        <v>0</v>
      </c>
      <c r="Q1218" s="29">
        <v>0</v>
      </c>
      <c r="R1218" s="29">
        <v>2826318</v>
      </c>
      <c r="S1218" s="29">
        <v>3000</v>
      </c>
      <c r="T1218" s="29">
        <f t="shared" si="77"/>
        <v>2829318</v>
      </c>
    </row>
    <row r="1219" spans="1:20" ht="21" customHeight="1" x14ac:dyDescent="0.25">
      <c r="A1219" s="24">
        <v>169</v>
      </c>
      <c r="B1219" s="75" t="s">
        <v>3280</v>
      </c>
      <c r="C1219" s="24" t="s">
        <v>3281</v>
      </c>
      <c r="D1219" s="24" t="s">
        <v>30</v>
      </c>
      <c r="E1219" s="62" t="s">
        <v>3282</v>
      </c>
      <c r="F1219" s="63" t="s">
        <v>25</v>
      </c>
      <c r="G1219" s="76">
        <v>2200</v>
      </c>
      <c r="H1219" s="56" t="s">
        <v>26</v>
      </c>
      <c r="I1219" s="76" t="s">
        <v>3283</v>
      </c>
      <c r="J1219" s="76">
        <v>29227</v>
      </c>
      <c r="K1219" s="76">
        <v>29699</v>
      </c>
      <c r="L1219" s="28">
        <v>472</v>
      </c>
      <c r="M1219" s="29">
        <v>802178</v>
      </c>
      <c r="N1219" s="30">
        <v>0</v>
      </c>
      <c r="O1219" s="30">
        <v>0</v>
      </c>
      <c r="P1219" s="30">
        <v>0</v>
      </c>
      <c r="Q1219" s="29">
        <v>0</v>
      </c>
      <c r="R1219" s="29">
        <v>802178</v>
      </c>
      <c r="S1219" s="29">
        <v>3000</v>
      </c>
      <c r="T1219" s="29">
        <f t="shared" si="77"/>
        <v>805178</v>
      </c>
    </row>
    <row r="1220" spans="1:20" ht="21" customHeight="1" x14ac:dyDescent="0.25">
      <c r="A1220" s="24">
        <v>170</v>
      </c>
      <c r="B1220" s="75" t="s">
        <v>3284</v>
      </c>
      <c r="C1220" s="24" t="s">
        <v>3285</v>
      </c>
      <c r="D1220" s="24" t="s">
        <v>30</v>
      </c>
      <c r="E1220" s="62" t="s">
        <v>3286</v>
      </c>
      <c r="F1220" s="63" t="s">
        <v>25</v>
      </c>
      <c r="G1220" s="76">
        <v>2200</v>
      </c>
      <c r="H1220" s="56" t="s">
        <v>26</v>
      </c>
      <c r="I1220" s="76" t="s">
        <v>3287</v>
      </c>
      <c r="J1220" s="76">
        <v>29370</v>
      </c>
      <c r="K1220" s="76">
        <v>29532</v>
      </c>
      <c r="L1220" s="28">
        <v>162</v>
      </c>
      <c r="M1220" s="29">
        <v>275324</v>
      </c>
      <c r="N1220" s="30">
        <v>0</v>
      </c>
      <c r="O1220" s="30">
        <v>0</v>
      </c>
      <c r="P1220" s="30">
        <v>0</v>
      </c>
      <c r="Q1220" s="29">
        <v>0</v>
      </c>
      <c r="R1220" s="29">
        <v>275324</v>
      </c>
      <c r="S1220" s="29">
        <v>3000</v>
      </c>
      <c r="T1220" s="29">
        <f t="shared" si="77"/>
        <v>278324</v>
      </c>
    </row>
    <row r="1221" spans="1:20" ht="21" customHeight="1" x14ac:dyDescent="0.25">
      <c r="A1221" s="24">
        <v>171</v>
      </c>
      <c r="B1221" s="75" t="s">
        <v>3288</v>
      </c>
      <c r="C1221" s="24" t="s">
        <v>3289</v>
      </c>
      <c r="D1221" s="24" t="s">
        <v>30</v>
      </c>
      <c r="E1221" s="62" t="s">
        <v>2322</v>
      </c>
      <c r="F1221" s="63" t="s">
        <v>25</v>
      </c>
      <c r="G1221" s="76">
        <v>2200</v>
      </c>
      <c r="H1221" s="56" t="s">
        <v>26</v>
      </c>
      <c r="I1221" s="76" t="s">
        <v>3290</v>
      </c>
      <c r="J1221" s="76">
        <v>31333</v>
      </c>
      <c r="K1221" s="76">
        <v>31914</v>
      </c>
      <c r="L1221" s="28">
        <v>581</v>
      </c>
      <c r="M1221" s="29">
        <v>987427</v>
      </c>
      <c r="N1221" s="30">
        <v>0</v>
      </c>
      <c r="O1221" s="30">
        <v>0</v>
      </c>
      <c r="P1221" s="30">
        <v>0</v>
      </c>
      <c r="Q1221" s="29">
        <v>0</v>
      </c>
      <c r="R1221" s="29">
        <v>987427</v>
      </c>
      <c r="S1221" s="29">
        <v>3000</v>
      </c>
      <c r="T1221" s="29">
        <f t="shared" si="77"/>
        <v>990427</v>
      </c>
    </row>
    <row r="1222" spans="1:20" ht="21" customHeight="1" x14ac:dyDescent="0.25">
      <c r="A1222" s="24">
        <v>172</v>
      </c>
      <c r="B1222" s="75" t="s">
        <v>3291</v>
      </c>
      <c r="C1222" s="24" t="s">
        <v>3292</v>
      </c>
      <c r="D1222" s="24" t="s">
        <v>30</v>
      </c>
      <c r="E1222" s="62" t="s">
        <v>3293</v>
      </c>
      <c r="F1222" s="63" t="s">
        <v>25</v>
      </c>
      <c r="G1222" s="76">
        <v>3500</v>
      </c>
      <c r="H1222" s="56" t="s">
        <v>26</v>
      </c>
      <c r="I1222" s="76" t="s">
        <v>3294</v>
      </c>
      <c r="J1222" s="76">
        <v>74169</v>
      </c>
      <c r="K1222" s="76">
        <v>75426</v>
      </c>
      <c r="L1222" s="28">
        <v>1257</v>
      </c>
      <c r="M1222" s="29">
        <v>2136309</v>
      </c>
      <c r="N1222" s="30">
        <v>0</v>
      </c>
      <c r="O1222" s="30">
        <v>0</v>
      </c>
      <c r="P1222" s="30">
        <v>0</v>
      </c>
      <c r="Q1222" s="29">
        <v>0</v>
      </c>
      <c r="R1222" s="29">
        <v>2136309</v>
      </c>
      <c r="S1222" s="29">
        <v>3000</v>
      </c>
      <c r="T1222" s="29">
        <f t="shared" si="77"/>
        <v>2139309</v>
      </c>
    </row>
    <row r="1223" spans="1:20" ht="21" customHeight="1" x14ac:dyDescent="0.25">
      <c r="A1223" s="24">
        <v>173</v>
      </c>
      <c r="B1223" s="75" t="s">
        <v>3295</v>
      </c>
      <c r="C1223" s="24" t="s">
        <v>3296</v>
      </c>
      <c r="D1223" s="24" t="s">
        <v>30</v>
      </c>
      <c r="E1223" s="62" t="s">
        <v>2837</v>
      </c>
      <c r="F1223" s="63" t="s">
        <v>25</v>
      </c>
      <c r="G1223" s="76">
        <v>3500</v>
      </c>
      <c r="H1223" s="56" t="s">
        <v>26</v>
      </c>
      <c r="I1223" s="76" t="s">
        <v>3297</v>
      </c>
      <c r="J1223" s="76">
        <v>81554</v>
      </c>
      <c r="K1223" s="76">
        <v>82453</v>
      </c>
      <c r="L1223" s="28">
        <v>899</v>
      </c>
      <c r="M1223" s="29">
        <v>1527877</v>
      </c>
      <c r="N1223" s="30">
        <v>0</v>
      </c>
      <c r="O1223" s="30">
        <v>0</v>
      </c>
      <c r="P1223" s="30">
        <v>0</v>
      </c>
      <c r="Q1223" s="29">
        <v>0</v>
      </c>
      <c r="R1223" s="29">
        <v>1527877</v>
      </c>
      <c r="S1223" s="29">
        <v>3000</v>
      </c>
      <c r="T1223" s="29">
        <f t="shared" si="77"/>
        <v>1530877</v>
      </c>
    </row>
    <row r="1224" spans="1:20" ht="21" customHeight="1" x14ac:dyDescent="0.25">
      <c r="A1224" s="24">
        <v>174</v>
      </c>
      <c r="B1224" s="75" t="s">
        <v>3298</v>
      </c>
      <c r="C1224" s="24" t="s">
        <v>3299</v>
      </c>
      <c r="D1224" s="24" t="s">
        <v>30</v>
      </c>
      <c r="E1224" s="62" t="s">
        <v>2849</v>
      </c>
      <c r="F1224" s="63" t="s">
        <v>25</v>
      </c>
      <c r="G1224" s="76">
        <v>3500</v>
      </c>
      <c r="H1224" s="56" t="s">
        <v>26</v>
      </c>
      <c r="I1224" s="76" t="s">
        <v>3300</v>
      </c>
      <c r="J1224" s="76">
        <v>58371</v>
      </c>
      <c r="K1224" s="76">
        <v>58371</v>
      </c>
      <c r="L1224" s="28">
        <v>140</v>
      </c>
      <c r="M1224" s="29">
        <v>237934</v>
      </c>
      <c r="N1224" s="30">
        <v>0</v>
      </c>
      <c r="O1224" s="30">
        <v>0</v>
      </c>
      <c r="P1224" s="30">
        <v>0</v>
      </c>
      <c r="Q1224" s="29">
        <v>0</v>
      </c>
      <c r="R1224" s="29">
        <v>237934</v>
      </c>
      <c r="S1224" s="29">
        <v>3000</v>
      </c>
      <c r="T1224" s="29">
        <f t="shared" si="77"/>
        <v>240934</v>
      </c>
    </row>
    <row r="1225" spans="1:20" ht="21" customHeight="1" x14ac:dyDescent="0.25">
      <c r="A1225" s="24">
        <v>175</v>
      </c>
      <c r="B1225" s="75" t="s">
        <v>3301</v>
      </c>
      <c r="C1225" s="24" t="s">
        <v>3302</v>
      </c>
      <c r="D1225" s="24" t="s">
        <v>30</v>
      </c>
      <c r="E1225" s="62" t="s">
        <v>3246</v>
      </c>
      <c r="F1225" s="63" t="s">
        <v>25</v>
      </c>
      <c r="G1225" s="76">
        <v>2200</v>
      </c>
      <c r="H1225" s="56" t="s">
        <v>26</v>
      </c>
      <c r="I1225" s="76" t="s">
        <v>3303</v>
      </c>
      <c r="J1225" s="76">
        <v>29974</v>
      </c>
      <c r="K1225" s="76">
        <v>30517</v>
      </c>
      <c r="L1225" s="28">
        <v>543</v>
      </c>
      <c r="M1225" s="29">
        <v>922845</v>
      </c>
      <c r="N1225" s="30">
        <v>0</v>
      </c>
      <c r="O1225" s="30">
        <v>0</v>
      </c>
      <c r="P1225" s="30">
        <v>0</v>
      </c>
      <c r="Q1225" s="29">
        <v>0</v>
      </c>
      <c r="R1225" s="29">
        <v>922845</v>
      </c>
      <c r="S1225" s="29">
        <v>3000</v>
      </c>
      <c r="T1225" s="29">
        <f t="shared" si="77"/>
        <v>925845</v>
      </c>
    </row>
    <row r="1226" spans="1:20" ht="21" customHeight="1" x14ac:dyDescent="0.25">
      <c r="A1226" s="24">
        <v>176</v>
      </c>
      <c r="B1226" s="75" t="s">
        <v>3304</v>
      </c>
      <c r="C1226" s="24" t="s">
        <v>3305</v>
      </c>
      <c r="D1226" s="24" t="s">
        <v>30</v>
      </c>
      <c r="E1226" s="62" t="s">
        <v>3306</v>
      </c>
      <c r="F1226" s="63" t="s">
        <v>25</v>
      </c>
      <c r="G1226" s="76">
        <v>2200</v>
      </c>
      <c r="H1226" s="56" t="s">
        <v>26</v>
      </c>
      <c r="I1226" s="76" t="s">
        <v>3307</v>
      </c>
      <c r="J1226" s="76">
        <v>44109</v>
      </c>
      <c r="K1226" s="76">
        <v>44618</v>
      </c>
      <c r="L1226" s="28">
        <v>509</v>
      </c>
      <c r="M1226" s="29">
        <v>865061</v>
      </c>
      <c r="N1226" s="30">
        <v>0</v>
      </c>
      <c r="O1226" s="30">
        <v>0</v>
      </c>
      <c r="P1226" s="30">
        <v>0</v>
      </c>
      <c r="Q1226" s="29">
        <v>0</v>
      </c>
      <c r="R1226" s="29">
        <v>865061</v>
      </c>
      <c r="S1226" s="29">
        <v>3000</v>
      </c>
      <c r="T1226" s="29">
        <f t="shared" si="77"/>
        <v>868061</v>
      </c>
    </row>
    <row r="1227" spans="1:20" ht="21" customHeight="1" x14ac:dyDescent="0.25">
      <c r="A1227" s="24">
        <v>177</v>
      </c>
      <c r="B1227" s="75" t="s">
        <v>3308</v>
      </c>
      <c r="C1227" s="24" t="s">
        <v>3277</v>
      </c>
      <c r="D1227" s="24" t="s">
        <v>30</v>
      </c>
      <c r="E1227" s="62" t="s">
        <v>3278</v>
      </c>
      <c r="F1227" s="63" t="s">
        <v>25</v>
      </c>
      <c r="G1227" s="76">
        <v>2200</v>
      </c>
      <c r="H1227" s="56" t="s">
        <v>26</v>
      </c>
      <c r="I1227" s="76" t="s">
        <v>3309</v>
      </c>
      <c r="J1227" s="76">
        <v>39425</v>
      </c>
      <c r="K1227" s="76">
        <v>39954</v>
      </c>
      <c r="L1227" s="28">
        <v>529</v>
      </c>
      <c r="M1227" s="29">
        <v>899051</v>
      </c>
      <c r="N1227" s="30">
        <v>0</v>
      </c>
      <c r="O1227" s="30">
        <v>0</v>
      </c>
      <c r="P1227" s="30">
        <v>0</v>
      </c>
      <c r="Q1227" s="29">
        <v>0</v>
      </c>
      <c r="R1227" s="29">
        <v>899051</v>
      </c>
      <c r="S1227" s="29">
        <v>3000</v>
      </c>
      <c r="T1227" s="29">
        <f t="shared" si="77"/>
        <v>902051</v>
      </c>
    </row>
    <row r="1228" spans="1:20" ht="21" customHeight="1" x14ac:dyDescent="0.25">
      <c r="A1228" s="24">
        <v>178</v>
      </c>
      <c r="B1228" s="75" t="s">
        <v>3310</v>
      </c>
      <c r="C1228" s="24" t="s">
        <v>3311</v>
      </c>
      <c r="D1228" s="24" t="s">
        <v>30</v>
      </c>
      <c r="E1228" s="62" t="s">
        <v>3224</v>
      </c>
      <c r="F1228" s="63" t="s">
        <v>25</v>
      </c>
      <c r="G1228" s="76">
        <v>2200</v>
      </c>
      <c r="H1228" s="56" t="s">
        <v>26</v>
      </c>
      <c r="I1228" s="76" t="s">
        <v>3312</v>
      </c>
      <c r="J1228" s="76">
        <v>34215</v>
      </c>
      <c r="K1228" s="76">
        <v>34824</v>
      </c>
      <c r="L1228" s="28">
        <v>609</v>
      </c>
      <c r="M1228" s="29">
        <v>1035014</v>
      </c>
      <c r="N1228" s="30">
        <v>0</v>
      </c>
      <c r="O1228" s="30">
        <v>0</v>
      </c>
      <c r="P1228" s="30">
        <v>0</v>
      </c>
      <c r="Q1228" s="29">
        <v>0</v>
      </c>
      <c r="R1228" s="29">
        <v>1035014</v>
      </c>
      <c r="S1228" s="29">
        <v>3000</v>
      </c>
      <c r="T1228" s="29">
        <f t="shared" si="77"/>
        <v>1038014</v>
      </c>
    </row>
    <row r="1229" spans="1:20" ht="21" customHeight="1" x14ac:dyDescent="0.25">
      <c r="A1229" s="24">
        <v>179</v>
      </c>
      <c r="B1229" s="75" t="s">
        <v>3313</v>
      </c>
      <c r="C1229" s="24" t="s">
        <v>3314</v>
      </c>
      <c r="D1229" s="24" t="s">
        <v>30</v>
      </c>
      <c r="E1229" s="62" t="s">
        <v>3315</v>
      </c>
      <c r="F1229" s="63" t="s">
        <v>25</v>
      </c>
      <c r="G1229" s="76">
        <v>2200</v>
      </c>
      <c r="H1229" s="56" t="s">
        <v>26</v>
      </c>
      <c r="I1229" s="76" t="s">
        <v>3316</v>
      </c>
      <c r="J1229" s="76">
        <v>19834</v>
      </c>
      <c r="K1229" s="76">
        <v>20113</v>
      </c>
      <c r="L1229" s="28">
        <v>279</v>
      </c>
      <c r="M1229" s="29">
        <v>474169</v>
      </c>
      <c r="N1229" s="30">
        <v>0</v>
      </c>
      <c r="O1229" s="30">
        <v>0</v>
      </c>
      <c r="P1229" s="30">
        <v>0</v>
      </c>
      <c r="Q1229" s="29">
        <v>0</v>
      </c>
      <c r="R1229" s="29">
        <v>474169</v>
      </c>
      <c r="S1229" s="29">
        <v>3000</v>
      </c>
      <c r="T1229" s="29">
        <f t="shared" si="77"/>
        <v>477169</v>
      </c>
    </row>
    <row r="1230" spans="1:20" ht="21" customHeight="1" x14ac:dyDescent="0.25">
      <c r="A1230" s="24">
        <v>180</v>
      </c>
      <c r="B1230" s="75" t="s">
        <v>3317</v>
      </c>
      <c r="C1230" s="24" t="s">
        <v>3318</v>
      </c>
      <c r="D1230" s="24" t="s">
        <v>30</v>
      </c>
      <c r="E1230" s="62" t="s">
        <v>3258</v>
      </c>
      <c r="F1230" s="63" t="s">
        <v>25</v>
      </c>
      <c r="G1230" s="76">
        <v>4400</v>
      </c>
      <c r="H1230" s="56" t="s">
        <v>26</v>
      </c>
      <c r="I1230" s="76" t="s">
        <v>3319</v>
      </c>
      <c r="J1230" s="76">
        <v>6869</v>
      </c>
      <c r="K1230" s="76">
        <v>8747</v>
      </c>
      <c r="L1230" s="28">
        <v>1878</v>
      </c>
      <c r="M1230" s="29">
        <v>3191717</v>
      </c>
      <c r="N1230" s="30">
        <v>0</v>
      </c>
      <c r="O1230" s="30">
        <v>0</v>
      </c>
      <c r="P1230" s="30">
        <v>0</v>
      </c>
      <c r="Q1230" s="29">
        <v>0</v>
      </c>
      <c r="R1230" s="29">
        <v>3191717</v>
      </c>
      <c r="S1230" s="29">
        <v>3000</v>
      </c>
      <c r="T1230" s="29">
        <f t="shared" si="77"/>
        <v>3194717</v>
      </c>
    </row>
    <row r="1231" spans="1:20" ht="21" customHeight="1" x14ac:dyDescent="0.25">
      <c r="A1231" s="24">
        <v>181</v>
      </c>
      <c r="B1231" s="75" t="s">
        <v>3320</v>
      </c>
      <c r="C1231" s="24" t="s">
        <v>3321</v>
      </c>
      <c r="D1231" s="24" t="s">
        <v>30</v>
      </c>
      <c r="E1231" s="62" t="s">
        <v>3322</v>
      </c>
      <c r="F1231" s="63" t="s">
        <v>25</v>
      </c>
      <c r="G1231" s="76">
        <v>2200</v>
      </c>
      <c r="H1231" s="56" t="s">
        <v>26</v>
      </c>
      <c r="I1231" s="76" t="s">
        <v>3323</v>
      </c>
      <c r="J1231" s="76">
        <v>33022</v>
      </c>
      <c r="K1231" s="76">
        <v>34043</v>
      </c>
      <c r="L1231" s="28">
        <v>1021</v>
      </c>
      <c r="M1231" s="29">
        <v>1735220</v>
      </c>
      <c r="N1231" s="30">
        <v>0</v>
      </c>
      <c r="O1231" s="30">
        <v>0</v>
      </c>
      <c r="P1231" s="30">
        <v>0</v>
      </c>
      <c r="Q1231" s="29">
        <v>0</v>
      </c>
      <c r="R1231" s="29">
        <v>1735220</v>
      </c>
      <c r="S1231" s="29">
        <v>3000</v>
      </c>
      <c r="T1231" s="29">
        <f t="shared" si="77"/>
        <v>1738220</v>
      </c>
    </row>
    <row r="1232" spans="1:20" ht="21" customHeight="1" x14ac:dyDescent="0.25">
      <c r="A1232" s="24">
        <v>182</v>
      </c>
      <c r="B1232" s="75" t="s">
        <v>3324</v>
      </c>
      <c r="C1232" s="24" t="s">
        <v>3325</v>
      </c>
      <c r="D1232" s="24" t="s">
        <v>30</v>
      </c>
      <c r="E1232" s="62" t="s">
        <v>3326</v>
      </c>
      <c r="F1232" s="63" t="s">
        <v>25</v>
      </c>
      <c r="G1232" s="76">
        <v>3500</v>
      </c>
      <c r="H1232" s="56" t="s">
        <v>26</v>
      </c>
      <c r="I1232" s="76" t="s">
        <v>3327</v>
      </c>
      <c r="J1232" s="76">
        <v>37598</v>
      </c>
      <c r="K1232" s="76">
        <v>38424</v>
      </c>
      <c r="L1232" s="28">
        <v>826</v>
      </c>
      <c r="M1232" s="29">
        <v>1403812</v>
      </c>
      <c r="N1232" s="30">
        <v>0</v>
      </c>
      <c r="O1232" s="30">
        <v>0</v>
      </c>
      <c r="P1232" s="30">
        <v>0</v>
      </c>
      <c r="Q1232" s="29">
        <v>0</v>
      </c>
      <c r="R1232" s="29">
        <v>1403812</v>
      </c>
      <c r="S1232" s="29">
        <v>3000</v>
      </c>
      <c r="T1232" s="29">
        <f t="shared" si="77"/>
        <v>1406812</v>
      </c>
    </row>
    <row r="1233" spans="1:20" ht="21" customHeight="1" x14ac:dyDescent="0.25">
      <c r="A1233" s="24">
        <v>183</v>
      </c>
      <c r="B1233" s="75" t="s">
        <v>3328</v>
      </c>
      <c r="C1233" s="24" t="s">
        <v>3329</v>
      </c>
      <c r="D1233" s="24" t="s">
        <v>30</v>
      </c>
      <c r="E1233" s="62" t="s">
        <v>631</v>
      </c>
      <c r="F1233" s="63" t="s">
        <v>25</v>
      </c>
      <c r="G1233" s="76">
        <v>4400</v>
      </c>
      <c r="H1233" s="56" t="s">
        <v>26</v>
      </c>
      <c r="I1233" s="76" t="s">
        <v>3330</v>
      </c>
      <c r="J1233" s="76">
        <v>78606</v>
      </c>
      <c r="K1233" s="76">
        <v>79515</v>
      </c>
      <c r="L1233" s="28">
        <v>909</v>
      </c>
      <c r="M1233" s="29">
        <v>1544873</v>
      </c>
      <c r="N1233" s="30">
        <v>0</v>
      </c>
      <c r="O1233" s="30">
        <v>0</v>
      </c>
      <c r="P1233" s="30">
        <v>0</v>
      </c>
      <c r="Q1233" s="29">
        <v>0</v>
      </c>
      <c r="R1233" s="29">
        <v>1544873</v>
      </c>
      <c r="S1233" s="29">
        <v>3000</v>
      </c>
      <c r="T1233" s="29">
        <f t="shared" si="77"/>
        <v>1547873</v>
      </c>
    </row>
    <row r="1234" spans="1:20" ht="21" customHeight="1" x14ac:dyDescent="0.25">
      <c r="A1234" s="24">
        <v>184</v>
      </c>
      <c r="B1234" s="75" t="s">
        <v>3331</v>
      </c>
      <c r="C1234" s="24" t="s">
        <v>3332</v>
      </c>
      <c r="D1234" s="24" t="s">
        <v>30</v>
      </c>
      <c r="E1234" s="62" t="s">
        <v>2673</v>
      </c>
      <c r="F1234" s="63" t="s">
        <v>25</v>
      </c>
      <c r="G1234" s="76">
        <v>3500</v>
      </c>
      <c r="H1234" s="56" t="s">
        <v>26</v>
      </c>
      <c r="I1234" s="76" t="s">
        <v>3333</v>
      </c>
      <c r="J1234" s="76">
        <v>88216</v>
      </c>
      <c r="K1234" s="76">
        <v>89350</v>
      </c>
      <c r="L1234" s="28">
        <v>1134</v>
      </c>
      <c r="M1234" s="29">
        <v>1927267</v>
      </c>
      <c r="N1234" s="30">
        <v>0</v>
      </c>
      <c r="O1234" s="30">
        <v>0</v>
      </c>
      <c r="P1234" s="30">
        <v>0</v>
      </c>
      <c r="Q1234" s="29">
        <v>0</v>
      </c>
      <c r="R1234" s="29">
        <v>1927267</v>
      </c>
      <c r="S1234" s="29">
        <v>3000</v>
      </c>
      <c r="T1234" s="29">
        <f t="shared" si="77"/>
        <v>1930267</v>
      </c>
    </row>
    <row r="1235" spans="1:20" ht="21" customHeight="1" x14ac:dyDescent="0.25">
      <c r="A1235" s="24">
        <v>185</v>
      </c>
      <c r="B1235" s="75" t="s">
        <v>3334</v>
      </c>
      <c r="C1235" s="24" t="s">
        <v>3335</v>
      </c>
      <c r="D1235" s="24" t="s">
        <v>30</v>
      </c>
      <c r="E1235" s="62" t="s">
        <v>3336</v>
      </c>
      <c r="F1235" s="63" t="s">
        <v>25</v>
      </c>
      <c r="G1235" s="76">
        <v>2200</v>
      </c>
      <c r="H1235" s="56" t="s">
        <v>26</v>
      </c>
      <c r="I1235" s="76" t="s">
        <v>3337</v>
      </c>
      <c r="J1235" s="76">
        <v>20996</v>
      </c>
      <c r="K1235" s="76">
        <v>21374</v>
      </c>
      <c r="L1235" s="28">
        <v>378</v>
      </c>
      <c r="M1235" s="29">
        <v>642422</v>
      </c>
      <c r="N1235" s="30">
        <v>0</v>
      </c>
      <c r="O1235" s="30">
        <v>0</v>
      </c>
      <c r="P1235" s="30">
        <v>0</v>
      </c>
      <c r="Q1235" s="29">
        <v>0</v>
      </c>
      <c r="R1235" s="29">
        <v>642422</v>
      </c>
      <c r="S1235" s="29">
        <v>3000</v>
      </c>
      <c r="T1235" s="29">
        <f t="shared" si="77"/>
        <v>645422</v>
      </c>
    </row>
    <row r="1236" spans="1:20" ht="21" customHeight="1" x14ac:dyDescent="0.25">
      <c r="A1236" s="24">
        <v>186</v>
      </c>
      <c r="B1236" s="75" t="s">
        <v>3338</v>
      </c>
      <c r="C1236" s="24" t="s">
        <v>3339</v>
      </c>
      <c r="D1236" s="24" t="s">
        <v>30</v>
      </c>
      <c r="E1236" s="62" t="s">
        <v>2697</v>
      </c>
      <c r="F1236" s="63" t="s">
        <v>25</v>
      </c>
      <c r="G1236" s="76">
        <v>2200</v>
      </c>
      <c r="H1236" s="56" t="s">
        <v>26</v>
      </c>
      <c r="I1236" s="76" t="s">
        <v>3340</v>
      </c>
      <c r="J1236" s="76">
        <v>40566</v>
      </c>
      <c r="K1236" s="76">
        <v>41119</v>
      </c>
      <c r="L1236" s="28">
        <v>553</v>
      </c>
      <c r="M1236" s="29">
        <v>939840</v>
      </c>
      <c r="N1236" s="30">
        <v>0</v>
      </c>
      <c r="O1236" s="30">
        <v>0</v>
      </c>
      <c r="P1236" s="30">
        <v>0</v>
      </c>
      <c r="Q1236" s="29">
        <v>0</v>
      </c>
      <c r="R1236" s="29">
        <v>939840</v>
      </c>
      <c r="S1236" s="29">
        <v>3000</v>
      </c>
      <c r="T1236" s="29">
        <f t="shared" si="77"/>
        <v>942840</v>
      </c>
    </row>
    <row r="1237" spans="1:20" ht="21" customHeight="1" x14ac:dyDescent="0.25">
      <c r="A1237" s="24">
        <v>187</v>
      </c>
      <c r="B1237" s="75" t="s">
        <v>3341</v>
      </c>
      <c r="C1237" s="24" t="s">
        <v>3342</v>
      </c>
      <c r="D1237" s="24" t="s">
        <v>30</v>
      </c>
      <c r="E1237" s="62" t="s">
        <v>2797</v>
      </c>
      <c r="F1237" s="63" t="s">
        <v>25</v>
      </c>
      <c r="G1237" s="76">
        <v>3500</v>
      </c>
      <c r="H1237" s="56" t="s">
        <v>26</v>
      </c>
      <c r="I1237" s="76" t="s">
        <v>3343</v>
      </c>
      <c r="J1237" s="76">
        <v>79431</v>
      </c>
      <c r="K1237" s="76">
        <v>80396</v>
      </c>
      <c r="L1237" s="28">
        <v>965</v>
      </c>
      <c r="M1237" s="29">
        <v>1640046</v>
      </c>
      <c r="N1237" s="30">
        <v>0</v>
      </c>
      <c r="O1237" s="30">
        <v>0</v>
      </c>
      <c r="P1237" s="30">
        <v>0</v>
      </c>
      <c r="Q1237" s="29">
        <v>0</v>
      </c>
      <c r="R1237" s="29">
        <v>1640046</v>
      </c>
      <c r="S1237" s="29">
        <v>3000</v>
      </c>
      <c r="T1237" s="29">
        <f t="shared" si="77"/>
        <v>1643046</v>
      </c>
    </row>
    <row r="1238" spans="1:20" ht="21" customHeight="1" x14ac:dyDescent="0.25">
      <c r="A1238" s="24">
        <v>188</v>
      </c>
      <c r="B1238" s="75" t="s">
        <v>3344</v>
      </c>
      <c r="C1238" s="24" t="s">
        <v>3345</v>
      </c>
      <c r="D1238" s="24" t="s">
        <v>30</v>
      </c>
      <c r="E1238" s="62" t="s">
        <v>2754</v>
      </c>
      <c r="F1238" s="63" t="s">
        <v>25</v>
      </c>
      <c r="G1238" s="76">
        <v>2200</v>
      </c>
      <c r="H1238" s="56" t="s">
        <v>26</v>
      </c>
      <c r="I1238" s="76" t="s">
        <v>3346</v>
      </c>
      <c r="J1238" s="76">
        <v>22353</v>
      </c>
      <c r="K1238" s="76">
        <v>23005</v>
      </c>
      <c r="L1238" s="28">
        <v>652</v>
      </c>
      <c r="M1238" s="29">
        <v>1108094</v>
      </c>
      <c r="N1238" s="30">
        <v>0</v>
      </c>
      <c r="O1238" s="30">
        <v>0</v>
      </c>
      <c r="P1238" s="30">
        <v>0</v>
      </c>
      <c r="Q1238" s="29">
        <v>0</v>
      </c>
      <c r="R1238" s="29">
        <v>1108094</v>
      </c>
      <c r="S1238" s="29">
        <v>3000</v>
      </c>
      <c r="T1238" s="29">
        <f t="shared" si="77"/>
        <v>1111094</v>
      </c>
    </row>
    <row r="1239" spans="1:20" ht="21" customHeight="1" x14ac:dyDescent="0.25">
      <c r="A1239" s="24">
        <v>189</v>
      </c>
      <c r="B1239" s="75" t="s">
        <v>3347</v>
      </c>
      <c r="C1239" s="24" t="s">
        <v>3348</v>
      </c>
      <c r="D1239" s="24" t="s">
        <v>30</v>
      </c>
      <c r="E1239" s="62" t="s">
        <v>2761</v>
      </c>
      <c r="F1239" s="63" t="s">
        <v>25</v>
      </c>
      <c r="G1239" s="76">
        <v>2200</v>
      </c>
      <c r="H1239" s="56" t="s">
        <v>26</v>
      </c>
      <c r="I1239" s="76" t="s">
        <v>3349</v>
      </c>
      <c r="J1239" s="76">
        <v>80460</v>
      </c>
      <c r="K1239" s="76">
        <v>81696</v>
      </c>
      <c r="L1239" s="28">
        <v>1236</v>
      </c>
      <c r="M1239" s="29">
        <v>2100619</v>
      </c>
      <c r="N1239" s="30">
        <v>0</v>
      </c>
      <c r="O1239" s="30">
        <v>0</v>
      </c>
      <c r="P1239" s="30">
        <v>0</v>
      </c>
      <c r="Q1239" s="29">
        <v>0</v>
      </c>
      <c r="R1239" s="29">
        <v>2100619</v>
      </c>
      <c r="S1239" s="29">
        <v>3000</v>
      </c>
      <c r="T1239" s="29">
        <f t="shared" si="77"/>
        <v>2103619</v>
      </c>
    </row>
    <row r="1240" spans="1:20" ht="21" customHeight="1" x14ac:dyDescent="0.25">
      <c r="A1240" s="24">
        <v>190</v>
      </c>
      <c r="B1240" s="75" t="s">
        <v>3350</v>
      </c>
      <c r="C1240" s="24" t="s">
        <v>3351</v>
      </c>
      <c r="D1240" s="24" t="s">
        <v>30</v>
      </c>
      <c r="E1240" s="62" t="s">
        <v>2322</v>
      </c>
      <c r="F1240" s="63" t="s">
        <v>25</v>
      </c>
      <c r="G1240" s="76">
        <v>2200</v>
      </c>
      <c r="H1240" s="56" t="s">
        <v>26</v>
      </c>
      <c r="I1240" s="76" t="s">
        <v>3352</v>
      </c>
      <c r="J1240" s="76">
        <v>67365</v>
      </c>
      <c r="K1240" s="76">
        <v>68859</v>
      </c>
      <c r="L1240" s="28">
        <v>1494</v>
      </c>
      <c r="M1240" s="29">
        <v>2539098</v>
      </c>
      <c r="N1240" s="30">
        <v>0</v>
      </c>
      <c r="O1240" s="30">
        <v>0</v>
      </c>
      <c r="P1240" s="30">
        <v>0</v>
      </c>
      <c r="Q1240" s="29">
        <v>0</v>
      </c>
      <c r="R1240" s="29">
        <v>2539098</v>
      </c>
      <c r="S1240" s="29">
        <v>3000</v>
      </c>
      <c r="T1240" s="29">
        <f t="shared" si="77"/>
        <v>2542098</v>
      </c>
    </row>
    <row r="1241" spans="1:20" ht="21" customHeight="1" x14ac:dyDescent="0.25">
      <c r="A1241" s="24">
        <v>191</v>
      </c>
      <c r="B1241" s="75" t="s">
        <v>3353</v>
      </c>
      <c r="C1241" s="24" t="s">
        <v>3354</v>
      </c>
      <c r="D1241" s="24" t="s">
        <v>30</v>
      </c>
      <c r="E1241" s="62" t="s">
        <v>2833</v>
      </c>
      <c r="F1241" s="63" t="s">
        <v>25</v>
      </c>
      <c r="G1241" s="76">
        <v>4400</v>
      </c>
      <c r="H1241" s="56" t="s">
        <v>26</v>
      </c>
      <c r="I1241" s="76" t="s">
        <v>3355</v>
      </c>
      <c r="J1241" s="76">
        <v>99082</v>
      </c>
      <c r="K1241" s="76">
        <v>496</v>
      </c>
      <c r="L1241" s="28">
        <v>1414</v>
      </c>
      <c r="M1241" s="29">
        <v>2403135</v>
      </c>
      <c r="N1241" s="30">
        <v>0</v>
      </c>
      <c r="O1241" s="30">
        <v>0</v>
      </c>
      <c r="P1241" s="30">
        <v>0</v>
      </c>
      <c r="Q1241" s="29">
        <v>0</v>
      </c>
      <c r="R1241" s="29">
        <v>2403135</v>
      </c>
      <c r="S1241" s="29">
        <v>3000</v>
      </c>
      <c r="T1241" s="29">
        <f t="shared" si="77"/>
        <v>2406135</v>
      </c>
    </row>
    <row r="1242" spans="1:20" ht="21" customHeight="1" x14ac:dyDescent="0.25">
      <c r="A1242" s="24">
        <v>192</v>
      </c>
      <c r="B1242" s="75" t="s">
        <v>3356</v>
      </c>
      <c r="C1242" s="24" t="s">
        <v>3357</v>
      </c>
      <c r="D1242" s="24" t="s">
        <v>30</v>
      </c>
      <c r="E1242" s="62" t="s">
        <v>3358</v>
      </c>
      <c r="F1242" s="63" t="s">
        <v>25</v>
      </c>
      <c r="G1242" s="76">
        <v>2200</v>
      </c>
      <c r="H1242" s="56" t="s">
        <v>26</v>
      </c>
      <c r="I1242" s="76" t="s">
        <v>3359</v>
      </c>
      <c r="J1242" s="76">
        <v>54932</v>
      </c>
      <c r="K1242" s="76">
        <v>55719</v>
      </c>
      <c r="L1242" s="28">
        <v>787</v>
      </c>
      <c r="M1242" s="29">
        <v>1337530</v>
      </c>
      <c r="N1242" s="30">
        <v>0</v>
      </c>
      <c r="O1242" s="30">
        <v>0</v>
      </c>
      <c r="P1242" s="30">
        <v>0</v>
      </c>
      <c r="Q1242" s="29">
        <v>0</v>
      </c>
      <c r="R1242" s="29">
        <v>1337530</v>
      </c>
      <c r="S1242" s="29">
        <v>3000</v>
      </c>
      <c r="T1242" s="29">
        <f t="shared" si="77"/>
        <v>1340530</v>
      </c>
    </row>
    <row r="1243" spans="1:20" ht="21" customHeight="1" x14ac:dyDescent="0.25">
      <c r="A1243" s="24">
        <v>193</v>
      </c>
      <c r="B1243" s="75" t="s">
        <v>3360</v>
      </c>
      <c r="C1243" s="24" t="s">
        <v>3361</v>
      </c>
      <c r="D1243" s="24" t="s">
        <v>30</v>
      </c>
      <c r="E1243" s="62" t="s">
        <v>3224</v>
      </c>
      <c r="F1243" s="63" t="s">
        <v>25</v>
      </c>
      <c r="G1243" s="76">
        <v>2200</v>
      </c>
      <c r="H1243" s="56" t="s">
        <v>26</v>
      </c>
      <c r="I1243" s="76" t="s">
        <v>3362</v>
      </c>
      <c r="J1243" s="76">
        <v>11448</v>
      </c>
      <c r="K1243" s="76">
        <v>12347</v>
      </c>
      <c r="L1243" s="28">
        <v>899</v>
      </c>
      <c r="M1243" s="29">
        <v>1527877</v>
      </c>
      <c r="N1243" s="30">
        <v>0</v>
      </c>
      <c r="O1243" s="30">
        <v>0</v>
      </c>
      <c r="P1243" s="30">
        <v>0</v>
      </c>
      <c r="Q1243" s="29">
        <v>0</v>
      </c>
      <c r="R1243" s="29">
        <v>1527877</v>
      </c>
      <c r="S1243" s="29">
        <v>3000</v>
      </c>
      <c r="T1243" s="29">
        <f t="shared" si="77"/>
        <v>1530877</v>
      </c>
    </row>
    <row r="1244" spans="1:20" ht="21" customHeight="1" x14ac:dyDescent="0.25">
      <c r="A1244" s="24">
        <v>194</v>
      </c>
      <c r="B1244" s="75" t="s">
        <v>3363</v>
      </c>
      <c r="C1244" s="24" t="s">
        <v>3329</v>
      </c>
      <c r="D1244" s="24" t="s">
        <v>30</v>
      </c>
      <c r="E1244" s="62" t="s">
        <v>631</v>
      </c>
      <c r="F1244" s="63" t="s">
        <v>25</v>
      </c>
      <c r="G1244" s="76">
        <v>3500</v>
      </c>
      <c r="H1244" s="56" t="s">
        <v>26</v>
      </c>
      <c r="I1244" s="76" t="s">
        <v>3364</v>
      </c>
      <c r="J1244" s="76">
        <v>26300</v>
      </c>
      <c r="K1244" s="76">
        <v>26596</v>
      </c>
      <c r="L1244" s="28">
        <v>296</v>
      </c>
      <c r="M1244" s="29">
        <v>503061</v>
      </c>
      <c r="N1244" s="30">
        <v>0</v>
      </c>
      <c r="O1244" s="30">
        <v>0</v>
      </c>
      <c r="P1244" s="30">
        <v>0</v>
      </c>
      <c r="Q1244" s="29">
        <v>0</v>
      </c>
      <c r="R1244" s="29">
        <v>503061</v>
      </c>
      <c r="S1244" s="29">
        <v>3000</v>
      </c>
      <c r="T1244" s="29">
        <f t="shared" si="77"/>
        <v>506061</v>
      </c>
    </row>
    <row r="1245" spans="1:20" ht="21" customHeight="1" x14ac:dyDescent="0.25">
      <c r="A1245" s="24">
        <v>195</v>
      </c>
      <c r="B1245" s="75" t="s">
        <v>3365</v>
      </c>
      <c r="C1245" s="24" t="s">
        <v>3366</v>
      </c>
      <c r="D1245" s="24" t="s">
        <v>30</v>
      </c>
      <c r="E1245" s="62" t="s">
        <v>3367</v>
      </c>
      <c r="F1245" s="63" t="s">
        <v>25</v>
      </c>
      <c r="G1245" s="76">
        <v>5500</v>
      </c>
      <c r="H1245" s="56" t="s">
        <v>26</v>
      </c>
      <c r="I1245" s="76" t="s">
        <v>3368</v>
      </c>
      <c r="J1245" s="76">
        <v>22859</v>
      </c>
      <c r="K1245" s="76">
        <v>24312</v>
      </c>
      <c r="L1245" s="28">
        <v>1453</v>
      </c>
      <c r="M1245" s="29">
        <v>2469417</v>
      </c>
      <c r="N1245" s="30">
        <v>0</v>
      </c>
      <c r="O1245" s="30">
        <v>0</v>
      </c>
      <c r="P1245" s="30">
        <v>0</v>
      </c>
      <c r="Q1245" s="29">
        <v>0</v>
      </c>
      <c r="R1245" s="29">
        <v>2469417</v>
      </c>
      <c r="S1245" s="29">
        <v>3000</v>
      </c>
      <c r="T1245" s="29">
        <f t="shared" si="77"/>
        <v>2472417</v>
      </c>
    </row>
    <row r="1246" spans="1:20" ht="21" customHeight="1" x14ac:dyDescent="0.25">
      <c r="A1246" s="24">
        <v>196</v>
      </c>
      <c r="B1246" s="75" t="s">
        <v>3369</v>
      </c>
      <c r="C1246" s="24" t="s">
        <v>3370</v>
      </c>
      <c r="D1246" s="24" t="s">
        <v>30</v>
      </c>
      <c r="E1246" s="62" t="s">
        <v>2773</v>
      </c>
      <c r="F1246" s="63" t="s">
        <v>25</v>
      </c>
      <c r="G1246" s="76">
        <v>3500</v>
      </c>
      <c r="H1246" s="56" t="s">
        <v>26</v>
      </c>
      <c r="I1246" s="76" t="s">
        <v>3371</v>
      </c>
      <c r="J1246" s="76">
        <v>63563</v>
      </c>
      <c r="K1246" s="76">
        <v>64520</v>
      </c>
      <c r="L1246" s="28">
        <v>957</v>
      </c>
      <c r="M1246" s="29">
        <v>1626450</v>
      </c>
      <c r="N1246" s="30">
        <v>0</v>
      </c>
      <c r="O1246" s="30">
        <v>0</v>
      </c>
      <c r="P1246" s="30">
        <v>0</v>
      </c>
      <c r="Q1246" s="29">
        <v>0</v>
      </c>
      <c r="R1246" s="29">
        <v>1626450</v>
      </c>
      <c r="S1246" s="29">
        <v>3000</v>
      </c>
      <c r="T1246" s="29">
        <f t="shared" si="77"/>
        <v>1629450</v>
      </c>
    </row>
    <row r="1247" spans="1:20" ht="21" customHeight="1" x14ac:dyDescent="0.25">
      <c r="A1247" s="24">
        <v>197</v>
      </c>
      <c r="B1247" s="75" t="s">
        <v>3372</v>
      </c>
      <c r="C1247" s="24" t="s">
        <v>3373</v>
      </c>
      <c r="D1247" s="24" t="s">
        <v>30</v>
      </c>
      <c r="E1247" s="62" t="s">
        <v>2845</v>
      </c>
      <c r="F1247" s="63" t="s">
        <v>25</v>
      </c>
      <c r="G1247" s="76">
        <v>2200</v>
      </c>
      <c r="H1247" s="56" t="s">
        <v>26</v>
      </c>
      <c r="I1247" s="76" t="s">
        <v>3374</v>
      </c>
      <c r="J1247" s="76">
        <v>19848</v>
      </c>
      <c r="K1247" s="76">
        <v>20283</v>
      </c>
      <c r="L1247" s="28">
        <v>435</v>
      </c>
      <c r="M1247" s="29">
        <v>739296</v>
      </c>
      <c r="N1247" s="30">
        <v>0</v>
      </c>
      <c r="O1247" s="30">
        <v>0</v>
      </c>
      <c r="P1247" s="30">
        <v>0</v>
      </c>
      <c r="Q1247" s="29">
        <v>0</v>
      </c>
      <c r="R1247" s="29">
        <v>739296</v>
      </c>
      <c r="S1247" s="29">
        <v>3000</v>
      </c>
      <c r="T1247" s="29">
        <f t="shared" si="77"/>
        <v>742296</v>
      </c>
    </row>
    <row r="1248" spans="1:20" ht="21" customHeight="1" x14ac:dyDescent="0.25">
      <c r="A1248" s="24">
        <v>198</v>
      </c>
      <c r="B1248" s="75" t="s">
        <v>3375</v>
      </c>
      <c r="C1248" s="24" t="s">
        <v>3376</v>
      </c>
      <c r="D1248" s="24" t="s">
        <v>30</v>
      </c>
      <c r="E1248" s="62" t="s">
        <v>3367</v>
      </c>
      <c r="F1248" s="63" t="s">
        <v>25</v>
      </c>
      <c r="G1248" s="76">
        <v>5500</v>
      </c>
      <c r="H1248" s="56" t="s">
        <v>26</v>
      </c>
      <c r="I1248" s="76" t="s">
        <v>3377</v>
      </c>
      <c r="J1248" s="76">
        <v>34826</v>
      </c>
      <c r="K1248" s="76">
        <v>36370</v>
      </c>
      <c r="L1248" s="28">
        <v>1544</v>
      </c>
      <c r="M1248" s="29">
        <v>2624074</v>
      </c>
      <c r="N1248" s="30">
        <v>0</v>
      </c>
      <c r="O1248" s="30">
        <v>0</v>
      </c>
      <c r="P1248" s="30">
        <v>0</v>
      </c>
      <c r="Q1248" s="29">
        <v>0</v>
      </c>
      <c r="R1248" s="29">
        <v>2624074</v>
      </c>
      <c r="S1248" s="29">
        <v>3000</v>
      </c>
      <c r="T1248" s="29">
        <f t="shared" si="77"/>
        <v>2627074</v>
      </c>
    </row>
    <row r="1249" spans="1:20" ht="21" customHeight="1" x14ac:dyDescent="0.25">
      <c r="A1249" s="24">
        <v>199</v>
      </c>
      <c r="B1249" s="75" t="s">
        <v>3378</v>
      </c>
      <c r="C1249" s="24" t="s">
        <v>3379</v>
      </c>
      <c r="D1249" s="24" t="s">
        <v>3380</v>
      </c>
      <c r="E1249" s="24" t="s">
        <v>3381</v>
      </c>
      <c r="F1249" s="25" t="s">
        <v>25</v>
      </c>
      <c r="G1249" s="76">
        <v>3500</v>
      </c>
      <c r="H1249" s="56" t="s">
        <v>26</v>
      </c>
      <c r="I1249" s="76" t="s">
        <v>3382</v>
      </c>
      <c r="J1249" s="76">
        <v>72418</v>
      </c>
      <c r="K1249" s="76">
        <v>73327</v>
      </c>
      <c r="L1249" s="28">
        <v>909</v>
      </c>
      <c r="M1249" s="29">
        <v>1544873</v>
      </c>
      <c r="N1249" s="30">
        <v>0</v>
      </c>
      <c r="O1249" s="30">
        <v>0</v>
      </c>
      <c r="P1249" s="30">
        <v>0</v>
      </c>
      <c r="Q1249" s="29">
        <v>0</v>
      </c>
      <c r="R1249" s="29">
        <v>1544873</v>
      </c>
      <c r="S1249" s="29">
        <v>3000</v>
      </c>
      <c r="T1249" s="29">
        <f t="shared" si="77"/>
        <v>1547873</v>
      </c>
    </row>
    <row r="1250" spans="1:20" ht="21" customHeight="1" x14ac:dyDescent="0.25">
      <c r="A1250" s="24">
        <v>200</v>
      </c>
      <c r="B1250" s="75" t="s">
        <v>3383</v>
      </c>
      <c r="C1250" s="24" t="s">
        <v>3384</v>
      </c>
      <c r="D1250" s="24" t="s">
        <v>30</v>
      </c>
      <c r="E1250" s="24" t="s">
        <v>2734</v>
      </c>
      <c r="F1250" s="25" t="s">
        <v>25</v>
      </c>
      <c r="G1250" s="76">
        <v>4400</v>
      </c>
      <c r="H1250" s="56" t="s">
        <v>26</v>
      </c>
      <c r="I1250" s="76" t="s">
        <v>3385</v>
      </c>
      <c r="J1250" s="76">
        <v>32449</v>
      </c>
      <c r="K1250" s="76">
        <v>33259</v>
      </c>
      <c r="L1250" s="28">
        <v>810</v>
      </c>
      <c r="M1250" s="29">
        <v>1376619</v>
      </c>
      <c r="N1250" s="30">
        <v>0</v>
      </c>
      <c r="O1250" s="30">
        <v>0</v>
      </c>
      <c r="P1250" s="30">
        <v>0</v>
      </c>
      <c r="Q1250" s="29">
        <v>0</v>
      </c>
      <c r="R1250" s="29">
        <v>1376619</v>
      </c>
      <c r="S1250" s="29">
        <v>3000</v>
      </c>
      <c r="T1250" s="29">
        <f t="shared" si="77"/>
        <v>1379619</v>
      </c>
    </row>
    <row r="1251" spans="1:20" ht="21" customHeight="1" x14ac:dyDescent="0.25">
      <c r="A1251" s="24"/>
      <c r="B1251" s="75"/>
      <c r="C1251" s="24"/>
      <c r="D1251" s="24"/>
      <c r="E1251" s="24"/>
      <c r="F1251" s="25"/>
      <c r="G1251" s="127"/>
      <c r="H1251" s="28"/>
      <c r="I1251" s="25" t="s">
        <v>0</v>
      </c>
      <c r="J1251" s="25"/>
      <c r="K1251" s="25"/>
      <c r="L1251" s="28" t="s">
        <v>0</v>
      </c>
      <c r="M1251" s="29"/>
      <c r="N1251" s="30"/>
      <c r="O1251" s="30"/>
      <c r="P1251" s="30"/>
      <c r="Q1251" s="29"/>
      <c r="R1251" s="29"/>
      <c r="S1251" s="29"/>
      <c r="T1251" s="29"/>
    </row>
    <row r="1252" spans="1:20" s="16" customFormat="1" ht="36" customHeight="1" x14ac:dyDescent="0.25">
      <c r="A1252" s="29"/>
      <c r="B1252" s="56"/>
      <c r="C1252" s="29"/>
      <c r="D1252" s="29"/>
      <c r="E1252" s="29" t="s">
        <v>179</v>
      </c>
      <c r="F1252" s="56"/>
      <c r="G1252" s="42">
        <v>986085</v>
      </c>
      <c r="H1252" s="42">
        <v>0</v>
      </c>
      <c r="I1252" s="42">
        <v>0</v>
      </c>
      <c r="J1252" s="42"/>
      <c r="K1252" s="42"/>
      <c r="L1252" s="42">
        <v>252792</v>
      </c>
      <c r="M1252" s="47">
        <v>429627590</v>
      </c>
      <c r="N1252" s="48">
        <v>0</v>
      </c>
      <c r="O1252" s="48">
        <v>0</v>
      </c>
      <c r="P1252" s="48">
        <v>0</v>
      </c>
      <c r="Q1252" s="47">
        <f>SUM(Q1209:Q1251)</f>
        <v>100000</v>
      </c>
      <c r="R1252" s="47">
        <f t="shared" ref="R1252:T1252" si="78">SUM(R1209:R1251)</f>
        <v>429727590</v>
      </c>
      <c r="S1252" s="47">
        <f t="shared" si="78"/>
        <v>600000</v>
      </c>
      <c r="T1252" s="47">
        <f t="shared" si="78"/>
        <v>430327590</v>
      </c>
    </row>
    <row r="1253" spans="1:20" ht="21" customHeight="1" x14ac:dyDescent="0.25">
      <c r="B1253" s="97"/>
      <c r="G1253" s="128"/>
      <c r="H1253" s="129"/>
      <c r="I1253" s="18"/>
      <c r="J1253" s="18"/>
      <c r="K1253" s="18"/>
      <c r="L1253" s="38"/>
    </row>
    <row r="1254" spans="1:20" ht="21" customHeight="1" x14ac:dyDescent="0.25">
      <c r="B1254" s="97"/>
      <c r="G1254" s="128"/>
      <c r="H1254" s="129"/>
      <c r="I1254" s="18"/>
      <c r="J1254" s="18"/>
      <c r="K1254" s="18"/>
      <c r="L1254" s="38"/>
    </row>
    <row r="1255" spans="1:20" ht="21" customHeight="1" x14ac:dyDescent="0.25">
      <c r="B1255" s="97"/>
      <c r="G1255" s="130"/>
      <c r="H1255" s="41"/>
      <c r="L1255" s="41"/>
    </row>
    <row r="1256" spans="1:20" s="93" customFormat="1" ht="42" customHeight="1" x14ac:dyDescent="0.25">
      <c r="A1256" s="31" t="s">
        <v>4</v>
      </c>
      <c r="B1256" s="31" t="s">
        <v>5</v>
      </c>
      <c r="C1256" s="31" t="s">
        <v>6</v>
      </c>
      <c r="D1256" s="22"/>
      <c r="E1256" s="31" t="s">
        <v>7</v>
      </c>
      <c r="F1256" s="31" t="s">
        <v>8</v>
      </c>
      <c r="G1256" s="31" t="s">
        <v>9</v>
      </c>
      <c r="H1256" s="31" t="s">
        <v>10</v>
      </c>
      <c r="I1256" s="31" t="s">
        <v>11</v>
      </c>
      <c r="J1256" s="31" t="s">
        <v>12</v>
      </c>
      <c r="K1256" s="31" t="s">
        <v>13</v>
      </c>
      <c r="L1256" s="31" t="s">
        <v>14</v>
      </c>
      <c r="M1256" s="141" t="s">
        <v>15</v>
      </c>
      <c r="N1256" s="142" t="s">
        <v>16</v>
      </c>
      <c r="O1256" s="142" t="s">
        <v>17</v>
      </c>
      <c r="P1256" s="142" t="s">
        <v>18</v>
      </c>
      <c r="Q1256" s="141" t="s">
        <v>19</v>
      </c>
      <c r="R1256" s="141" t="s">
        <v>20</v>
      </c>
      <c r="S1256" s="141" t="s">
        <v>3655</v>
      </c>
      <c r="T1256" s="141" t="s">
        <v>3656</v>
      </c>
    </row>
    <row r="1257" spans="1:20" ht="21" customHeight="1" x14ac:dyDescent="0.25">
      <c r="A1257" s="24"/>
      <c r="B1257" s="75"/>
      <c r="C1257" s="24"/>
      <c r="D1257" s="24"/>
      <c r="E1257" s="24"/>
      <c r="F1257" s="25"/>
      <c r="G1257" s="127"/>
      <c r="H1257" s="28"/>
      <c r="I1257" s="25" t="s">
        <v>0</v>
      </c>
      <c r="J1257" s="25"/>
      <c r="K1257" s="25"/>
      <c r="L1257" s="28" t="s">
        <v>0</v>
      </c>
      <c r="M1257" s="29"/>
      <c r="N1257" s="30"/>
      <c r="O1257" s="30"/>
      <c r="P1257" s="30"/>
      <c r="Q1257" s="29"/>
      <c r="R1257" s="29"/>
      <c r="S1257" s="29"/>
      <c r="T1257" s="29"/>
    </row>
    <row r="1258" spans="1:20" ht="21" customHeight="1" x14ac:dyDescent="0.25">
      <c r="A1258" s="24" t="s">
        <v>0</v>
      </c>
      <c r="B1258" s="75"/>
      <c r="C1258" s="24"/>
      <c r="D1258" s="24"/>
      <c r="E1258" s="24" t="s">
        <v>181</v>
      </c>
      <c r="F1258" s="25"/>
      <c r="G1258" s="42">
        <v>986085</v>
      </c>
      <c r="H1258" s="42">
        <v>0</v>
      </c>
      <c r="I1258" s="42">
        <v>0</v>
      </c>
      <c r="J1258" s="42"/>
      <c r="K1258" s="42"/>
      <c r="L1258" s="42">
        <v>252792</v>
      </c>
      <c r="M1258" s="47">
        <v>429627590</v>
      </c>
      <c r="N1258" s="48">
        <v>0</v>
      </c>
      <c r="O1258" s="48">
        <v>0</v>
      </c>
      <c r="P1258" s="48">
        <v>0</v>
      </c>
      <c r="Q1258" s="47">
        <f>Q1252</f>
        <v>100000</v>
      </c>
      <c r="R1258" s="47">
        <f t="shared" ref="R1258:T1258" si="79">R1252</f>
        <v>429727590</v>
      </c>
      <c r="S1258" s="47">
        <f t="shared" si="79"/>
        <v>600000</v>
      </c>
      <c r="T1258" s="47">
        <f t="shared" si="79"/>
        <v>430327590</v>
      </c>
    </row>
    <row r="1259" spans="1:20" ht="21" customHeight="1" x14ac:dyDescent="0.25">
      <c r="A1259" s="24">
        <v>201</v>
      </c>
      <c r="B1259" s="75" t="s">
        <v>3386</v>
      </c>
      <c r="C1259" s="24" t="s">
        <v>3387</v>
      </c>
      <c r="D1259" s="24" t="s">
        <v>30</v>
      </c>
      <c r="E1259" s="24" t="s">
        <v>2677</v>
      </c>
      <c r="F1259" s="25" t="s">
        <v>25</v>
      </c>
      <c r="G1259" s="26">
        <v>3500</v>
      </c>
      <c r="H1259" s="56" t="s">
        <v>26</v>
      </c>
      <c r="I1259" s="25" t="s">
        <v>3388</v>
      </c>
      <c r="J1259" s="25">
        <v>23546</v>
      </c>
      <c r="K1259" s="25">
        <v>23893</v>
      </c>
      <c r="L1259" s="28">
        <v>347</v>
      </c>
      <c r="M1259" s="29">
        <v>589737</v>
      </c>
      <c r="N1259" s="30">
        <v>0</v>
      </c>
      <c r="O1259" s="30">
        <v>0</v>
      </c>
      <c r="P1259" s="30">
        <v>0</v>
      </c>
      <c r="Q1259" s="29">
        <v>0</v>
      </c>
      <c r="R1259" s="29">
        <v>589737</v>
      </c>
      <c r="S1259" s="29">
        <v>3000</v>
      </c>
      <c r="T1259" s="29">
        <f t="shared" ref="T1259:T1283" si="80">R1259+S1259</f>
        <v>592737</v>
      </c>
    </row>
    <row r="1260" spans="1:20" ht="21" customHeight="1" x14ac:dyDescent="0.25">
      <c r="A1260" s="24">
        <v>202</v>
      </c>
      <c r="B1260" s="75" t="s">
        <v>3389</v>
      </c>
      <c r="C1260" s="24" t="s">
        <v>3390</v>
      </c>
      <c r="D1260" s="24" t="s">
        <v>30</v>
      </c>
      <c r="E1260" s="24" t="s">
        <v>3037</v>
      </c>
      <c r="F1260" s="25" t="s">
        <v>25</v>
      </c>
      <c r="G1260" s="26">
        <v>3500</v>
      </c>
      <c r="H1260" s="56" t="s">
        <v>26</v>
      </c>
      <c r="I1260" s="25" t="s">
        <v>3391</v>
      </c>
      <c r="J1260" s="25">
        <v>8615</v>
      </c>
      <c r="K1260" s="25">
        <v>9051</v>
      </c>
      <c r="L1260" s="28">
        <v>436</v>
      </c>
      <c r="M1260" s="29">
        <v>740995</v>
      </c>
      <c r="N1260" s="30">
        <v>0</v>
      </c>
      <c r="O1260" s="30">
        <v>0</v>
      </c>
      <c r="P1260" s="30">
        <v>0</v>
      </c>
      <c r="Q1260" s="29">
        <v>0</v>
      </c>
      <c r="R1260" s="29">
        <v>740995</v>
      </c>
      <c r="S1260" s="29">
        <v>3000</v>
      </c>
      <c r="T1260" s="29">
        <f t="shared" si="80"/>
        <v>743995</v>
      </c>
    </row>
    <row r="1261" spans="1:20" ht="21" customHeight="1" x14ac:dyDescent="0.25">
      <c r="A1261" s="24">
        <v>203</v>
      </c>
      <c r="B1261" s="75" t="s">
        <v>3392</v>
      </c>
      <c r="C1261" s="24" t="s">
        <v>3393</v>
      </c>
      <c r="D1261" s="24" t="s">
        <v>30</v>
      </c>
      <c r="E1261" s="24" t="s">
        <v>2845</v>
      </c>
      <c r="F1261" s="25" t="s">
        <v>25</v>
      </c>
      <c r="G1261" s="26">
        <v>2200</v>
      </c>
      <c r="H1261" s="56" t="s">
        <v>26</v>
      </c>
      <c r="I1261" s="25" t="s">
        <v>3394</v>
      </c>
      <c r="J1261" s="25">
        <v>39310</v>
      </c>
      <c r="K1261" s="25">
        <v>39855</v>
      </c>
      <c r="L1261" s="28">
        <v>545</v>
      </c>
      <c r="M1261" s="29">
        <v>926244</v>
      </c>
      <c r="N1261" s="30">
        <v>0</v>
      </c>
      <c r="O1261" s="30">
        <v>0</v>
      </c>
      <c r="P1261" s="30">
        <v>0</v>
      </c>
      <c r="Q1261" s="29">
        <v>0</v>
      </c>
      <c r="R1261" s="29">
        <v>926244</v>
      </c>
      <c r="S1261" s="29">
        <v>3000</v>
      </c>
      <c r="T1261" s="29">
        <f t="shared" si="80"/>
        <v>929244</v>
      </c>
    </row>
    <row r="1262" spans="1:20" ht="21" customHeight="1" x14ac:dyDescent="0.25">
      <c r="A1262" s="24">
        <v>204</v>
      </c>
      <c r="B1262" s="75" t="s">
        <v>3395</v>
      </c>
      <c r="C1262" s="24" t="s">
        <v>3396</v>
      </c>
      <c r="D1262" s="24" t="s">
        <v>30</v>
      </c>
      <c r="E1262" s="24" t="s">
        <v>3224</v>
      </c>
      <c r="F1262" s="25" t="s">
        <v>25</v>
      </c>
      <c r="G1262" s="26">
        <v>3500</v>
      </c>
      <c r="H1262" s="56" t="s">
        <v>26</v>
      </c>
      <c r="I1262" s="25" t="s">
        <v>3397</v>
      </c>
      <c r="J1262" s="25">
        <v>81030</v>
      </c>
      <c r="K1262" s="25">
        <v>82095</v>
      </c>
      <c r="L1262" s="28">
        <v>1065</v>
      </c>
      <c r="M1262" s="29">
        <v>1809999</v>
      </c>
      <c r="N1262" s="30">
        <v>0</v>
      </c>
      <c r="O1262" s="30">
        <v>0</v>
      </c>
      <c r="P1262" s="30">
        <v>0</v>
      </c>
      <c r="Q1262" s="29">
        <v>0</v>
      </c>
      <c r="R1262" s="29">
        <v>1809999</v>
      </c>
      <c r="S1262" s="29">
        <v>3000</v>
      </c>
      <c r="T1262" s="29">
        <f t="shared" si="80"/>
        <v>1812999</v>
      </c>
    </row>
    <row r="1263" spans="1:20" ht="21" customHeight="1" x14ac:dyDescent="0.25">
      <c r="A1263" s="24">
        <v>205</v>
      </c>
      <c r="B1263" s="75" t="s">
        <v>3398</v>
      </c>
      <c r="C1263" s="24" t="s">
        <v>3399</v>
      </c>
      <c r="D1263" s="24" t="s">
        <v>30</v>
      </c>
      <c r="E1263" s="24" t="s">
        <v>3010</v>
      </c>
      <c r="F1263" s="25" t="s">
        <v>25</v>
      </c>
      <c r="G1263" s="26">
        <v>2200</v>
      </c>
      <c r="H1263" s="56" t="s">
        <v>26</v>
      </c>
      <c r="I1263" s="25" t="s">
        <v>3400</v>
      </c>
      <c r="J1263" s="25">
        <v>32559</v>
      </c>
      <c r="K1263" s="25">
        <v>33188</v>
      </c>
      <c r="L1263" s="28">
        <v>629</v>
      </c>
      <c r="M1263" s="29">
        <v>1069004</v>
      </c>
      <c r="N1263" s="30">
        <v>0</v>
      </c>
      <c r="O1263" s="30">
        <v>0</v>
      </c>
      <c r="P1263" s="30">
        <v>0</v>
      </c>
      <c r="Q1263" s="29">
        <v>0</v>
      </c>
      <c r="R1263" s="29">
        <v>1069004</v>
      </c>
      <c r="S1263" s="29">
        <v>3000</v>
      </c>
      <c r="T1263" s="29">
        <f t="shared" si="80"/>
        <v>1072004</v>
      </c>
    </row>
    <row r="1264" spans="1:20" ht="21" customHeight="1" x14ac:dyDescent="0.25">
      <c r="A1264" s="24">
        <v>206</v>
      </c>
      <c r="B1264" s="75" t="s">
        <v>3401</v>
      </c>
      <c r="C1264" s="24" t="s">
        <v>3402</v>
      </c>
      <c r="D1264" s="24" t="s">
        <v>30</v>
      </c>
      <c r="E1264" s="24" t="s">
        <v>3037</v>
      </c>
      <c r="F1264" s="25" t="s">
        <v>25</v>
      </c>
      <c r="G1264" s="26">
        <v>2200</v>
      </c>
      <c r="H1264" s="56" t="s">
        <v>26</v>
      </c>
      <c r="I1264" s="25" t="s">
        <v>3403</v>
      </c>
      <c r="J1264" s="25">
        <v>28897</v>
      </c>
      <c r="K1264" s="25">
        <v>29216</v>
      </c>
      <c r="L1264" s="28">
        <v>319</v>
      </c>
      <c r="M1264" s="29">
        <v>542150</v>
      </c>
      <c r="N1264" s="30">
        <v>0</v>
      </c>
      <c r="O1264" s="30">
        <v>0</v>
      </c>
      <c r="P1264" s="30">
        <v>0</v>
      </c>
      <c r="Q1264" s="29">
        <v>0</v>
      </c>
      <c r="R1264" s="29">
        <v>542150</v>
      </c>
      <c r="S1264" s="29">
        <v>3000</v>
      </c>
      <c r="T1264" s="29">
        <f t="shared" si="80"/>
        <v>545150</v>
      </c>
    </row>
    <row r="1265" spans="1:20" ht="21" customHeight="1" x14ac:dyDescent="0.25">
      <c r="A1265" s="24">
        <v>207</v>
      </c>
      <c r="B1265" s="75" t="s">
        <v>3404</v>
      </c>
      <c r="C1265" s="24" t="s">
        <v>3405</v>
      </c>
      <c r="D1265" s="24" t="s">
        <v>30</v>
      </c>
      <c r="E1265" s="24" t="s">
        <v>3406</v>
      </c>
      <c r="F1265" s="25" t="s">
        <v>25</v>
      </c>
      <c r="G1265" s="26">
        <v>4400</v>
      </c>
      <c r="H1265" s="56" t="s">
        <v>26</v>
      </c>
      <c r="I1265" s="25" t="s">
        <v>3407</v>
      </c>
      <c r="J1265" s="25">
        <v>76711</v>
      </c>
      <c r="K1265" s="25">
        <v>77680</v>
      </c>
      <c r="L1265" s="28">
        <v>969</v>
      </c>
      <c r="M1265" s="29">
        <v>1646845</v>
      </c>
      <c r="N1265" s="30">
        <v>0</v>
      </c>
      <c r="O1265" s="30">
        <v>0</v>
      </c>
      <c r="P1265" s="30">
        <v>0</v>
      </c>
      <c r="Q1265" s="29">
        <v>0</v>
      </c>
      <c r="R1265" s="29">
        <v>1646845</v>
      </c>
      <c r="S1265" s="29">
        <v>3000</v>
      </c>
      <c r="T1265" s="29">
        <f t="shared" si="80"/>
        <v>1649845</v>
      </c>
    </row>
    <row r="1266" spans="1:20" ht="21" customHeight="1" x14ac:dyDescent="0.25">
      <c r="A1266" s="24">
        <v>208</v>
      </c>
      <c r="B1266" s="75" t="s">
        <v>3408</v>
      </c>
      <c r="C1266" s="24" t="s">
        <v>3409</v>
      </c>
      <c r="D1266" s="24" t="s">
        <v>30</v>
      </c>
      <c r="E1266" s="24" t="s">
        <v>3410</v>
      </c>
      <c r="F1266" s="25" t="s">
        <v>25</v>
      </c>
      <c r="G1266" s="26">
        <v>2200</v>
      </c>
      <c r="H1266" s="56" t="s">
        <v>26</v>
      </c>
      <c r="I1266" s="25" t="s">
        <v>3411</v>
      </c>
      <c r="J1266" s="25">
        <v>52307</v>
      </c>
      <c r="K1266" s="25">
        <v>52966</v>
      </c>
      <c r="L1266" s="28">
        <v>659</v>
      </c>
      <c r="M1266" s="29">
        <v>1119990</v>
      </c>
      <c r="N1266" s="30">
        <v>0</v>
      </c>
      <c r="O1266" s="30">
        <v>0</v>
      </c>
      <c r="P1266" s="30">
        <v>0</v>
      </c>
      <c r="Q1266" s="29">
        <v>0</v>
      </c>
      <c r="R1266" s="29">
        <v>1119990</v>
      </c>
      <c r="S1266" s="29">
        <v>3000</v>
      </c>
      <c r="T1266" s="29">
        <f t="shared" si="80"/>
        <v>1122990</v>
      </c>
    </row>
    <row r="1267" spans="1:20" ht="21" customHeight="1" x14ac:dyDescent="0.25">
      <c r="A1267" s="24">
        <v>209</v>
      </c>
      <c r="B1267" s="75" t="s">
        <v>3412</v>
      </c>
      <c r="C1267" s="24" t="s">
        <v>3413</v>
      </c>
      <c r="D1267" s="24" t="s">
        <v>30</v>
      </c>
      <c r="E1267" s="24" t="s">
        <v>3414</v>
      </c>
      <c r="F1267" s="25" t="s">
        <v>25</v>
      </c>
      <c r="G1267" s="26">
        <v>2200</v>
      </c>
      <c r="H1267" s="56" t="s">
        <v>26</v>
      </c>
      <c r="I1267" s="25" t="s">
        <v>3415</v>
      </c>
      <c r="J1267" s="25">
        <v>14928</v>
      </c>
      <c r="K1267" s="25">
        <v>15210</v>
      </c>
      <c r="L1267" s="28">
        <v>282</v>
      </c>
      <c r="M1267" s="29">
        <v>479267</v>
      </c>
      <c r="N1267" s="30">
        <v>0</v>
      </c>
      <c r="O1267" s="30">
        <v>0</v>
      </c>
      <c r="P1267" s="30">
        <v>0</v>
      </c>
      <c r="Q1267" s="29">
        <v>0</v>
      </c>
      <c r="R1267" s="29">
        <v>479267</v>
      </c>
      <c r="S1267" s="29">
        <v>3000</v>
      </c>
      <c r="T1267" s="29">
        <f t="shared" si="80"/>
        <v>482267</v>
      </c>
    </row>
    <row r="1268" spans="1:20" ht="21" customHeight="1" x14ac:dyDescent="0.25">
      <c r="A1268" s="24">
        <v>210</v>
      </c>
      <c r="B1268" s="75" t="s">
        <v>3416</v>
      </c>
      <c r="C1268" s="24" t="s">
        <v>3417</v>
      </c>
      <c r="D1268" s="24" t="s">
        <v>30</v>
      </c>
      <c r="E1268" s="24" t="s">
        <v>2822</v>
      </c>
      <c r="F1268" s="25" t="s">
        <v>25</v>
      </c>
      <c r="G1268" s="26">
        <v>3500</v>
      </c>
      <c r="H1268" s="56" t="s">
        <v>26</v>
      </c>
      <c r="I1268" s="25" t="s">
        <v>3418</v>
      </c>
      <c r="J1268" s="25">
        <v>29906</v>
      </c>
      <c r="K1268" s="25">
        <v>30449</v>
      </c>
      <c r="L1268" s="28">
        <v>543</v>
      </c>
      <c r="M1268" s="29">
        <v>922845</v>
      </c>
      <c r="N1268" s="30">
        <v>0</v>
      </c>
      <c r="O1268" s="30">
        <v>0</v>
      </c>
      <c r="P1268" s="30">
        <v>0</v>
      </c>
      <c r="Q1268" s="29">
        <v>0</v>
      </c>
      <c r="R1268" s="29">
        <v>922845</v>
      </c>
      <c r="S1268" s="29">
        <v>3000</v>
      </c>
      <c r="T1268" s="29">
        <f t="shared" si="80"/>
        <v>925845</v>
      </c>
    </row>
    <row r="1269" spans="1:20" ht="21" customHeight="1" x14ac:dyDescent="0.25">
      <c r="A1269" s="24">
        <v>211</v>
      </c>
      <c r="B1269" s="75" t="s">
        <v>3419</v>
      </c>
      <c r="C1269" s="24" t="s">
        <v>3420</v>
      </c>
      <c r="D1269" s="24" t="s">
        <v>30</v>
      </c>
      <c r="E1269" s="24" t="s">
        <v>2677</v>
      </c>
      <c r="F1269" s="25" t="s">
        <v>25</v>
      </c>
      <c r="G1269" s="26">
        <v>4400</v>
      </c>
      <c r="H1269" s="56" t="s">
        <v>26</v>
      </c>
      <c r="I1269" s="25" t="s">
        <v>3421</v>
      </c>
      <c r="J1269" s="25">
        <v>69543</v>
      </c>
      <c r="K1269" s="25">
        <v>70195</v>
      </c>
      <c r="L1269" s="28">
        <v>652</v>
      </c>
      <c r="M1269" s="29">
        <v>1108094</v>
      </c>
      <c r="N1269" s="30">
        <v>0</v>
      </c>
      <c r="O1269" s="30">
        <v>0</v>
      </c>
      <c r="P1269" s="30">
        <v>0</v>
      </c>
      <c r="Q1269" s="29">
        <v>0</v>
      </c>
      <c r="R1269" s="29">
        <v>1108094</v>
      </c>
      <c r="S1269" s="29">
        <v>3000</v>
      </c>
      <c r="T1269" s="29">
        <f t="shared" si="80"/>
        <v>1111094</v>
      </c>
    </row>
    <row r="1270" spans="1:20" ht="21" customHeight="1" x14ac:dyDescent="0.25">
      <c r="A1270" s="24">
        <v>212</v>
      </c>
      <c r="B1270" s="75" t="s">
        <v>3422</v>
      </c>
      <c r="C1270" s="24" t="s">
        <v>3423</v>
      </c>
      <c r="D1270" s="24" t="s">
        <v>30</v>
      </c>
      <c r="E1270" s="24" t="s">
        <v>3424</v>
      </c>
      <c r="F1270" s="25" t="s">
        <v>25</v>
      </c>
      <c r="G1270" s="26">
        <v>2200</v>
      </c>
      <c r="H1270" s="56" t="s">
        <v>26</v>
      </c>
      <c r="I1270" s="25" t="s">
        <v>3425</v>
      </c>
      <c r="J1270" s="25">
        <v>2668</v>
      </c>
      <c r="K1270" s="25">
        <v>2730</v>
      </c>
      <c r="L1270" s="28">
        <v>88</v>
      </c>
      <c r="M1270" s="29">
        <v>149559</v>
      </c>
      <c r="N1270" s="30">
        <v>0</v>
      </c>
      <c r="O1270" s="30">
        <v>0</v>
      </c>
      <c r="P1270" s="30">
        <v>0</v>
      </c>
      <c r="Q1270" s="29">
        <v>0</v>
      </c>
      <c r="R1270" s="29">
        <v>149559</v>
      </c>
      <c r="S1270" s="29">
        <v>3000</v>
      </c>
      <c r="T1270" s="29">
        <f t="shared" si="80"/>
        <v>152559</v>
      </c>
    </row>
    <row r="1271" spans="1:20" ht="21" customHeight="1" x14ac:dyDescent="0.25">
      <c r="A1271" s="24">
        <v>213</v>
      </c>
      <c r="B1271" s="75" t="s">
        <v>3426</v>
      </c>
      <c r="C1271" s="24" t="s">
        <v>3427</v>
      </c>
      <c r="D1271" s="24" t="s">
        <v>30</v>
      </c>
      <c r="E1271" s="24" t="s">
        <v>3428</v>
      </c>
      <c r="F1271" s="25" t="s">
        <v>25</v>
      </c>
      <c r="G1271" s="26">
        <v>3500</v>
      </c>
      <c r="H1271" s="56" t="s">
        <v>26</v>
      </c>
      <c r="I1271" s="25" t="s">
        <v>3429</v>
      </c>
      <c r="J1271" s="25">
        <v>1050</v>
      </c>
      <c r="K1271" s="25">
        <v>2589</v>
      </c>
      <c r="L1271" s="28">
        <v>1539</v>
      </c>
      <c r="M1271" s="29">
        <v>2615577</v>
      </c>
      <c r="N1271" s="30">
        <v>0</v>
      </c>
      <c r="O1271" s="30">
        <v>0</v>
      </c>
      <c r="P1271" s="30">
        <v>0</v>
      </c>
      <c r="Q1271" s="29">
        <v>0</v>
      </c>
      <c r="R1271" s="29">
        <v>2615577</v>
      </c>
      <c r="S1271" s="29">
        <v>3000</v>
      </c>
      <c r="T1271" s="29">
        <f t="shared" si="80"/>
        <v>2618577</v>
      </c>
    </row>
    <row r="1272" spans="1:20" ht="21" customHeight="1" x14ac:dyDescent="0.25">
      <c r="A1272" s="24">
        <v>214</v>
      </c>
      <c r="B1272" s="75" t="s">
        <v>3430</v>
      </c>
      <c r="C1272" s="24" t="s">
        <v>3431</v>
      </c>
      <c r="D1272" s="24" t="s">
        <v>30</v>
      </c>
      <c r="E1272" s="24" t="s">
        <v>3432</v>
      </c>
      <c r="F1272" s="25" t="s">
        <v>25</v>
      </c>
      <c r="G1272" s="26">
        <v>2200</v>
      </c>
      <c r="H1272" s="56" t="s">
        <v>26</v>
      </c>
      <c r="I1272" s="25" t="s">
        <v>3433</v>
      </c>
      <c r="J1272" s="25">
        <v>18855</v>
      </c>
      <c r="K1272" s="25">
        <v>19141</v>
      </c>
      <c r="L1272" s="28">
        <v>286</v>
      </c>
      <c r="M1272" s="29">
        <v>486066</v>
      </c>
      <c r="N1272" s="30">
        <v>0</v>
      </c>
      <c r="O1272" s="30">
        <v>0</v>
      </c>
      <c r="P1272" s="30">
        <v>0</v>
      </c>
      <c r="Q1272" s="29">
        <v>0</v>
      </c>
      <c r="R1272" s="29">
        <v>486066</v>
      </c>
      <c r="S1272" s="29">
        <v>3000</v>
      </c>
      <c r="T1272" s="29">
        <f t="shared" si="80"/>
        <v>489066</v>
      </c>
    </row>
    <row r="1273" spans="1:20" ht="21" customHeight="1" x14ac:dyDescent="0.25">
      <c r="A1273" s="24">
        <v>215</v>
      </c>
      <c r="B1273" s="75" t="s">
        <v>3434</v>
      </c>
      <c r="C1273" s="24" t="s">
        <v>3435</v>
      </c>
      <c r="D1273" s="24" t="s">
        <v>30</v>
      </c>
      <c r="E1273" s="24" t="s">
        <v>2773</v>
      </c>
      <c r="F1273" s="25" t="s">
        <v>25</v>
      </c>
      <c r="G1273" s="26">
        <v>4400</v>
      </c>
      <c r="H1273" s="56" t="s">
        <v>26</v>
      </c>
      <c r="I1273" s="25" t="s">
        <v>3436</v>
      </c>
      <c r="J1273" s="25">
        <v>35919</v>
      </c>
      <c r="K1273" s="25">
        <v>37724</v>
      </c>
      <c r="L1273" s="28">
        <v>1805</v>
      </c>
      <c r="M1273" s="29">
        <v>3067652</v>
      </c>
      <c r="N1273" s="30">
        <v>0</v>
      </c>
      <c r="O1273" s="30">
        <v>0</v>
      </c>
      <c r="P1273" s="30">
        <v>0</v>
      </c>
      <c r="Q1273" s="29">
        <v>0</v>
      </c>
      <c r="R1273" s="29">
        <v>3067652</v>
      </c>
      <c r="S1273" s="29">
        <v>3000</v>
      </c>
      <c r="T1273" s="29">
        <f t="shared" si="80"/>
        <v>3070652</v>
      </c>
    </row>
    <row r="1274" spans="1:20" ht="21" customHeight="1" x14ac:dyDescent="0.25">
      <c r="A1274" s="24">
        <v>216</v>
      </c>
      <c r="B1274" s="75" t="s">
        <v>3437</v>
      </c>
      <c r="C1274" s="24" t="s">
        <v>3438</v>
      </c>
      <c r="D1274" s="24" t="s">
        <v>30</v>
      </c>
      <c r="E1274" s="24" t="s">
        <v>3414</v>
      </c>
      <c r="F1274" s="25" t="s">
        <v>25</v>
      </c>
      <c r="G1274" s="26">
        <v>2200</v>
      </c>
      <c r="H1274" s="56" t="s">
        <v>26</v>
      </c>
      <c r="I1274" s="25" t="s">
        <v>3439</v>
      </c>
      <c r="J1274" s="25">
        <v>235</v>
      </c>
      <c r="K1274" s="25">
        <v>255</v>
      </c>
      <c r="L1274" s="28">
        <v>88</v>
      </c>
      <c r="M1274" s="29">
        <v>149559</v>
      </c>
      <c r="N1274" s="30">
        <v>0</v>
      </c>
      <c r="O1274" s="30">
        <v>0</v>
      </c>
      <c r="P1274" s="30">
        <v>0</v>
      </c>
      <c r="Q1274" s="29">
        <v>0</v>
      </c>
      <c r="R1274" s="29">
        <v>149559</v>
      </c>
      <c r="S1274" s="29">
        <v>3000</v>
      </c>
      <c r="T1274" s="29">
        <f t="shared" si="80"/>
        <v>152559</v>
      </c>
    </row>
    <row r="1275" spans="1:20" ht="21" customHeight="1" x14ac:dyDescent="0.25">
      <c r="A1275" s="24">
        <v>217</v>
      </c>
      <c r="B1275" s="75" t="s">
        <v>3440</v>
      </c>
      <c r="C1275" s="24" t="s">
        <v>3441</v>
      </c>
      <c r="D1275" s="24" t="s">
        <v>30</v>
      </c>
      <c r="E1275" s="24" t="s">
        <v>2871</v>
      </c>
      <c r="F1275" s="25" t="s">
        <v>25</v>
      </c>
      <c r="G1275" s="26">
        <v>2200</v>
      </c>
      <c r="H1275" s="56" t="s">
        <v>26</v>
      </c>
      <c r="I1275" s="25" t="s">
        <v>3442</v>
      </c>
      <c r="J1275" s="25">
        <v>42185</v>
      </c>
      <c r="K1275" s="25">
        <v>42550</v>
      </c>
      <c r="L1275" s="28">
        <v>365</v>
      </c>
      <c r="M1275" s="29">
        <v>620328</v>
      </c>
      <c r="N1275" s="30">
        <v>0</v>
      </c>
      <c r="O1275" s="30">
        <v>0</v>
      </c>
      <c r="P1275" s="30">
        <v>0</v>
      </c>
      <c r="Q1275" s="29">
        <v>0</v>
      </c>
      <c r="R1275" s="29">
        <v>620328</v>
      </c>
      <c r="S1275" s="29">
        <v>3000</v>
      </c>
      <c r="T1275" s="29">
        <f t="shared" si="80"/>
        <v>623328</v>
      </c>
    </row>
    <row r="1276" spans="1:20" ht="21" customHeight="1" x14ac:dyDescent="0.25">
      <c r="A1276" s="24">
        <v>218</v>
      </c>
      <c r="B1276" s="75" t="s">
        <v>3443</v>
      </c>
      <c r="C1276" s="24" t="s">
        <v>3444</v>
      </c>
      <c r="D1276" s="24" t="s">
        <v>30</v>
      </c>
      <c r="E1276" s="24" t="s">
        <v>3445</v>
      </c>
      <c r="F1276" s="25" t="s">
        <v>25</v>
      </c>
      <c r="G1276" s="26">
        <v>3500</v>
      </c>
      <c r="H1276" s="56" t="s">
        <v>26</v>
      </c>
      <c r="I1276" s="25" t="s">
        <v>3446</v>
      </c>
      <c r="J1276" s="25">
        <v>28387</v>
      </c>
      <c r="K1276" s="25">
        <v>29471</v>
      </c>
      <c r="L1276" s="28">
        <v>1084</v>
      </c>
      <c r="M1276" s="29">
        <v>1842291</v>
      </c>
      <c r="N1276" s="30">
        <v>0</v>
      </c>
      <c r="O1276" s="30">
        <v>0</v>
      </c>
      <c r="P1276" s="30">
        <v>0</v>
      </c>
      <c r="Q1276" s="29">
        <v>0</v>
      </c>
      <c r="R1276" s="29">
        <v>1842291</v>
      </c>
      <c r="S1276" s="29">
        <v>3000</v>
      </c>
      <c r="T1276" s="29">
        <f t="shared" si="80"/>
        <v>1845291</v>
      </c>
    </row>
    <row r="1277" spans="1:20" ht="21" customHeight="1" x14ac:dyDescent="0.25">
      <c r="A1277" s="24">
        <v>219</v>
      </c>
      <c r="B1277" s="75" t="s">
        <v>3447</v>
      </c>
      <c r="C1277" s="24" t="s">
        <v>3448</v>
      </c>
      <c r="D1277" s="24" t="s">
        <v>30</v>
      </c>
      <c r="E1277" s="24" t="s">
        <v>3262</v>
      </c>
      <c r="F1277" s="25" t="s">
        <v>25</v>
      </c>
      <c r="G1277" s="26">
        <v>4400</v>
      </c>
      <c r="H1277" s="56" t="s">
        <v>26</v>
      </c>
      <c r="I1277" s="25" t="s">
        <v>3449</v>
      </c>
      <c r="J1277" s="25">
        <v>28090</v>
      </c>
      <c r="K1277" s="25">
        <v>28889</v>
      </c>
      <c r="L1277" s="28">
        <v>799</v>
      </c>
      <c r="M1277" s="29">
        <v>1357924</v>
      </c>
      <c r="N1277" s="30">
        <v>0</v>
      </c>
      <c r="O1277" s="30">
        <v>0</v>
      </c>
      <c r="P1277" s="30">
        <v>0</v>
      </c>
      <c r="Q1277" s="29">
        <v>0</v>
      </c>
      <c r="R1277" s="29">
        <v>1357924</v>
      </c>
      <c r="S1277" s="29">
        <v>3000</v>
      </c>
      <c r="T1277" s="29">
        <f t="shared" si="80"/>
        <v>1360924</v>
      </c>
    </row>
    <row r="1278" spans="1:20" ht="21" customHeight="1" x14ac:dyDescent="0.25">
      <c r="A1278" s="24">
        <v>220</v>
      </c>
      <c r="B1278" s="75" t="s">
        <v>3450</v>
      </c>
      <c r="C1278" s="24" t="s">
        <v>3451</v>
      </c>
      <c r="D1278" s="24" t="s">
        <v>30</v>
      </c>
      <c r="E1278" s="24" t="s">
        <v>3452</v>
      </c>
      <c r="F1278" s="25" t="s">
        <v>25</v>
      </c>
      <c r="G1278" s="26">
        <v>1300</v>
      </c>
      <c r="H1278" s="56" t="s">
        <v>26</v>
      </c>
      <c r="I1278" s="25" t="s">
        <v>3453</v>
      </c>
      <c r="J1278" s="25">
        <v>4108</v>
      </c>
      <c r="K1278" s="25">
        <v>4192</v>
      </c>
      <c r="L1278" s="28">
        <v>84</v>
      </c>
      <c r="M1278" s="29">
        <v>142761</v>
      </c>
      <c r="N1278" s="30">
        <v>0</v>
      </c>
      <c r="O1278" s="30">
        <v>0</v>
      </c>
      <c r="P1278" s="30">
        <v>0</v>
      </c>
      <c r="Q1278" s="29">
        <v>0</v>
      </c>
      <c r="R1278" s="29">
        <v>142761</v>
      </c>
      <c r="S1278" s="29">
        <v>3000</v>
      </c>
      <c r="T1278" s="29">
        <f t="shared" si="80"/>
        <v>145761</v>
      </c>
    </row>
    <row r="1279" spans="1:20" ht="21" customHeight="1" x14ac:dyDescent="0.25">
      <c r="A1279" s="24">
        <v>221</v>
      </c>
      <c r="B1279" s="75" t="s">
        <v>3454</v>
      </c>
      <c r="C1279" s="24" t="s">
        <v>3455</v>
      </c>
      <c r="D1279" s="24" t="s">
        <v>30</v>
      </c>
      <c r="E1279" s="24" t="s">
        <v>2797</v>
      </c>
      <c r="F1279" s="25" t="s">
        <v>25</v>
      </c>
      <c r="G1279" s="26">
        <v>4400</v>
      </c>
      <c r="H1279" s="56" t="s">
        <v>26</v>
      </c>
      <c r="I1279" s="25" t="s">
        <v>3456</v>
      </c>
      <c r="J1279" s="25">
        <v>37455</v>
      </c>
      <c r="K1279" s="25">
        <v>38433</v>
      </c>
      <c r="L1279" s="28">
        <v>978</v>
      </c>
      <c r="M1279" s="29">
        <v>1662140</v>
      </c>
      <c r="N1279" s="30">
        <v>0</v>
      </c>
      <c r="O1279" s="30">
        <v>0</v>
      </c>
      <c r="P1279" s="30">
        <v>0</v>
      </c>
      <c r="Q1279" s="29">
        <v>0</v>
      </c>
      <c r="R1279" s="29">
        <v>1662140</v>
      </c>
      <c r="S1279" s="29">
        <v>3000</v>
      </c>
      <c r="T1279" s="29">
        <f t="shared" si="80"/>
        <v>1665140</v>
      </c>
    </row>
    <row r="1280" spans="1:20" ht="21" customHeight="1" x14ac:dyDescent="0.25">
      <c r="A1280" s="24">
        <v>222</v>
      </c>
      <c r="B1280" s="75" t="s">
        <v>3457</v>
      </c>
      <c r="C1280" s="24" t="s">
        <v>3458</v>
      </c>
      <c r="D1280" s="24" t="s">
        <v>30</v>
      </c>
      <c r="E1280" s="24" t="s">
        <v>3459</v>
      </c>
      <c r="F1280" s="25" t="s">
        <v>25</v>
      </c>
      <c r="G1280" s="26">
        <v>1300</v>
      </c>
      <c r="H1280" s="56" t="s">
        <v>26</v>
      </c>
      <c r="I1280" s="25" t="s">
        <v>3460</v>
      </c>
      <c r="J1280" s="25">
        <v>3051</v>
      </c>
      <c r="K1280" s="25">
        <v>3149</v>
      </c>
      <c r="L1280" s="28">
        <v>98</v>
      </c>
      <c r="M1280" s="29">
        <v>166554</v>
      </c>
      <c r="N1280" s="30">
        <v>0</v>
      </c>
      <c r="O1280" s="30">
        <v>0</v>
      </c>
      <c r="P1280" s="30">
        <v>0</v>
      </c>
      <c r="Q1280" s="29">
        <v>0</v>
      </c>
      <c r="R1280" s="29">
        <v>166554</v>
      </c>
      <c r="S1280" s="29">
        <v>3000</v>
      </c>
      <c r="T1280" s="29">
        <f t="shared" si="80"/>
        <v>169554</v>
      </c>
    </row>
    <row r="1281" spans="1:20" ht="21" customHeight="1" x14ac:dyDescent="0.25">
      <c r="A1281" s="24">
        <v>223</v>
      </c>
      <c r="B1281" s="75" t="s">
        <v>3461</v>
      </c>
      <c r="C1281" s="24" t="s">
        <v>53</v>
      </c>
      <c r="D1281" s="24" t="s">
        <v>30</v>
      </c>
      <c r="E1281" s="24" t="s">
        <v>3462</v>
      </c>
      <c r="F1281" s="25" t="s">
        <v>25</v>
      </c>
      <c r="G1281" s="26">
        <v>3500</v>
      </c>
      <c r="H1281" s="56" t="s">
        <v>26</v>
      </c>
      <c r="I1281" s="25" t="s">
        <v>3463</v>
      </c>
      <c r="J1281" s="25">
        <v>23956</v>
      </c>
      <c r="K1281" s="25">
        <v>24906</v>
      </c>
      <c r="L1281" s="28">
        <v>950</v>
      </c>
      <c r="M1281" s="29">
        <v>1614554</v>
      </c>
      <c r="N1281" s="30">
        <v>0</v>
      </c>
      <c r="O1281" s="30">
        <v>0</v>
      </c>
      <c r="P1281" s="30">
        <v>0</v>
      </c>
      <c r="Q1281" s="29">
        <v>0</v>
      </c>
      <c r="R1281" s="29">
        <v>1614554</v>
      </c>
      <c r="S1281" s="29">
        <v>3000</v>
      </c>
      <c r="T1281" s="29">
        <f t="shared" si="80"/>
        <v>1617554</v>
      </c>
    </row>
    <row r="1282" spans="1:20" ht="21" customHeight="1" x14ac:dyDescent="0.25">
      <c r="A1282" s="24">
        <v>224</v>
      </c>
      <c r="B1282" s="75" t="s">
        <v>3464</v>
      </c>
      <c r="C1282" s="24" t="s">
        <v>3465</v>
      </c>
      <c r="D1282" s="24" t="s">
        <v>30</v>
      </c>
      <c r="E1282" s="24" t="s">
        <v>2673</v>
      </c>
      <c r="F1282" s="25" t="s">
        <v>25</v>
      </c>
      <c r="G1282" s="26">
        <v>2200</v>
      </c>
      <c r="H1282" s="56" t="s">
        <v>26</v>
      </c>
      <c r="I1282" s="25" t="s">
        <v>3466</v>
      </c>
      <c r="J1282" s="25">
        <v>5605</v>
      </c>
      <c r="K1282" s="25">
        <v>5763</v>
      </c>
      <c r="L1282" s="28">
        <v>158</v>
      </c>
      <c r="M1282" s="29">
        <v>268526</v>
      </c>
      <c r="N1282" s="30">
        <v>0</v>
      </c>
      <c r="O1282" s="30">
        <v>0</v>
      </c>
      <c r="P1282" s="30">
        <v>0</v>
      </c>
      <c r="Q1282" s="29">
        <v>0</v>
      </c>
      <c r="R1282" s="29">
        <v>268526</v>
      </c>
      <c r="S1282" s="29">
        <v>3000</v>
      </c>
      <c r="T1282" s="29">
        <f t="shared" si="80"/>
        <v>271526</v>
      </c>
    </row>
    <row r="1283" spans="1:20" ht="21" customHeight="1" x14ac:dyDescent="0.25">
      <c r="A1283" s="24">
        <v>225</v>
      </c>
      <c r="B1283" s="75" t="s">
        <v>3467</v>
      </c>
      <c r="C1283" s="24" t="s">
        <v>3468</v>
      </c>
      <c r="D1283" s="24" t="s">
        <v>30</v>
      </c>
      <c r="E1283" s="24" t="s">
        <v>631</v>
      </c>
      <c r="F1283" s="25" t="s">
        <v>25</v>
      </c>
      <c r="G1283" s="26">
        <v>5500</v>
      </c>
      <c r="H1283" s="56" t="s">
        <v>26</v>
      </c>
      <c r="I1283" s="25" t="s">
        <v>3469</v>
      </c>
      <c r="J1283" s="25">
        <v>1</v>
      </c>
      <c r="K1283" s="25">
        <v>1</v>
      </c>
      <c r="L1283" s="28">
        <v>220</v>
      </c>
      <c r="M1283" s="29">
        <v>373897</v>
      </c>
      <c r="N1283" s="30">
        <v>0</v>
      </c>
      <c r="O1283" s="30">
        <v>0</v>
      </c>
      <c r="P1283" s="30">
        <v>0</v>
      </c>
      <c r="Q1283" s="29">
        <v>0</v>
      </c>
      <c r="R1283" s="29">
        <v>373897</v>
      </c>
      <c r="S1283" s="29">
        <v>3000</v>
      </c>
      <c r="T1283" s="29">
        <f t="shared" si="80"/>
        <v>376897</v>
      </c>
    </row>
    <row r="1284" spans="1:20" s="35" customFormat="1" ht="21" customHeight="1" x14ac:dyDescent="0.25">
      <c r="A1284" s="24"/>
      <c r="B1284" s="75"/>
      <c r="C1284" s="24"/>
      <c r="D1284" s="24"/>
      <c r="E1284" s="24"/>
      <c r="F1284" s="25"/>
      <c r="G1284" s="127"/>
      <c r="H1284" s="28"/>
      <c r="I1284" s="25"/>
      <c r="J1284" s="25"/>
      <c r="K1284" s="25"/>
      <c r="L1284" s="28"/>
      <c r="M1284" s="29"/>
      <c r="N1284" s="48"/>
      <c r="O1284" s="48"/>
      <c r="P1284" s="48"/>
      <c r="Q1284" s="47"/>
      <c r="R1284" s="47"/>
      <c r="S1284" s="47"/>
      <c r="T1284" s="47"/>
    </row>
    <row r="1285" spans="1:20" ht="36" customHeight="1" x14ac:dyDescent="0.25">
      <c r="A1285" s="44" t="s">
        <v>3470</v>
      </c>
      <c r="B1285" s="118"/>
      <c r="C1285" s="20"/>
      <c r="D1285" s="20"/>
      <c r="E1285" s="20"/>
      <c r="F1285" s="20"/>
      <c r="G1285" s="46">
        <v>1062685</v>
      </c>
      <c r="H1285" s="46">
        <v>0</v>
      </c>
      <c r="I1285" s="46">
        <v>0</v>
      </c>
      <c r="J1285" s="46"/>
      <c r="K1285" s="46"/>
      <c r="L1285" s="46">
        <v>267780</v>
      </c>
      <c r="M1285" s="46">
        <v>455100148</v>
      </c>
      <c r="N1285" s="46">
        <v>0</v>
      </c>
      <c r="O1285" s="46">
        <v>0</v>
      </c>
      <c r="P1285" s="46">
        <v>0</v>
      </c>
      <c r="Q1285" s="152">
        <f>SUM(Q1257:Q1284)</f>
        <v>100000</v>
      </c>
      <c r="R1285" s="152">
        <f t="shared" ref="R1285:T1285" si="81">SUM(R1257:R1284)</f>
        <v>455200148</v>
      </c>
      <c r="S1285" s="152">
        <f t="shared" si="81"/>
        <v>675000</v>
      </c>
      <c r="T1285" s="152">
        <f t="shared" si="81"/>
        <v>455875148</v>
      </c>
    </row>
    <row r="1286" spans="1:20" ht="21" customHeight="1" x14ac:dyDescent="0.25">
      <c r="A1286" s="35"/>
      <c r="B1286" s="119"/>
      <c r="E1286" s="15"/>
      <c r="G1286" s="49"/>
      <c r="H1286" s="49"/>
    </row>
    <row r="1287" spans="1:20" ht="21" customHeight="1" x14ac:dyDescent="0.25">
      <c r="A1287" s="35"/>
      <c r="B1287" s="119"/>
      <c r="E1287" s="15"/>
      <c r="G1287" s="49"/>
      <c r="H1287" s="49"/>
    </row>
    <row r="1288" spans="1:20" ht="21" customHeight="1" x14ac:dyDescent="0.25">
      <c r="A1288" s="108" t="s">
        <v>3471</v>
      </c>
      <c r="B1288" s="97"/>
      <c r="C1288" s="15"/>
      <c r="D1288" s="15"/>
      <c r="E1288" s="15"/>
      <c r="G1288" s="53"/>
      <c r="L1288" s="41"/>
    </row>
    <row r="1289" spans="1:20" s="93" customFormat="1" ht="42" customHeight="1" x14ac:dyDescent="0.25">
      <c r="A1289" s="31" t="s">
        <v>4</v>
      </c>
      <c r="B1289" s="31" t="s">
        <v>5</v>
      </c>
      <c r="C1289" s="31" t="s">
        <v>6</v>
      </c>
      <c r="D1289" s="22"/>
      <c r="E1289" s="31" t="s">
        <v>7</v>
      </c>
      <c r="F1289" s="31" t="s">
        <v>8</v>
      </c>
      <c r="G1289" s="31" t="s">
        <v>9</v>
      </c>
      <c r="H1289" s="31" t="s">
        <v>10</v>
      </c>
      <c r="I1289" s="31" t="s">
        <v>11</v>
      </c>
      <c r="J1289" s="31" t="s">
        <v>12</v>
      </c>
      <c r="K1289" s="31" t="s">
        <v>13</v>
      </c>
      <c r="L1289" s="31" t="s">
        <v>14</v>
      </c>
      <c r="M1289" s="141" t="s">
        <v>15</v>
      </c>
      <c r="N1289" s="142" t="s">
        <v>16</v>
      </c>
      <c r="O1289" s="142" t="s">
        <v>17</v>
      </c>
      <c r="P1289" s="142" t="s">
        <v>18</v>
      </c>
      <c r="Q1289" s="141" t="s">
        <v>19</v>
      </c>
      <c r="R1289" s="141" t="s">
        <v>20</v>
      </c>
      <c r="S1289" s="141" t="s">
        <v>3655</v>
      </c>
      <c r="T1289" s="141" t="s">
        <v>3656</v>
      </c>
    </row>
    <row r="1290" spans="1:20" ht="21" customHeight="1" x14ac:dyDescent="0.25">
      <c r="A1290" s="60"/>
      <c r="B1290" s="118"/>
      <c r="C1290" s="45"/>
      <c r="D1290" s="45"/>
      <c r="E1290" s="45"/>
      <c r="F1290" s="25"/>
      <c r="G1290" s="55"/>
      <c r="H1290" s="55"/>
      <c r="I1290" s="25"/>
      <c r="J1290" s="25"/>
      <c r="K1290" s="25"/>
      <c r="L1290" s="28"/>
      <c r="M1290" s="29"/>
      <c r="N1290" s="30"/>
      <c r="O1290" s="30"/>
      <c r="P1290" s="30"/>
      <c r="Q1290" s="29"/>
      <c r="R1290" s="29"/>
      <c r="S1290" s="29"/>
      <c r="T1290" s="29"/>
    </row>
    <row r="1291" spans="1:20" ht="21" customHeight="1" x14ac:dyDescent="0.25">
      <c r="A1291" s="22">
        <v>1</v>
      </c>
      <c r="B1291" s="63" t="s">
        <v>3472</v>
      </c>
      <c r="C1291" s="62" t="s">
        <v>3473</v>
      </c>
      <c r="D1291" s="23" t="s">
        <v>30</v>
      </c>
      <c r="E1291" s="62" t="s">
        <v>3474</v>
      </c>
      <c r="F1291" s="62" t="s">
        <v>25</v>
      </c>
      <c r="G1291" s="64">
        <v>3500</v>
      </c>
      <c r="H1291" s="63">
        <v>202506</v>
      </c>
      <c r="I1291" s="63" t="s">
        <v>3475</v>
      </c>
      <c r="J1291" s="62">
        <v>33044</v>
      </c>
      <c r="K1291" s="62">
        <v>34121</v>
      </c>
      <c r="L1291" s="51">
        <v>1077</v>
      </c>
      <c r="M1291" s="51">
        <v>1830394</v>
      </c>
      <c r="N1291" s="11">
        <v>0</v>
      </c>
      <c r="O1291" s="131">
        <v>0</v>
      </c>
      <c r="P1291" s="131">
        <v>0</v>
      </c>
      <c r="Q1291" s="158">
        <v>0</v>
      </c>
      <c r="R1291" s="29">
        <v>1830394</v>
      </c>
      <c r="S1291" s="29">
        <v>3000</v>
      </c>
      <c r="T1291" s="29">
        <f t="shared" ref="T1291:T1311" si="82">R1291+S1291</f>
        <v>1833394</v>
      </c>
    </row>
    <row r="1292" spans="1:20" ht="21" customHeight="1" x14ac:dyDescent="0.25">
      <c r="A1292" s="22">
        <v>2</v>
      </c>
      <c r="B1292" s="63" t="s">
        <v>3476</v>
      </c>
      <c r="C1292" s="62" t="s">
        <v>3473</v>
      </c>
      <c r="D1292" s="23" t="s">
        <v>30</v>
      </c>
      <c r="E1292" s="62" t="s">
        <v>3477</v>
      </c>
      <c r="F1292" s="62" t="s">
        <v>25</v>
      </c>
      <c r="G1292" s="64">
        <v>3500</v>
      </c>
      <c r="H1292" s="63">
        <v>202506</v>
      </c>
      <c r="I1292" s="63" t="s">
        <v>3478</v>
      </c>
      <c r="J1292" s="62">
        <v>25477</v>
      </c>
      <c r="K1292" s="62">
        <v>26251</v>
      </c>
      <c r="L1292" s="51">
        <v>774</v>
      </c>
      <c r="M1292" s="51">
        <v>1315436</v>
      </c>
      <c r="N1292" s="11">
        <v>0</v>
      </c>
      <c r="O1292" s="131">
        <v>0</v>
      </c>
      <c r="P1292" s="131">
        <v>0</v>
      </c>
      <c r="Q1292" s="158">
        <v>0</v>
      </c>
      <c r="R1292" s="29">
        <v>1315436</v>
      </c>
      <c r="S1292" s="29">
        <v>3000</v>
      </c>
      <c r="T1292" s="29">
        <f t="shared" si="82"/>
        <v>1318436</v>
      </c>
    </row>
    <row r="1293" spans="1:20" ht="21" customHeight="1" x14ac:dyDescent="0.25">
      <c r="A1293" s="22">
        <v>3</v>
      </c>
      <c r="B1293" s="63" t="s">
        <v>3479</v>
      </c>
      <c r="C1293" s="62" t="s">
        <v>3480</v>
      </c>
      <c r="D1293" s="23" t="s">
        <v>30</v>
      </c>
      <c r="E1293" s="62" t="s">
        <v>3481</v>
      </c>
      <c r="F1293" s="62" t="s">
        <v>25</v>
      </c>
      <c r="G1293" s="64">
        <v>2200</v>
      </c>
      <c r="H1293" s="63">
        <v>202506</v>
      </c>
      <c r="I1293" s="63" t="s">
        <v>3482</v>
      </c>
      <c r="J1293" s="62">
        <v>10226</v>
      </c>
      <c r="K1293" s="62">
        <v>10685</v>
      </c>
      <c r="L1293" s="51">
        <v>459</v>
      </c>
      <c r="M1293" s="51">
        <v>780084</v>
      </c>
      <c r="N1293" s="11">
        <v>0</v>
      </c>
      <c r="O1293" s="131">
        <v>0</v>
      </c>
      <c r="P1293" s="131">
        <v>0</v>
      </c>
      <c r="Q1293" s="158">
        <v>0</v>
      </c>
      <c r="R1293" s="29">
        <v>780084</v>
      </c>
      <c r="S1293" s="29">
        <v>3000</v>
      </c>
      <c r="T1293" s="29">
        <f t="shared" si="82"/>
        <v>783084</v>
      </c>
    </row>
    <row r="1294" spans="1:20" ht="21" customHeight="1" x14ac:dyDescent="0.25">
      <c r="A1294" s="22">
        <v>4</v>
      </c>
      <c r="B1294" s="63" t="s">
        <v>3483</v>
      </c>
      <c r="C1294" s="62" t="s">
        <v>3484</v>
      </c>
      <c r="D1294" s="23" t="s">
        <v>30</v>
      </c>
      <c r="E1294" s="62" t="s">
        <v>3485</v>
      </c>
      <c r="F1294" s="62" t="s">
        <v>25</v>
      </c>
      <c r="G1294" s="64">
        <v>3500</v>
      </c>
      <c r="H1294" s="63">
        <v>202506</v>
      </c>
      <c r="I1294" s="63" t="s">
        <v>3486</v>
      </c>
      <c r="J1294" s="62">
        <v>24049</v>
      </c>
      <c r="K1294" s="62">
        <v>24804</v>
      </c>
      <c r="L1294" s="51">
        <v>755</v>
      </c>
      <c r="M1294" s="51">
        <v>1283145</v>
      </c>
      <c r="N1294" s="11">
        <v>0</v>
      </c>
      <c r="O1294" s="131">
        <v>0</v>
      </c>
      <c r="P1294" s="131">
        <v>0</v>
      </c>
      <c r="Q1294" s="158">
        <v>0</v>
      </c>
      <c r="R1294" s="29">
        <v>1283145</v>
      </c>
      <c r="S1294" s="29">
        <v>3000</v>
      </c>
      <c r="T1294" s="29">
        <f t="shared" si="82"/>
        <v>1286145</v>
      </c>
    </row>
    <row r="1295" spans="1:20" ht="21" customHeight="1" x14ac:dyDescent="0.25">
      <c r="A1295" s="22">
        <v>5</v>
      </c>
      <c r="B1295" s="63" t="s">
        <v>3487</v>
      </c>
      <c r="C1295" s="62" t="s">
        <v>3488</v>
      </c>
      <c r="D1295" s="23" t="s">
        <v>30</v>
      </c>
      <c r="E1295" s="62" t="s">
        <v>3489</v>
      </c>
      <c r="F1295" s="62" t="s">
        <v>25</v>
      </c>
      <c r="G1295" s="64">
        <v>3500</v>
      </c>
      <c r="H1295" s="63">
        <v>202506</v>
      </c>
      <c r="I1295" s="63" t="s">
        <v>3490</v>
      </c>
      <c r="J1295" s="62">
        <v>12511</v>
      </c>
      <c r="K1295" s="62">
        <v>12953</v>
      </c>
      <c r="L1295" s="51">
        <v>442</v>
      </c>
      <c r="M1295" s="51">
        <v>751192</v>
      </c>
      <c r="N1295" s="11">
        <v>0</v>
      </c>
      <c r="O1295" s="131">
        <v>0</v>
      </c>
      <c r="P1295" s="131">
        <v>0</v>
      </c>
      <c r="Q1295" s="158">
        <v>0</v>
      </c>
      <c r="R1295" s="29">
        <v>751192</v>
      </c>
      <c r="S1295" s="29">
        <v>3000</v>
      </c>
      <c r="T1295" s="29">
        <f t="shared" si="82"/>
        <v>754192</v>
      </c>
    </row>
    <row r="1296" spans="1:20" ht="21" customHeight="1" x14ac:dyDescent="0.25">
      <c r="A1296" s="22">
        <v>6</v>
      </c>
      <c r="B1296" s="63" t="s">
        <v>3491</v>
      </c>
      <c r="C1296" s="62" t="s">
        <v>3492</v>
      </c>
      <c r="D1296" s="23" t="s">
        <v>30</v>
      </c>
      <c r="E1296" s="62" t="s">
        <v>3493</v>
      </c>
      <c r="F1296" s="62" t="s">
        <v>25</v>
      </c>
      <c r="G1296" s="64">
        <v>3500</v>
      </c>
      <c r="H1296" s="63">
        <v>202506</v>
      </c>
      <c r="I1296" s="63" t="s">
        <v>3494</v>
      </c>
      <c r="J1296" s="62">
        <v>38103</v>
      </c>
      <c r="K1296" s="62">
        <v>39871</v>
      </c>
      <c r="L1296" s="51">
        <v>1768</v>
      </c>
      <c r="M1296" s="51">
        <v>3004769</v>
      </c>
      <c r="N1296" s="11">
        <v>0</v>
      </c>
      <c r="O1296" s="131">
        <v>0</v>
      </c>
      <c r="P1296" s="131">
        <v>0</v>
      </c>
      <c r="Q1296" s="158">
        <v>0</v>
      </c>
      <c r="R1296" s="29">
        <v>3004769</v>
      </c>
      <c r="S1296" s="29">
        <v>3000</v>
      </c>
      <c r="T1296" s="29">
        <f t="shared" si="82"/>
        <v>3007769</v>
      </c>
    </row>
    <row r="1297" spans="1:20" ht="21" customHeight="1" x14ac:dyDescent="0.25">
      <c r="A1297" s="22">
        <v>7</v>
      </c>
      <c r="B1297" s="63" t="s">
        <v>3495</v>
      </c>
      <c r="C1297" s="62" t="s">
        <v>3496</v>
      </c>
      <c r="D1297" s="23" t="s">
        <v>30</v>
      </c>
      <c r="E1297" s="62" t="s">
        <v>3497</v>
      </c>
      <c r="F1297" s="62" t="s">
        <v>25</v>
      </c>
      <c r="G1297" s="64">
        <v>3500</v>
      </c>
      <c r="H1297" s="63">
        <v>202506</v>
      </c>
      <c r="I1297" s="63" t="s">
        <v>3498</v>
      </c>
      <c r="J1297" s="62">
        <v>12133</v>
      </c>
      <c r="K1297" s="62">
        <v>12422</v>
      </c>
      <c r="L1297" s="51">
        <v>289</v>
      </c>
      <c r="M1297" s="51">
        <v>491164</v>
      </c>
      <c r="N1297" s="11">
        <v>0</v>
      </c>
      <c r="O1297" s="131">
        <v>0</v>
      </c>
      <c r="P1297" s="131">
        <v>0</v>
      </c>
      <c r="Q1297" s="158">
        <v>0</v>
      </c>
      <c r="R1297" s="29">
        <v>491164</v>
      </c>
      <c r="S1297" s="29">
        <v>3000</v>
      </c>
      <c r="T1297" s="29">
        <f t="shared" si="82"/>
        <v>494164</v>
      </c>
    </row>
    <row r="1298" spans="1:20" ht="21" customHeight="1" x14ac:dyDescent="0.25">
      <c r="A1298" s="22">
        <v>8</v>
      </c>
      <c r="B1298" s="63" t="s">
        <v>3499</v>
      </c>
      <c r="C1298" s="62" t="s">
        <v>3500</v>
      </c>
      <c r="D1298" s="23" t="s">
        <v>30</v>
      </c>
      <c r="E1298" s="62" t="s">
        <v>3501</v>
      </c>
      <c r="F1298" s="62" t="s">
        <v>25</v>
      </c>
      <c r="G1298" s="64">
        <v>3500</v>
      </c>
      <c r="H1298" s="63">
        <v>202506</v>
      </c>
      <c r="I1298" s="63" t="s">
        <v>3502</v>
      </c>
      <c r="J1298" s="62">
        <v>48656</v>
      </c>
      <c r="K1298" s="62">
        <v>49601</v>
      </c>
      <c r="L1298" s="51">
        <v>945</v>
      </c>
      <c r="M1298" s="51">
        <v>1606056</v>
      </c>
      <c r="N1298" s="11">
        <v>0</v>
      </c>
      <c r="O1298" s="131">
        <v>0</v>
      </c>
      <c r="P1298" s="131">
        <v>0</v>
      </c>
      <c r="Q1298" s="158">
        <v>0</v>
      </c>
      <c r="R1298" s="29">
        <v>1606056</v>
      </c>
      <c r="S1298" s="29">
        <v>3000</v>
      </c>
      <c r="T1298" s="29">
        <f t="shared" si="82"/>
        <v>1609056</v>
      </c>
    </row>
    <row r="1299" spans="1:20" ht="21" customHeight="1" x14ac:dyDescent="0.25">
      <c r="A1299" s="22">
        <v>9</v>
      </c>
      <c r="B1299" s="63" t="s">
        <v>3503</v>
      </c>
      <c r="C1299" s="62" t="s">
        <v>3504</v>
      </c>
      <c r="D1299" s="23" t="s">
        <v>30</v>
      </c>
      <c r="E1299" s="62" t="s">
        <v>3505</v>
      </c>
      <c r="F1299" s="62" t="s">
        <v>25</v>
      </c>
      <c r="G1299" s="64">
        <v>2200</v>
      </c>
      <c r="H1299" s="63">
        <v>202506</v>
      </c>
      <c r="I1299" s="63" t="s">
        <v>3506</v>
      </c>
      <c r="J1299" s="62">
        <v>7158</v>
      </c>
      <c r="K1299" s="62">
        <v>7509</v>
      </c>
      <c r="L1299" s="51">
        <v>351</v>
      </c>
      <c r="M1299" s="51">
        <v>596535</v>
      </c>
      <c r="N1299" s="11">
        <v>0</v>
      </c>
      <c r="O1299" s="131">
        <v>0</v>
      </c>
      <c r="P1299" s="131">
        <v>0</v>
      </c>
      <c r="Q1299" s="158">
        <v>0</v>
      </c>
      <c r="R1299" s="29">
        <v>596535</v>
      </c>
      <c r="S1299" s="29">
        <v>3000</v>
      </c>
      <c r="T1299" s="29">
        <f t="shared" si="82"/>
        <v>599535</v>
      </c>
    </row>
    <row r="1300" spans="1:20" ht="21" customHeight="1" x14ac:dyDescent="0.25">
      <c r="A1300" s="22">
        <v>10</v>
      </c>
      <c r="B1300" s="63" t="s">
        <v>3507</v>
      </c>
      <c r="C1300" s="62" t="s">
        <v>3508</v>
      </c>
      <c r="D1300" s="23" t="s">
        <v>30</v>
      </c>
      <c r="E1300" s="62" t="s">
        <v>3509</v>
      </c>
      <c r="F1300" s="62" t="s">
        <v>25</v>
      </c>
      <c r="G1300" s="64">
        <v>3500</v>
      </c>
      <c r="H1300" s="63">
        <v>202506</v>
      </c>
      <c r="I1300" s="63" t="s">
        <v>3510</v>
      </c>
      <c r="J1300" s="62">
        <v>12807</v>
      </c>
      <c r="K1300" s="62">
        <v>13214</v>
      </c>
      <c r="L1300" s="51">
        <v>407</v>
      </c>
      <c r="M1300" s="51">
        <v>691709</v>
      </c>
      <c r="N1300" s="11">
        <v>0</v>
      </c>
      <c r="O1300" s="131">
        <v>0</v>
      </c>
      <c r="P1300" s="131">
        <v>0</v>
      </c>
      <c r="Q1300" s="158">
        <v>0</v>
      </c>
      <c r="R1300" s="29">
        <v>691709</v>
      </c>
      <c r="S1300" s="29">
        <v>3000</v>
      </c>
      <c r="T1300" s="29">
        <f t="shared" si="82"/>
        <v>694709</v>
      </c>
    </row>
    <row r="1301" spans="1:20" ht="21" customHeight="1" x14ac:dyDescent="0.25">
      <c r="A1301" s="22">
        <v>11</v>
      </c>
      <c r="B1301" s="63" t="s">
        <v>3511</v>
      </c>
      <c r="C1301" s="62" t="s">
        <v>3512</v>
      </c>
      <c r="D1301" s="23" t="s">
        <v>30</v>
      </c>
      <c r="E1301" s="62" t="s">
        <v>3513</v>
      </c>
      <c r="F1301" s="62" t="s">
        <v>25</v>
      </c>
      <c r="G1301" s="64">
        <v>3500</v>
      </c>
      <c r="H1301" s="63">
        <v>202506</v>
      </c>
      <c r="I1301" s="63" t="s">
        <v>3514</v>
      </c>
      <c r="J1301" s="62">
        <v>12148</v>
      </c>
      <c r="K1301" s="62">
        <v>12511</v>
      </c>
      <c r="L1301" s="51">
        <v>363</v>
      </c>
      <c r="M1301" s="51">
        <v>616929</v>
      </c>
      <c r="N1301" s="11">
        <v>0</v>
      </c>
      <c r="O1301" s="131">
        <v>0</v>
      </c>
      <c r="P1301" s="131">
        <v>0</v>
      </c>
      <c r="Q1301" s="158">
        <v>0</v>
      </c>
      <c r="R1301" s="29">
        <v>616929</v>
      </c>
      <c r="S1301" s="29">
        <v>3000</v>
      </c>
      <c r="T1301" s="29">
        <f t="shared" si="82"/>
        <v>619929</v>
      </c>
    </row>
    <row r="1302" spans="1:20" ht="21" customHeight="1" x14ac:dyDescent="0.25">
      <c r="A1302" s="22">
        <v>12</v>
      </c>
      <c r="B1302" s="63" t="s">
        <v>3515</v>
      </c>
      <c r="C1302" s="62" t="s">
        <v>2098</v>
      </c>
      <c r="D1302" s="23" t="s">
        <v>30</v>
      </c>
      <c r="E1302" s="62" t="s">
        <v>3516</v>
      </c>
      <c r="F1302" s="62" t="s">
        <v>25</v>
      </c>
      <c r="G1302" s="64">
        <v>4400</v>
      </c>
      <c r="H1302" s="63">
        <v>202506</v>
      </c>
      <c r="I1302" s="63" t="s">
        <v>436</v>
      </c>
      <c r="J1302" s="62">
        <v>5072</v>
      </c>
      <c r="K1302" s="62">
        <v>5662</v>
      </c>
      <c r="L1302" s="51">
        <v>590</v>
      </c>
      <c r="M1302" s="51">
        <v>1002723</v>
      </c>
      <c r="N1302" s="11">
        <v>0</v>
      </c>
      <c r="O1302" s="131">
        <v>0</v>
      </c>
      <c r="P1302" s="131">
        <v>0</v>
      </c>
      <c r="Q1302" s="158">
        <v>0</v>
      </c>
      <c r="R1302" s="29">
        <v>1002723</v>
      </c>
      <c r="S1302" s="29">
        <v>3000</v>
      </c>
      <c r="T1302" s="29">
        <f t="shared" si="82"/>
        <v>1005723</v>
      </c>
    </row>
    <row r="1303" spans="1:20" ht="21" customHeight="1" x14ac:dyDescent="0.25">
      <c r="A1303" s="22">
        <v>13</v>
      </c>
      <c r="B1303" s="63" t="s">
        <v>3517</v>
      </c>
      <c r="C1303" s="62" t="s">
        <v>3518</v>
      </c>
      <c r="D1303" s="23" t="s">
        <v>30</v>
      </c>
      <c r="E1303" s="62" t="s">
        <v>3519</v>
      </c>
      <c r="F1303" s="62" t="s">
        <v>25</v>
      </c>
      <c r="G1303" s="64">
        <v>1300</v>
      </c>
      <c r="H1303" s="63">
        <v>202506</v>
      </c>
      <c r="I1303" s="63" t="s">
        <v>3520</v>
      </c>
      <c r="J1303" s="62">
        <v>9161</v>
      </c>
      <c r="K1303" s="62">
        <v>9611</v>
      </c>
      <c r="L1303" s="51">
        <v>450</v>
      </c>
      <c r="M1303" s="51">
        <v>764789</v>
      </c>
      <c r="N1303" s="11">
        <v>0</v>
      </c>
      <c r="O1303" s="131">
        <v>0</v>
      </c>
      <c r="P1303" s="131">
        <v>0</v>
      </c>
      <c r="Q1303" s="158">
        <v>0</v>
      </c>
      <c r="R1303" s="29">
        <v>764789</v>
      </c>
      <c r="S1303" s="29">
        <v>3000</v>
      </c>
      <c r="T1303" s="29">
        <f t="shared" si="82"/>
        <v>767789</v>
      </c>
    </row>
    <row r="1304" spans="1:20" ht="21" customHeight="1" x14ac:dyDescent="0.25">
      <c r="A1304" s="22">
        <v>14</v>
      </c>
      <c r="B1304" s="63" t="s">
        <v>3521</v>
      </c>
      <c r="C1304" s="62" t="s">
        <v>3522</v>
      </c>
      <c r="D1304" s="23" t="s">
        <v>30</v>
      </c>
      <c r="E1304" s="62" t="s">
        <v>3523</v>
      </c>
      <c r="F1304" s="62" t="s">
        <v>25</v>
      </c>
      <c r="G1304" s="64">
        <v>3500</v>
      </c>
      <c r="H1304" s="63">
        <v>202506</v>
      </c>
      <c r="I1304" s="63" t="s">
        <v>3524</v>
      </c>
      <c r="J1304" s="62">
        <v>2462</v>
      </c>
      <c r="K1304" s="62">
        <v>2839</v>
      </c>
      <c r="L1304" s="51">
        <v>377</v>
      </c>
      <c r="M1304" s="51">
        <v>640723</v>
      </c>
      <c r="N1304" s="11">
        <v>0</v>
      </c>
      <c r="O1304" s="131">
        <v>0</v>
      </c>
      <c r="P1304" s="131">
        <v>0</v>
      </c>
      <c r="Q1304" s="158">
        <v>0</v>
      </c>
      <c r="R1304" s="29">
        <v>640723</v>
      </c>
      <c r="S1304" s="29">
        <v>3000</v>
      </c>
      <c r="T1304" s="29">
        <f t="shared" si="82"/>
        <v>643723</v>
      </c>
    </row>
    <row r="1305" spans="1:20" ht="21" customHeight="1" x14ac:dyDescent="0.25">
      <c r="A1305" s="22">
        <v>15</v>
      </c>
      <c r="B1305" s="63" t="s">
        <v>3525</v>
      </c>
      <c r="C1305" s="62" t="s">
        <v>3526</v>
      </c>
      <c r="D1305" s="23" t="s">
        <v>30</v>
      </c>
      <c r="E1305" s="62" t="s">
        <v>3527</v>
      </c>
      <c r="F1305" s="62" t="s">
        <v>25</v>
      </c>
      <c r="G1305" s="64">
        <v>3500</v>
      </c>
      <c r="H1305" s="63">
        <v>202506</v>
      </c>
      <c r="I1305" s="63" t="s">
        <v>3528</v>
      </c>
      <c r="J1305" s="62">
        <v>6683</v>
      </c>
      <c r="K1305" s="62">
        <v>7060</v>
      </c>
      <c r="L1305" s="51">
        <v>377</v>
      </c>
      <c r="M1305" s="51">
        <v>640723</v>
      </c>
      <c r="N1305" s="11">
        <v>0</v>
      </c>
      <c r="O1305" s="131">
        <v>0</v>
      </c>
      <c r="P1305" s="131">
        <v>0</v>
      </c>
      <c r="Q1305" s="158">
        <v>0</v>
      </c>
      <c r="R1305" s="29">
        <v>640723</v>
      </c>
      <c r="S1305" s="29">
        <v>3000</v>
      </c>
      <c r="T1305" s="29">
        <f t="shared" si="82"/>
        <v>643723</v>
      </c>
    </row>
    <row r="1306" spans="1:20" ht="21" customHeight="1" x14ac:dyDescent="0.25">
      <c r="A1306" s="22">
        <v>16</v>
      </c>
      <c r="B1306" s="63" t="s">
        <v>3529</v>
      </c>
      <c r="C1306" s="62" t="s">
        <v>3530</v>
      </c>
      <c r="D1306" s="23" t="s">
        <v>30</v>
      </c>
      <c r="E1306" s="62" t="s">
        <v>3527</v>
      </c>
      <c r="F1306" s="62" t="s">
        <v>25</v>
      </c>
      <c r="G1306" s="64">
        <v>3500</v>
      </c>
      <c r="H1306" s="63">
        <v>202506</v>
      </c>
      <c r="I1306" s="63" t="s">
        <v>3531</v>
      </c>
      <c r="J1306" s="62">
        <v>8128</v>
      </c>
      <c r="K1306" s="62">
        <v>8595</v>
      </c>
      <c r="L1306" s="51">
        <v>467</v>
      </c>
      <c r="M1306" s="51">
        <v>793681</v>
      </c>
      <c r="N1306" s="11">
        <v>0</v>
      </c>
      <c r="O1306" s="131">
        <v>0</v>
      </c>
      <c r="P1306" s="131">
        <v>0</v>
      </c>
      <c r="Q1306" s="158">
        <v>0</v>
      </c>
      <c r="R1306" s="29">
        <v>793681</v>
      </c>
      <c r="S1306" s="29">
        <v>3000</v>
      </c>
      <c r="T1306" s="29">
        <f t="shared" si="82"/>
        <v>796681</v>
      </c>
    </row>
    <row r="1307" spans="1:20" ht="21" customHeight="1" x14ac:dyDescent="0.25">
      <c r="A1307" s="22">
        <v>17</v>
      </c>
      <c r="B1307" s="63" t="s">
        <v>3532</v>
      </c>
      <c r="C1307" s="62" t="s">
        <v>3533</v>
      </c>
      <c r="D1307" s="23" t="s">
        <v>30</v>
      </c>
      <c r="E1307" s="62" t="s">
        <v>3534</v>
      </c>
      <c r="F1307" s="62" t="s">
        <v>25</v>
      </c>
      <c r="G1307" s="64">
        <v>3500</v>
      </c>
      <c r="H1307" s="63">
        <v>202506</v>
      </c>
      <c r="I1307" s="63" t="s">
        <v>3535</v>
      </c>
      <c r="J1307" s="62">
        <v>7446</v>
      </c>
      <c r="K1307" s="62">
        <v>7888</v>
      </c>
      <c r="L1307" s="51">
        <v>442</v>
      </c>
      <c r="M1307" s="51">
        <v>751192</v>
      </c>
      <c r="N1307" s="11">
        <v>0</v>
      </c>
      <c r="O1307" s="131">
        <v>0</v>
      </c>
      <c r="P1307" s="131">
        <v>0</v>
      </c>
      <c r="Q1307" s="158">
        <v>0</v>
      </c>
      <c r="R1307" s="29">
        <v>751192</v>
      </c>
      <c r="S1307" s="29">
        <v>3000</v>
      </c>
      <c r="T1307" s="29">
        <f t="shared" si="82"/>
        <v>754192</v>
      </c>
    </row>
    <row r="1308" spans="1:20" ht="21" customHeight="1" x14ac:dyDescent="0.25">
      <c r="A1308" s="22">
        <v>18</v>
      </c>
      <c r="B1308" s="63" t="s">
        <v>3536</v>
      </c>
      <c r="C1308" s="62" t="s">
        <v>3537</v>
      </c>
      <c r="D1308" s="23" t="s">
        <v>30</v>
      </c>
      <c r="E1308" s="62" t="s">
        <v>3538</v>
      </c>
      <c r="F1308" s="62" t="s">
        <v>25</v>
      </c>
      <c r="G1308" s="64">
        <v>3500</v>
      </c>
      <c r="H1308" s="63">
        <v>202506</v>
      </c>
      <c r="I1308" s="63" t="s">
        <v>3539</v>
      </c>
      <c r="J1308" s="62">
        <v>5948</v>
      </c>
      <c r="K1308" s="62">
        <v>6152</v>
      </c>
      <c r="L1308" s="51">
        <v>204</v>
      </c>
      <c r="M1308" s="51">
        <v>346704</v>
      </c>
      <c r="N1308" s="11">
        <v>0</v>
      </c>
      <c r="O1308" s="131">
        <v>0</v>
      </c>
      <c r="P1308" s="131">
        <v>0</v>
      </c>
      <c r="Q1308" s="158">
        <v>0</v>
      </c>
      <c r="R1308" s="29">
        <v>346704</v>
      </c>
      <c r="S1308" s="29">
        <v>3000</v>
      </c>
      <c r="T1308" s="29">
        <f t="shared" si="82"/>
        <v>349704</v>
      </c>
    </row>
    <row r="1309" spans="1:20" ht="21" customHeight="1" x14ac:dyDescent="0.25">
      <c r="A1309" s="22">
        <v>19</v>
      </c>
      <c r="B1309" s="63" t="s">
        <v>3540</v>
      </c>
      <c r="C1309" s="62" t="s">
        <v>3541</v>
      </c>
      <c r="D1309" s="23" t="s">
        <v>30</v>
      </c>
      <c r="E1309" s="62" t="s">
        <v>3542</v>
      </c>
      <c r="F1309" s="62" t="s">
        <v>25</v>
      </c>
      <c r="G1309" s="64">
        <v>3500</v>
      </c>
      <c r="H1309" s="63">
        <v>202506</v>
      </c>
      <c r="I1309" s="63" t="s">
        <v>3543</v>
      </c>
      <c r="J1309" s="62">
        <v>7331</v>
      </c>
      <c r="K1309" s="62">
        <v>7793</v>
      </c>
      <c r="L1309" s="51">
        <v>462</v>
      </c>
      <c r="M1309" s="51">
        <v>785183</v>
      </c>
      <c r="N1309" s="11">
        <v>0</v>
      </c>
      <c r="O1309" s="131">
        <v>0</v>
      </c>
      <c r="P1309" s="131">
        <v>0</v>
      </c>
      <c r="Q1309" s="158">
        <v>0</v>
      </c>
      <c r="R1309" s="29">
        <v>785183</v>
      </c>
      <c r="S1309" s="29">
        <v>3000</v>
      </c>
      <c r="T1309" s="29">
        <f t="shared" si="82"/>
        <v>788183</v>
      </c>
    </row>
    <row r="1310" spans="1:20" ht="21" customHeight="1" x14ac:dyDescent="0.25">
      <c r="A1310" s="22">
        <v>20</v>
      </c>
      <c r="B1310" s="63" t="s">
        <v>3544</v>
      </c>
      <c r="C1310" s="62" t="s">
        <v>3545</v>
      </c>
      <c r="D1310" s="23" t="s">
        <v>30</v>
      </c>
      <c r="E1310" s="62" t="s">
        <v>3546</v>
      </c>
      <c r="F1310" s="62" t="s">
        <v>25</v>
      </c>
      <c r="G1310" s="64">
        <v>3500</v>
      </c>
      <c r="H1310" s="63">
        <v>202506</v>
      </c>
      <c r="I1310" s="63" t="s">
        <v>3547</v>
      </c>
      <c r="J1310" s="62">
        <v>7694</v>
      </c>
      <c r="K1310" s="62">
        <v>8175</v>
      </c>
      <c r="L1310" s="51">
        <v>481</v>
      </c>
      <c r="M1310" s="51">
        <v>817474</v>
      </c>
      <c r="N1310" s="11">
        <v>0</v>
      </c>
      <c r="O1310" s="131">
        <v>0</v>
      </c>
      <c r="P1310" s="131">
        <v>0</v>
      </c>
      <c r="Q1310" s="158">
        <v>0</v>
      </c>
      <c r="R1310" s="29">
        <v>817474</v>
      </c>
      <c r="S1310" s="29">
        <v>3000</v>
      </c>
      <c r="T1310" s="29">
        <f t="shared" si="82"/>
        <v>820474</v>
      </c>
    </row>
    <row r="1311" spans="1:20" ht="21" customHeight="1" x14ac:dyDescent="0.25">
      <c r="A1311" s="22">
        <v>21</v>
      </c>
      <c r="B1311" s="63" t="s">
        <v>3548</v>
      </c>
      <c r="C1311" s="62" t="s">
        <v>3549</v>
      </c>
      <c r="D1311" s="23" t="s">
        <v>30</v>
      </c>
      <c r="E1311" s="62" t="s">
        <v>3550</v>
      </c>
      <c r="F1311" s="62" t="s">
        <v>25</v>
      </c>
      <c r="G1311" s="64">
        <v>5500</v>
      </c>
      <c r="H1311" s="63">
        <v>202506</v>
      </c>
      <c r="I1311" s="63" t="s">
        <v>3551</v>
      </c>
      <c r="J1311" s="62">
        <v>4505</v>
      </c>
      <c r="K1311" s="62">
        <v>4779</v>
      </c>
      <c r="L1311" s="51">
        <v>274</v>
      </c>
      <c r="M1311" s="51">
        <v>465671</v>
      </c>
      <c r="N1311" s="11">
        <v>0</v>
      </c>
      <c r="O1311" s="131">
        <v>0</v>
      </c>
      <c r="P1311" s="131">
        <v>0</v>
      </c>
      <c r="Q1311" s="158">
        <v>0</v>
      </c>
      <c r="R1311" s="29">
        <v>465671</v>
      </c>
      <c r="S1311" s="29">
        <v>3000</v>
      </c>
      <c r="T1311" s="29">
        <f t="shared" si="82"/>
        <v>468671</v>
      </c>
    </row>
    <row r="1312" spans="1:20" ht="21" customHeight="1" x14ac:dyDescent="0.25">
      <c r="A1312" s="24"/>
      <c r="B1312" s="25"/>
      <c r="C1312" s="24"/>
      <c r="D1312" s="24"/>
      <c r="E1312" s="24"/>
      <c r="F1312" s="25"/>
      <c r="G1312" s="127"/>
      <c r="H1312" s="28"/>
      <c r="I1312" s="25"/>
      <c r="J1312" s="25"/>
      <c r="K1312" s="25"/>
      <c r="L1312" s="28"/>
      <c r="M1312" s="29"/>
      <c r="N1312" s="30"/>
      <c r="O1312" s="30"/>
      <c r="P1312" s="30"/>
      <c r="Q1312" s="29"/>
      <c r="R1312" s="29"/>
      <c r="S1312" s="29"/>
      <c r="T1312" s="29"/>
    </row>
    <row r="1313" spans="1:20" ht="21" customHeight="1" x14ac:dyDescent="0.25">
      <c r="A1313" s="44" t="s">
        <v>3552</v>
      </c>
      <c r="B1313" s="50"/>
      <c r="C1313" s="50"/>
      <c r="D1313" s="50"/>
      <c r="E1313" s="50"/>
      <c r="F1313" s="50"/>
      <c r="G1313" s="46">
        <v>71600</v>
      </c>
      <c r="H1313" s="46">
        <v>4252626</v>
      </c>
      <c r="I1313" s="46">
        <v>0</v>
      </c>
      <c r="J1313" s="46"/>
      <c r="K1313" s="46"/>
      <c r="L1313" s="46">
        <v>11754</v>
      </c>
      <c r="M1313" s="47">
        <v>19976276</v>
      </c>
      <c r="N1313" s="48">
        <v>0</v>
      </c>
      <c r="O1313" s="48">
        <v>0</v>
      </c>
      <c r="P1313" s="48">
        <v>0</v>
      </c>
      <c r="Q1313" s="47">
        <f>SUM(Q1290:Q1312)</f>
        <v>0</v>
      </c>
      <c r="R1313" s="47">
        <f t="shared" ref="R1313:T1313" si="83">SUM(R1290:R1312)</f>
        <v>19976276</v>
      </c>
      <c r="S1313" s="47">
        <f t="shared" si="83"/>
        <v>63000</v>
      </c>
      <c r="T1313" s="47">
        <f t="shared" si="83"/>
        <v>20039276</v>
      </c>
    </row>
    <row r="1314" spans="1:20" ht="21" customHeight="1" x14ac:dyDescent="0.25">
      <c r="A1314" s="35"/>
      <c r="B1314" s="18"/>
      <c r="E1314" s="15"/>
      <c r="G1314" s="49"/>
      <c r="H1314" s="49"/>
    </row>
    <row r="1315" spans="1:20" ht="21" customHeight="1" x14ac:dyDescent="0.25">
      <c r="A1315" s="35"/>
      <c r="B1315" s="18"/>
      <c r="E1315" s="15"/>
      <c r="G1315" s="49"/>
      <c r="H1315" s="49"/>
    </row>
    <row r="1316" spans="1:20" ht="21" customHeight="1" x14ac:dyDescent="0.25">
      <c r="A1316" s="108" t="s">
        <v>3553</v>
      </c>
      <c r="C1316" s="15"/>
      <c r="D1316" s="15"/>
      <c r="E1316" s="15"/>
      <c r="G1316" s="53"/>
      <c r="L1316" s="41"/>
    </row>
    <row r="1317" spans="1:20" s="93" customFormat="1" ht="42" customHeight="1" x14ac:dyDescent="0.25">
      <c r="A1317" s="31" t="s">
        <v>4</v>
      </c>
      <c r="B1317" s="31" t="s">
        <v>5</v>
      </c>
      <c r="C1317" s="31" t="s">
        <v>6</v>
      </c>
      <c r="D1317" s="22"/>
      <c r="E1317" s="31" t="s">
        <v>7</v>
      </c>
      <c r="F1317" s="31" t="s">
        <v>8</v>
      </c>
      <c r="G1317" s="31" t="s">
        <v>9</v>
      </c>
      <c r="H1317" s="31" t="s">
        <v>10</v>
      </c>
      <c r="I1317" s="31" t="s">
        <v>11</v>
      </c>
      <c r="J1317" s="31" t="s">
        <v>12</v>
      </c>
      <c r="K1317" s="31" t="s">
        <v>13</v>
      </c>
      <c r="L1317" s="31" t="s">
        <v>14</v>
      </c>
      <c r="M1317" s="141" t="s">
        <v>15</v>
      </c>
      <c r="N1317" s="142" t="s">
        <v>16</v>
      </c>
      <c r="O1317" s="142" t="s">
        <v>17</v>
      </c>
      <c r="P1317" s="142" t="s">
        <v>18</v>
      </c>
      <c r="Q1317" s="141" t="s">
        <v>19</v>
      </c>
      <c r="R1317" s="141" t="s">
        <v>20</v>
      </c>
      <c r="S1317" s="141" t="s">
        <v>3655</v>
      </c>
      <c r="T1317" s="141" t="s">
        <v>3656</v>
      </c>
    </row>
    <row r="1318" spans="1:20" ht="21" customHeight="1" x14ac:dyDescent="0.25">
      <c r="A1318" s="60"/>
      <c r="B1318" s="20"/>
      <c r="C1318" s="45"/>
      <c r="D1318" s="45"/>
      <c r="E1318" s="45"/>
      <c r="F1318" s="25"/>
      <c r="G1318" s="55"/>
      <c r="H1318" s="55"/>
      <c r="I1318" s="25"/>
      <c r="J1318" s="25"/>
      <c r="K1318" s="25"/>
      <c r="L1318" s="28"/>
      <c r="M1318" s="29"/>
      <c r="N1318" s="30"/>
      <c r="O1318" s="30"/>
      <c r="P1318" s="30"/>
      <c r="Q1318" s="29"/>
      <c r="R1318" s="29"/>
      <c r="S1318" s="29"/>
      <c r="T1318" s="29"/>
    </row>
    <row r="1319" spans="1:20" ht="21" customHeight="1" x14ac:dyDescent="0.25">
      <c r="A1319" s="25">
        <v>1</v>
      </c>
      <c r="B1319" s="145" t="s">
        <v>3554</v>
      </c>
      <c r="C1319" s="146" t="s">
        <v>3555</v>
      </c>
      <c r="D1319" s="24" t="s">
        <v>30</v>
      </c>
      <c r="E1319" s="147" t="s">
        <v>3556</v>
      </c>
      <c r="F1319" s="148" t="s">
        <v>25</v>
      </c>
      <c r="G1319" s="149">
        <v>3500</v>
      </c>
      <c r="H1319" s="147" t="s">
        <v>26</v>
      </c>
      <c r="I1319" s="147" t="s">
        <v>3557</v>
      </c>
      <c r="J1319" s="150">
        <v>9705</v>
      </c>
      <c r="K1319" s="150">
        <v>10142</v>
      </c>
      <c r="L1319" s="151">
        <v>437</v>
      </c>
      <c r="M1319" s="151">
        <v>742695</v>
      </c>
      <c r="N1319" s="30">
        <v>0</v>
      </c>
      <c r="O1319" s="30">
        <v>0</v>
      </c>
      <c r="P1319" s="30">
        <v>0</v>
      </c>
      <c r="Q1319" s="29">
        <v>0</v>
      </c>
      <c r="R1319" s="29">
        <v>742695</v>
      </c>
      <c r="S1319" s="29">
        <v>3000</v>
      </c>
      <c r="T1319" s="29">
        <f t="shared" ref="T1319:T1322" si="84">R1319+S1319</f>
        <v>745695</v>
      </c>
    </row>
    <row r="1320" spans="1:20" ht="21" customHeight="1" x14ac:dyDescent="0.25">
      <c r="A1320" s="25">
        <v>2</v>
      </c>
      <c r="B1320" s="145" t="s">
        <v>3558</v>
      </c>
      <c r="C1320" s="146" t="s">
        <v>3559</v>
      </c>
      <c r="D1320" s="24" t="s">
        <v>30</v>
      </c>
      <c r="E1320" s="147" t="s">
        <v>3560</v>
      </c>
      <c r="F1320" s="148" t="s">
        <v>25</v>
      </c>
      <c r="G1320" s="149">
        <v>5500</v>
      </c>
      <c r="H1320" s="147" t="s">
        <v>26</v>
      </c>
      <c r="I1320" s="147" t="s">
        <v>3561</v>
      </c>
      <c r="J1320" s="150">
        <v>8988</v>
      </c>
      <c r="K1320" s="150">
        <v>9349</v>
      </c>
      <c r="L1320" s="151">
        <v>361</v>
      </c>
      <c r="M1320" s="151">
        <v>613530</v>
      </c>
      <c r="N1320" s="30">
        <v>0</v>
      </c>
      <c r="O1320" s="30">
        <v>0</v>
      </c>
      <c r="P1320" s="30">
        <v>0</v>
      </c>
      <c r="Q1320" s="29">
        <v>0</v>
      </c>
      <c r="R1320" s="29">
        <v>613530</v>
      </c>
      <c r="S1320" s="29">
        <v>3000</v>
      </c>
      <c r="T1320" s="29">
        <f t="shared" si="84"/>
        <v>616530</v>
      </c>
    </row>
    <row r="1321" spans="1:20" ht="21" customHeight="1" x14ac:dyDescent="0.25">
      <c r="A1321" s="25">
        <v>3</v>
      </c>
      <c r="B1321" s="145" t="s">
        <v>3562</v>
      </c>
      <c r="C1321" s="146" t="s">
        <v>3563</v>
      </c>
      <c r="D1321" s="24" t="s">
        <v>30</v>
      </c>
      <c r="E1321" s="147" t="s">
        <v>3414</v>
      </c>
      <c r="F1321" s="148" t="s">
        <v>25</v>
      </c>
      <c r="G1321" s="149">
        <v>5500</v>
      </c>
      <c r="H1321" s="147" t="s">
        <v>26</v>
      </c>
      <c r="I1321" s="147" t="s">
        <v>3564</v>
      </c>
      <c r="J1321" s="150">
        <v>6927</v>
      </c>
      <c r="K1321" s="150">
        <v>7202</v>
      </c>
      <c r="L1321" s="151">
        <v>275</v>
      </c>
      <c r="M1321" s="151">
        <v>467371</v>
      </c>
      <c r="N1321" s="30">
        <v>0</v>
      </c>
      <c r="O1321" s="30">
        <v>0</v>
      </c>
      <c r="P1321" s="30">
        <v>0</v>
      </c>
      <c r="Q1321" s="29">
        <v>0</v>
      </c>
      <c r="R1321" s="29">
        <v>467371</v>
      </c>
      <c r="S1321" s="29">
        <v>3000</v>
      </c>
      <c r="T1321" s="29">
        <f t="shared" si="84"/>
        <v>470371</v>
      </c>
    </row>
    <row r="1322" spans="1:20" ht="21" customHeight="1" x14ac:dyDescent="0.25">
      <c r="A1322" s="25">
        <v>4</v>
      </c>
      <c r="B1322" s="145" t="s">
        <v>3565</v>
      </c>
      <c r="C1322" s="146" t="s">
        <v>3566</v>
      </c>
      <c r="D1322" s="24" t="s">
        <v>30</v>
      </c>
      <c r="E1322" s="147" t="s">
        <v>3567</v>
      </c>
      <c r="F1322" s="148" t="s">
        <v>25</v>
      </c>
      <c r="G1322" s="149">
        <v>5500</v>
      </c>
      <c r="H1322" s="147" t="s">
        <v>26</v>
      </c>
      <c r="I1322" s="147" t="s">
        <v>3568</v>
      </c>
      <c r="J1322" s="150">
        <v>6293</v>
      </c>
      <c r="K1322" s="150">
        <v>6525</v>
      </c>
      <c r="L1322" s="151">
        <v>232</v>
      </c>
      <c r="M1322" s="151">
        <v>394291</v>
      </c>
      <c r="N1322" s="30">
        <v>0</v>
      </c>
      <c r="O1322" s="30">
        <v>0</v>
      </c>
      <c r="P1322" s="30">
        <v>0</v>
      </c>
      <c r="Q1322" s="29">
        <v>0</v>
      </c>
      <c r="R1322" s="29">
        <v>394291</v>
      </c>
      <c r="S1322" s="29">
        <v>3000</v>
      </c>
      <c r="T1322" s="29">
        <f t="shared" si="84"/>
        <v>397291</v>
      </c>
    </row>
    <row r="1323" spans="1:20" ht="21" customHeight="1" x14ac:dyDescent="0.25">
      <c r="A1323" s="24"/>
      <c r="B1323" s="25"/>
      <c r="C1323" s="24"/>
      <c r="D1323" s="24"/>
      <c r="E1323" s="24"/>
      <c r="F1323" s="25"/>
      <c r="G1323" s="127"/>
      <c r="H1323" s="28"/>
      <c r="I1323" s="25"/>
      <c r="J1323" s="25"/>
      <c r="K1323" s="25"/>
      <c r="L1323" s="28"/>
      <c r="M1323" s="29"/>
      <c r="N1323" s="30"/>
      <c r="O1323" s="30"/>
      <c r="P1323" s="30"/>
      <c r="Q1323" s="29"/>
      <c r="R1323" s="29"/>
      <c r="S1323" s="29"/>
      <c r="T1323" s="29"/>
    </row>
    <row r="1324" spans="1:20" ht="21" customHeight="1" x14ac:dyDescent="0.25">
      <c r="A1324" s="44" t="s">
        <v>3569</v>
      </c>
      <c r="B1324" s="50"/>
      <c r="C1324" s="50"/>
      <c r="D1324" s="50"/>
      <c r="E1324" s="50"/>
      <c r="F1324" s="50"/>
      <c r="G1324" s="46">
        <v>20000</v>
      </c>
      <c r="H1324" s="46">
        <v>0</v>
      </c>
      <c r="I1324" s="46">
        <v>0</v>
      </c>
      <c r="J1324" s="46"/>
      <c r="K1324" s="46"/>
      <c r="L1324" s="46">
        <v>1305</v>
      </c>
      <c r="M1324" s="46">
        <v>2217887</v>
      </c>
      <c r="N1324" s="46">
        <v>0</v>
      </c>
      <c r="O1324" s="46">
        <v>0</v>
      </c>
      <c r="P1324" s="46">
        <v>0</v>
      </c>
      <c r="Q1324" s="152">
        <f>SUM(Q1318:Q1323)</f>
        <v>0</v>
      </c>
      <c r="R1324" s="152">
        <f t="shared" ref="R1324:T1324" si="85">SUM(R1318:R1323)</f>
        <v>2217887</v>
      </c>
      <c r="S1324" s="152">
        <f t="shared" si="85"/>
        <v>12000</v>
      </c>
      <c r="T1324" s="152">
        <f t="shared" si="85"/>
        <v>2229887</v>
      </c>
    </row>
    <row r="1325" spans="1:20" ht="21" customHeight="1" x14ac:dyDescent="0.25">
      <c r="A1325" s="35"/>
      <c r="B1325" s="18"/>
      <c r="E1325" s="15"/>
      <c r="G1325" s="49"/>
      <c r="H1325" s="49"/>
      <c r="M1325" s="13"/>
      <c r="N1325" s="13"/>
      <c r="O1325" s="13"/>
      <c r="P1325" s="13"/>
      <c r="Q1325" s="159"/>
      <c r="R1325" s="13"/>
      <c r="S1325" s="13"/>
      <c r="T1325" s="13"/>
    </row>
    <row r="1326" spans="1:20" ht="21" customHeight="1" x14ac:dyDescent="0.25">
      <c r="A1326" s="35"/>
      <c r="B1326" s="18"/>
      <c r="E1326" s="15"/>
      <c r="G1326" s="49"/>
      <c r="H1326" s="49"/>
      <c r="L1326" s="41"/>
      <c r="M1326" s="13"/>
      <c r="N1326" s="13"/>
      <c r="O1326" s="13"/>
      <c r="P1326" s="13"/>
      <c r="Q1326" s="159"/>
      <c r="R1326" s="13"/>
      <c r="S1326" s="13"/>
      <c r="T1326" s="13"/>
    </row>
    <row r="1327" spans="1:20" ht="21" customHeight="1" thickBot="1" x14ac:dyDescent="0.3">
      <c r="B1327" s="18" t="s">
        <v>3570</v>
      </c>
      <c r="D1327" s="35"/>
      <c r="G1327" s="18"/>
      <c r="H1327" s="132"/>
      <c r="L1327" s="41"/>
      <c r="M1327" s="13"/>
      <c r="N1327" s="13"/>
      <c r="O1327" s="13"/>
      <c r="P1327" s="13"/>
      <c r="Q1327" s="159"/>
      <c r="R1327" s="13"/>
      <c r="S1327" s="13"/>
      <c r="T1327" s="13"/>
    </row>
    <row r="1328" spans="1:20" ht="43.5" customHeight="1" thickBot="1" x14ac:dyDescent="0.3">
      <c r="A1328" s="166" t="s">
        <v>3571</v>
      </c>
      <c r="B1328" s="178" t="s">
        <v>3572</v>
      </c>
      <c r="C1328" s="179"/>
      <c r="D1328" s="184" t="s">
        <v>3573</v>
      </c>
      <c r="E1328" s="184" t="s">
        <v>3574</v>
      </c>
      <c r="F1328" s="189" t="s">
        <v>3575</v>
      </c>
      <c r="G1328" s="179"/>
      <c r="H1328" s="189" t="s">
        <v>3655</v>
      </c>
      <c r="I1328" s="179"/>
      <c r="J1328" s="189" t="s">
        <v>3657</v>
      </c>
      <c r="K1328" s="179"/>
      <c r="L1328" s="41"/>
      <c r="M1328" s="13"/>
      <c r="N1328" s="13"/>
      <c r="O1328" s="13"/>
      <c r="P1328" s="13"/>
      <c r="Q1328" s="159"/>
      <c r="R1328" s="13"/>
      <c r="S1328" s="13"/>
      <c r="T1328" s="13"/>
    </row>
    <row r="1329" spans="1:21" ht="21" customHeight="1" x14ac:dyDescent="0.25">
      <c r="A1329" s="167">
        <v>1</v>
      </c>
      <c r="B1329" s="176" t="s">
        <v>3576</v>
      </c>
      <c r="C1329" s="180"/>
      <c r="D1329" s="185">
        <f>A277</f>
        <v>232</v>
      </c>
      <c r="E1329" s="193">
        <v>489603218</v>
      </c>
      <c r="F1329" s="190">
        <v>1101980</v>
      </c>
      <c r="G1329" s="196"/>
      <c r="H1329" s="200">
        <f>S279</f>
        <v>696000</v>
      </c>
      <c r="I1329" s="177"/>
      <c r="J1329" s="200">
        <f>T279</f>
        <v>490299218</v>
      </c>
      <c r="K1329" s="177"/>
      <c r="L1329" s="133"/>
      <c r="M1329" s="159"/>
      <c r="N1329" s="13"/>
      <c r="O1329" s="13"/>
      <c r="P1329" s="13"/>
      <c r="Q1329" s="159"/>
      <c r="R1329" s="13"/>
      <c r="S1329" s="13"/>
      <c r="T1329" s="13"/>
    </row>
    <row r="1330" spans="1:21" ht="21" customHeight="1" x14ac:dyDescent="0.25">
      <c r="A1330" s="167">
        <v>2</v>
      </c>
      <c r="B1330" s="171" t="s">
        <v>3577</v>
      </c>
      <c r="C1330" s="181"/>
      <c r="D1330" s="186">
        <f>A342</f>
        <v>52</v>
      </c>
      <c r="E1330" s="194">
        <v>111388900</v>
      </c>
      <c r="F1330" s="163">
        <v>268600</v>
      </c>
      <c r="G1330" s="197"/>
      <c r="H1330" s="201">
        <f>S345</f>
        <v>156000</v>
      </c>
      <c r="I1330" s="170"/>
      <c r="J1330" s="201">
        <f>T345</f>
        <v>111544900</v>
      </c>
      <c r="K1330" s="170"/>
      <c r="L1330" s="133"/>
      <c r="M1330" s="159"/>
      <c r="N1330" s="13"/>
      <c r="O1330" s="13"/>
      <c r="P1330" s="13"/>
      <c r="Q1330" s="159"/>
      <c r="R1330" s="13"/>
      <c r="S1330" s="13"/>
      <c r="T1330" s="13"/>
    </row>
    <row r="1331" spans="1:21" ht="21" customHeight="1" x14ac:dyDescent="0.25">
      <c r="A1331" s="167">
        <v>3</v>
      </c>
      <c r="B1331" s="171" t="s">
        <v>3578</v>
      </c>
      <c r="C1331" s="181"/>
      <c r="D1331" s="186">
        <f>A784</f>
        <v>369</v>
      </c>
      <c r="E1331" s="194">
        <v>675877119</v>
      </c>
      <c r="F1331" s="163">
        <v>1621460</v>
      </c>
      <c r="G1331" s="197"/>
      <c r="H1331" s="201">
        <f>S786</f>
        <v>1107000</v>
      </c>
      <c r="I1331" s="170"/>
      <c r="J1331" s="201">
        <f>T786</f>
        <v>676984119</v>
      </c>
      <c r="K1331" s="170"/>
      <c r="L1331" s="133"/>
      <c r="M1331" s="159"/>
      <c r="N1331" s="13"/>
      <c r="O1331" s="13"/>
      <c r="P1331" s="13"/>
      <c r="Q1331" s="159"/>
      <c r="R1331" s="13"/>
      <c r="S1331" s="13"/>
      <c r="T1331" s="13"/>
    </row>
    <row r="1332" spans="1:21" ht="21" customHeight="1" x14ac:dyDescent="0.25">
      <c r="A1332" s="167">
        <v>4</v>
      </c>
      <c r="B1332" s="169" t="s">
        <v>3579</v>
      </c>
      <c r="C1332" s="182"/>
      <c r="D1332" s="186">
        <f>A1014</f>
        <v>195</v>
      </c>
      <c r="E1332" s="194">
        <v>509542222</v>
      </c>
      <c r="F1332" s="163">
        <v>943010</v>
      </c>
      <c r="G1332" s="197"/>
      <c r="H1332" s="201">
        <f>S1016</f>
        <v>585000</v>
      </c>
      <c r="I1332" s="170"/>
      <c r="J1332" s="201">
        <f>T1016</f>
        <v>510127222</v>
      </c>
      <c r="K1332" s="170"/>
      <c r="L1332" s="133"/>
      <c r="M1332" s="159"/>
      <c r="N1332" s="13"/>
      <c r="O1332" s="13"/>
      <c r="P1332" s="13"/>
      <c r="Q1332" s="159"/>
      <c r="R1332" s="13"/>
      <c r="S1332" s="13"/>
      <c r="T1332" s="13"/>
    </row>
    <row r="1333" spans="1:21" ht="21" customHeight="1" x14ac:dyDescent="0.25">
      <c r="A1333" s="167">
        <v>5</v>
      </c>
      <c r="B1333" s="169" t="s">
        <v>3580</v>
      </c>
      <c r="C1333" s="182"/>
      <c r="D1333" s="186">
        <f>A1283</f>
        <v>225</v>
      </c>
      <c r="E1333" s="194">
        <v>455200148</v>
      </c>
      <c r="F1333" s="163">
        <v>1062685</v>
      </c>
      <c r="G1333" s="197"/>
      <c r="H1333" s="201">
        <f>S1285</f>
        <v>675000</v>
      </c>
      <c r="I1333" s="170"/>
      <c r="J1333" s="201">
        <f>T1285</f>
        <v>455875148</v>
      </c>
      <c r="K1333" s="170"/>
      <c r="L1333" s="133"/>
      <c r="M1333" s="159"/>
      <c r="N1333" s="13"/>
      <c r="O1333" s="13"/>
      <c r="P1333" s="13"/>
      <c r="Q1333" s="159"/>
      <c r="R1333" s="13"/>
      <c r="S1333" s="13"/>
      <c r="T1333" s="13"/>
    </row>
    <row r="1334" spans="1:21" ht="21" customHeight="1" x14ac:dyDescent="0.25">
      <c r="A1334" s="167">
        <v>6</v>
      </c>
      <c r="B1334" s="169" t="s">
        <v>3581</v>
      </c>
      <c r="C1334" s="182"/>
      <c r="D1334" s="186">
        <f>A1311</f>
        <v>21</v>
      </c>
      <c r="E1334" s="194">
        <v>19976276</v>
      </c>
      <c r="F1334" s="163">
        <v>71600</v>
      </c>
      <c r="G1334" s="197"/>
      <c r="H1334" s="201">
        <f>S1313</f>
        <v>63000</v>
      </c>
      <c r="I1334" s="170"/>
      <c r="J1334" s="201">
        <f>T1313</f>
        <v>20039276</v>
      </c>
      <c r="K1334" s="170"/>
      <c r="L1334" s="133"/>
      <c r="M1334" s="159"/>
      <c r="N1334" s="13"/>
      <c r="O1334" s="13"/>
      <c r="P1334" s="13"/>
      <c r="Q1334" s="159"/>
      <c r="R1334" s="13"/>
      <c r="S1334" s="13"/>
      <c r="T1334" s="13"/>
    </row>
    <row r="1335" spans="1:21" ht="21" customHeight="1" thickBot="1" x14ac:dyDescent="0.3">
      <c r="A1335" s="167">
        <v>7</v>
      </c>
      <c r="B1335" s="175" t="s">
        <v>3582</v>
      </c>
      <c r="C1335" s="183"/>
      <c r="D1335" s="187">
        <f>A1322</f>
        <v>4</v>
      </c>
      <c r="E1335" s="195">
        <v>2217887</v>
      </c>
      <c r="F1335" s="191">
        <v>20000</v>
      </c>
      <c r="G1335" s="198"/>
      <c r="H1335" s="202">
        <f>S1324</f>
        <v>12000</v>
      </c>
      <c r="I1335" s="172"/>
      <c r="J1335" s="202">
        <f>T1324</f>
        <v>2229887</v>
      </c>
      <c r="K1335" s="172"/>
      <c r="L1335" s="133"/>
      <c r="M1335" s="159"/>
      <c r="N1335" s="13"/>
      <c r="O1335" s="13"/>
      <c r="P1335" s="13"/>
      <c r="Q1335" s="159"/>
      <c r="R1335" s="13"/>
      <c r="S1335" s="13"/>
      <c r="T1335" s="13"/>
    </row>
    <row r="1336" spans="1:21" ht="41.25" customHeight="1" thickBot="1" x14ac:dyDescent="0.3">
      <c r="A1336" s="168"/>
      <c r="B1336" s="173" t="s">
        <v>3583</v>
      </c>
      <c r="C1336" s="174"/>
      <c r="D1336" s="188">
        <f>SUM(D1329:D1335)</f>
        <v>1098</v>
      </c>
      <c r="E1336" s="188">
        <v>2263805770</v>
      </c>
      <c r="F1336" s="192">
        <v>5089335</v>
      </c>
      <c r="G1336" s="199"/>
      <c r="H1336" s="203">
        <f>SUM(H1329:I1335)</f>
        <v>3294000</v>
      </c>
      <c r="I1336" s="174"/>
      <c r="J1336" s="203">
        <f>SUM(J1329:K1335)</f>
        <v>2267099770</v>
      </c>
      <c r="K1336" s="174"/>
      <c r="L1336" s="133"/>
      <c r="M1336" s="161"/>
      <c r="N1336" s="13"/>
      <c r="O1336" s="13"/>
      <c r="P1336" s="13"/>
      <c r="Q1336" s="159"/>
      <c r="R1336" s="13"/>
      <c r="S1336" s="13"/>
      <c r="T1336" s="13"/>
    </row>
    <row r="1337" spans="1:21" ht="21" customHeight="1" x14ac:dyDescent="0.25">
      <c r="C1337" s="94" t="s">
        <v>0</v>
      </c>
      <c r="D1337" s="94"/>
      <c r="E1337" s="134"/>
      <c r="F1337" s="93"/>
      <c r="G1337" s="93"/>
      <c r="H1337" s="93"/>
      <c r="M1337" s="13"/>
      <c r="N1337" s="13"/>
      <c r="O1337" s="13"/>
      <c r="P1337" s="13"/>
      <c r="Q1337" s="159"/>
      <c r="R1337" s="13"/>
      <c r="S1337" s="13"/>
      <c r="T1337" s="13"/>
    </row>
    <row r="1338" spans="1:21" s="204" customFormat="1" ht="37.5" customHeight="1" x14ac:dyDescent="0.25">
      <c r="B1338" s="205" t="s">
        <v>3584</v>
      </c>
      <c r="C1338" s="206" t="str" cm="1">
        <f t="array" ref="C1338">UPPER([1]!erwien(J1336))</f>
        <v xml:space="preserve">(== DUA MILYAR DUA RATUS ENAM PULUH TUJUH JUTA SEMBILAN PULUH SEMBILAN RIBU TUJUH RATUS TUJUH PULUH RUPIAH ==) </v>
      </c>
      <c r="D1338" s="206"/>
      <c r="E1338" s="206"/>
      <c r="F1338" s="206"/>
      <c r="G1338" s="206"/>
      <c r="H1338" s="206"/>
      <c r="I1338" s="206"/>
      <c r="J1338" s="206"/>
      <c r="K1338" s="206"/>
      <c r="L1338" s="206"/>
      <c r="Q1338" s="207"/>
    </row>
    <row r="1339" spans="1:21" ht="21" customHeight="1" x14ac:dyDescent="0.25">
      <c r="C1339" s="135"/>
      <c r="D1339" s="135"/>
      <c r="E1339" s="135"/>
      <c r="F1339" s="93"/>
      <c r="G1339" s="93"/>
      <c r="H1339" s="93"/>
      <c r="I1339" s="93"/>
      <c r="J1339" s="93"/>
      <c r="K1339" s="93"/>
      <c r="L1339" s="93"/>
      <c r="M1339" s="13"/>
      <c r="N1339" s="13"/>
      <c r="O1339" s="13"/>
      <c r="P1339" s="13"/>
      <c r="Q1339" s="159"/>
      <c r="R1339" s="13"/>
      <c r="S1339" s="13"/>
      <c r="T1339" s="13"/>
    </row>
    <row r="1340" spans="1:21" ht="20.25" customHeight="1" x14ac:dyDescent="0.25">
      <c r="C1340" s="135"/>
      <c r="D1340" s="135"/>
      <c r="E1340" s="135"/>
      <c r="F1340" s="93"/>
      <c r="G1340" s="93"/>
      <c r="H1340" s="93"/>
      <c r="I1340" s="93"/>
      <c r="J1340" s="93"/>
      <c r="K1340" s="16"/>
      <c r="L1340" s="17"/>
      <c r="M1340" s="17"/>
      <c r="O1340" s="208"/>
      <c r="P1340" s="209" t="s">
        <v>3671</v>
      </c>
      <c r="Q1340" s="209"/>
      <c r="R1340" s="209"/>
      <c r="S1340" s="113"/>
      <c r="T1340" s="210"/>
      <c r="U1340" s="210"/>
    </row>
    <row r="1341" spans="1:21" s="213" customFormat="1" ht="20.25" customHeight="1" x14ac:dyDescent="0.25">
      <c r="A1341" s="211" t="s">
        <v>3658</v>
      </c>
      <c r="B1341" s="211"/>
      <c r="C1341" s="211"/>
      <c r="D1341" s="211"/>
      <c r="E1341" s="212" t="s">
        <v>3659</v>
      </c>
      <c r="F1341" s="212"/>
      <c r="G1341" s="212"/>
      <c r="H1341" s="212"/>
      <c r="I1341" s="212"/>
      <c r="J1341" s="212"/>
      <c r="K1341" s="212"/>
      <c r="L1341" s="212"/>
      <c r="M1341" s="212"/>
      <c r="N1341" s="212"/>
      <c r="O1341" s="212"/>
      <c r="P1341" s="209" t="s">
        <v>3660</v>
      </c>
      <c r="Q1341" s="209"/>
      <c r="R1341" s="209"/>
      <c r="S1341" s="113"/>
      <c r="T1341" s="210"/>
      <c r="U1341" s="210"/>
    </row>
    <row r="1342" spans="1:21" s="213" customFormat="1" ht="20.25" customHeight="1" x14ac:dyDescent="0.25">
      <c r="A1342" s="211" t="s">
        <v>3661</v>
      </c>
      <c r="B1342" s="211"/>
      <c r="C1342" s="211"/>
      <c r="D1342" s="211"/>
      <c r="E1342" s="214" t="s">
        <v>3662</v>
      </c>
      <c r="F1342" s="214"/>
      <c r="G1342" s="214"/>
      <c r="H1342" s="214"/>
      <c r="I1342" s="214"/>
      <c r="J1342" s="214"/>
      <c r="K1342" s="214"/>
      <c r="L1342" s="214"/>
      <c r="M1342" s="214"/>
      <c r="N1342" s="214"/>
      <c r="O1342" s="214"/>
      <c r="P1342" s="209" t="s">
        <v>3663</v>
      </c>
      <c r="Q1342" s="209"/>
      <c r="R1342" s="209"/>
      <c r="S1342" s="113"/>
      <c r="T1342" s="210"/>
      <c r="U1342" s="210"/>
    </row>
    <row r="1343" spans="1:21" s="213" customFormat="1" ht="15.75" customHeight="1" x14ac:dyDescent="0.25">
      <c r="F1343" s="12"/>
      <c r="H1343" s="213" t="s">
        <v>3664</v>
      </c>
      <c r="P1343" s="215"/>
      <c r="Q1343" s="216"/>
      <c r="S1343" s="113"/>
    </row>
    <row r="1344" spans="1:21" s="213" customFormat="1" ht="15.75" customHeight="1" x14ac:dyDescent="0.25">
      <c r="A1344" s="35"/>
      <c r="B1344" s="217"/>
      <c r="C1344" s="217"/>
      <c r="F1344" s="12"/>
      <c r="G1344" s="218"/>
      <c r="H1344" s="219"/>
      <c r="M1344" s="215"/>
      <c r="P1344" s="215"/>
      <c r="Q1344" s="216"/>
    </row>
    <row r="1345" spans="1:21" s="213" customFormat="1" ht="15.75" customHeight="1" x14ac:dyDescent="0.25">
      <c r="A1345" s="35"/>
      <c r="B1345" s="217"/>
      <c r="C1345" s="217"/>
      <c r="F1345" s="12"/>
      <c r="G1345" s="218"/>
      <c r="H1345" s="219"/>
      <c r="M1345" s="215"/>
      <c r="O1345" s="220"/>
      <c r="P1345" s="215"/>
      <c r="Q1345" s="216"/>
    </row>
    <row r="1346" spans="1:21" s="213" customFormat="1" ht="15.75" customHeight="1" x14ac:dyDescent="0.25">
      <c r="A1346" s="35"/>
      <c r="B1346" s="217"/>
      <c r="C1346" s="217"/>
      <c r="F1346" s="12"/>
      <c r="G1346" s="218"/>
      <c r="H1346" s="219"/>
      <c r="M1346" s="215"/>
      <c r="O1346" s="220"/>
    </row>
    <row r="1347" spans="1:21" s="213" customFormat="1" ht="15.75" customHeight="1" x14ac:dyDescent="0.25">
      <c r="A1347" s="35"/>
      <c r="B1347" s="217"/>
      <c r="C1347" s="217"/>
      <c r="F1347" s="12"/>
      <c r="G1347" s="218"/>
      <c r="H1347" s="219"/>
      <c r="M1347" s="215"/>
    </row>
    <row r="1348" spans="1:21" s="213" customFormat="1" ht="20.25" customHeight="1" x14ac:dyDescent="0.25">
      <c r="A1348" s="221" t="s">
        <v>3665</v>
      </c>
      <c r="B1348" s="221"/>
      <c r="C1348" s="221"/>
      <c r="D1348" s="221"/>
      <c r="E1348" s="222" t="s">
        <v>3666</v>
      </c>
      <c r="F1348" s="222"/>
      <c r="G1348" s="222"/>
      <c r="H1348" s="222"/>
      <c r="I1348" s="222"/>
      <c r="J1348" s="222"/>
      <c r="K1348" s="222"/>
      <c r="L1348" s="222"/>
      <c r="M1348" s="222"/>
      <c r="N1348" s="222"/>
      <c r="O1348" s="222"/>
      <c r="P1348" s="223" t="s">
        <v>3667</v>
      </c>
      <c r="Q1348" s="223"/>
      <c r="R1348" s="223"/>
      <c r="S1348" s="224"/>
      <c r="T1348" s="224"/>
      <c r="U1348" s="224"/>
    </row>
    <row r="1349" spans="1:21" s="213" customFormat="1" ht="20.25" customHeight="1" x14ac:dyDescent="0.25">
      <c r="A1349" s="211" t="s">
        <v>3668</v>
      </c>
      <c r="B1349" s="211"/>
      <c r="C1349" s="211"/>
      <c r="D1349" s="211"/>
      <c r="E1349" s="214" t="s">
        <v>3669</v>
      </c>
      <c r="F1349" s="214"/>
      <c r="G1349" s="214"/>
      <c r="H1349" s="214"/>
      <c r="I1349" s="214"/>
      <c r="J1349" s="214"/>
      <c r="K1349" s="214"/>
      <c r="L1349" s="214"/>
      <c r="M1349" s="214"/>
      <c r="N1349" s="214"/>
      <c r="O1349" s="214"/>
      <c r="P1349" s="225" t="s">
        <v>3670</v>
      </c>
      <c r="Q1349" s="225"/>
      <c r="R1349" s="225"/>
      <c r="S1349" s="226"/>
      <c r="T1349" s="226"/>
      <c r="U1349" s="226"/>
    </row>
    <row r="1350" spans="1:21" ht="21" customHeight="1" x14ac:dyDescent="0.25">
      <c r="C1350" s="135"/>
      <c r="D1350" s="135"/>
      <c r="E1350" s="135"/>
      <c r="F1350" s="93"/>
      <c r="G1350" s="93"/>
      <c r="H1350" s="93"/>
      <c r="I1350" s="93"/>
      <c r="J1350" s="93"/>
      <c r="K1350" s="93"/>
      <c r="L1350" s="93"/>
      <c r="M1350" s="13"/>
      <c r="N1350" s="13"/>
      <c r="O1350" s="13"/>
      <c r="P1350" s="13"/>
      <c r="Q1350" s="159"/>
      <c r="R1350" s="13"/>
      <c r="S1350" s="13"/>
      <c r="T1350" s="13"/>
    </row>
    <row r="1351" spans="1:21" ht="21" customHeight="1" x14ac:dyDescent="0.25">
      <c r="C1351" s="135"/>
      <c r="D1351" s="135"/>
      <c r="E1351" s="135"/>
      <c r="F1351" s="93"/>
      <c r="G1351" s="93"/>
      <c r="H1351" s="93"/>
      <c r="I1351" s="93"/>
      <c r="J1351" s="93"/>
      <c r="K1351" s="93"/>
      <c r="L1351" s="93"/>
      <c r="M1351" s="13"/>
      <c r="N1351" s="13"/>
      <c r="O1351" s="13"/>
      <c r="P1351" s="13"/>
      <c r="Q1351" s="159"/>
      <c r="R1351" s="13"/>
      <c r="S1351" s="13"/>
      <c r="T1351" s="13"/>
    </row>
    <row r="1352" spans="1:21" ht="21" customHeight="1" x14ac:dyDescent="0.25">
      <c r="C1352" s="135"/>
      <c r="D1352" s="135"/>
      <c r="E1352" s="135"/>
      <c r="F1352" s="93"/>
      <c r="G1352" s="93"/>
      <c r="H1352" s="93"/>
      <c r="I1352" s="93"/>
      <c r="J1352" s="93"/>
      <c r="K1352" s="93"/>
      <c r="L1352" s="93"/>
      <c r="M1352" s="13"/>
      <c r="N1352" s="13"/>
      <c r="O1352" s="13"/>
      <c r="P1352" s="13"/>
      <c r="Q1352" s="159"/>
      <c r="R1352" s="13"/>
      <c r="S1352" s="13"/>
      <c r="T1352" s="13"/>
    </row>
    <row r="1353" spans="1:21" ht="21" customHeight="1" x14ac:dyDescent="0.25">
      <c r="C1353" s="135"/>
      <c r="D1353" s="135"/>
      <c r="E1353" s="135"/>
      <c r="F1353" s="93"/>
      <c r="G1353" s="93"/>
      <c r="H1353" s="93"/>
      <c r="I1353" s="93"/>
      <c r="J1353" s="93"/>
      <c r="K1353" s="93"/>
      <c r="L1353" s="93"/>
      <c r="M1353" s="13"/>
      <c r="N1353" s="13"/>
      <c r="O1353" s="13"/>
      <c r="P1353" s="13"/>
      <c r="Q1353" s="159"/>
      <c r="R1353" s="13"/>
      <c r="S1353" s="13"/>
      <c r="T1353" s="13"/>
    </row>
    <row r="1354" spans="1:21" ht="21" customHeight="1" x14ac:dyDescent="0.25">
      <c r="C1354" s="135"/>
      <c r="D1354" s="135"/>
      <c r="E1354" s="135"/>
      <c r="F1354" s="93"/>
      <c r="G1354" s="93"/>
      <c r="H1354" s="93"/>
      <c r="I1354" s="93"/>
      <c r="J1354" s="93"/>
      <c r="K1354" s="93"/>
      <c r="L1354" s="93"/>
      <c r="M1354" s="13"/>
      <c r="N1354" s="13"/>
      <c r="O1354" s="13"/>
      <c r="P1354" s="13"/>
      <c r="Q1354" s="159"/>
      <c r="R1354" s="13"/>
      <c r="S1354" s="13"/>
      <c r="T1354" s="13"/>
    </row>
    <row r="1355" spans="1:21" ht="21" customHeight="1" x14ac:dyDescent="0.25">
      <c r="C1355" s="135"/>
      <c r="D1355" s="135"/>
      <c r="E1355" s="135"/>
      <c r="F1355" s="93"/>
      <c r="G1355" s="93"/>
      <c r="H1355" s="93"/>
      <c r="I1355" s="93"/>
      <c r="J1355" s="93"/>
      <c r="K1355" s="93"/>
      <c r="L1355" s="93"/>
      <c r="M1355" s="13"/>
      <c r="N1355" s="13"/>
      <c r="O1355" s="13"/>
      <c r="P1355" s="13"/>
      <c r="Q1355" s="159"/>
      <c r="R1355" s="13"/>
      <c r="S1355" s="13"/>
      <c r="T1355" s="13"/>
    </row>
    <row r="1356" spans="1:21" ht="21" customHeight="1" x14ac:dyDescent="0.25">
      <c r="C1356" s="135"/>
      <c r="D1356" s="135"/>
      <c r="E1356" s="135"/>
      <c r="F1356" s="93"/>
      <c r="G1356" s="93"/>
      <c r="H1356" s="93"/>
      <c r="I1356" s="93"/>
      <c r="J1356" s="93"/>
      <c r="K1356" s="93"/>
      <c r="L1356" s="93"/>
      <c r="M1356" s="13"/>
      <c r="N1356" s="13"/>
      <c r="O1356" s="13"/>
      <c r="P1356" s="13"/>
      <c r="Q1356" s="159"/>
      <c r="R1356" s="13"/>
      <c r="S1356" s="13"/>
      <c r="T1356" s="13"/>
    </row>
    <row r="1357" spans="1:21" ht="21" customHeight="1" x14ac:dyDescent="0.25">
      <c r="C1357" s="135"/>
      <c r="D1357" s="135"/>
      <c r="E1357" s="135"/>
      <c r="F1357" s="93"/>
      <c r="G1357" s="93"/>
      <c r="H1357" s="93"/>
      <c r="I1357" s="93"/>
      <c r="J1357" s="93"/>
      <c r="K1357" s="93"/>
      <c r="L1357" s="93"/>
      <c r="M1357" s="13"/>
      <c r="N1357" s="13"/>
      <c r="O1357" s="13"/>
      <c r="P1357" s="13"/>
      <c r="Q1357" s="159"/>
      <c r="R1357" s="13"/>
      <c r="S1357" s="13"/>
      <c r="T1357" s="13"/>
    </row>
    <row r="1358" spans="1:21" ht="21" customHeight="1" x14ac:dyDescent="0.25">
      <c r="C1358" s="135"/>
      <c r="D1358" s="135"/>
      <c r="E1358" s="135"/>
      <c r="F1358" s="93"/>
      <c r="G1358" s="93"/>
      <c r="H1358" s="93"/>
      <c r="I1358" s="93"/>
      <c r="J1358" s="93"/>
      <c r="K1358" s="93"/>
      <c r="L1358" s="93"/>
      <c r="M1358" s="13"/>
      <c r="N1358" s="13"/>
      <c r="O1358" s="13"/>
      <c r="P1358" s="13"/>
      <c r="Q1358" s="159"/>
      <c r="R1358" s="13"/>
      <c r="S1358" s="13"/>
      <c r="T1358" s="13"/>
    </row>
    <row r="1359" spans="1:21" ht="21" customHeight="1" x14ac:dyDescent="0.25">
      <c r="C1359" s="135"/>
      <c r="D1359" s="135"/>
      <c r="E1359" s="135"/>
      <c r="F1359" s="93"/>
      <c r="G1359" s="93"/>
      <c r="H1359" s="93"/>
      <c r="I1359" s="93"/>
      <c r="J1359" s="93"/>
      <c r="K1359" s="93"/>
      <c r="L1359" s="93"/>
      <c r="M1359" s="13"/>
      <c r="N1359" s="13"/>
      <c r="O1359" s="13"/>
      <c r="P1359" s="13"/>
      <c r="Q1359" s="159"/>
      <c r="R1359" s="13"/>
      <c r="S1359" s="13"/>
      <c r="T1359" s="13"/>
    </row>
    <row r="1360" spans="1:21" ht="21" customHeight="1" x14ac:dyDescent="0.25">
      <c r="C1360" s="135"/>
      <c r="D1360" s="135"/>
      <c r="E1360" s="135"/>
      <c r="F1360" s="93"/>
      <c r="G1360" s="93"/>
      <c r="H1360" s="93"/>
      <c r="I1360" s="93"/>
      <c r="J1360" s="93"/>
      <c r="K1360" s="93"/>
      <c r="L1360" s="93"/>
      <c r="M1360" s="13"/>
      <c r="N1360" s="13"/>
      <c r="O1360" s="13"/>
      <c r="P1360" s="13"/>
      <c r="Q1360" s="159"/>
      <c r="R1360" s="13"/>
      <c r="S1360" s="13"/>
      <c r="T1360" s="13"/>
    </row>
    <row r="1361" spans="3:20" ht="21" customHeight="1" x14ac:dyDescent="0.25">
      <c r="C1361" s="135"/>
      <c r="D1361" s="135"/>
      <c r="E1361" s="135"/>
      <c r="F1361" s="93"/>
      <c r="G1361" s="93"/>
      <c r="H1361" s="93"/>
      <c r="I1361" s="93"/>
      <c r="J1361" s="93"/>
      <c r="K1361" s="93"/>
      <c r="L1361" s="93"/>
      <c r="M1361" s="13"/>
      <c r="N1361" s="13"/>
      <c r="O1361" s="13"/>
      <c r="P1361" s="13"/>
      <c r="Q1361" s="159"/>
      <c r="R1361" s="13"/>
      <c r="S1361" s="13"/>
      <c r="T1361" s="13"/>
    </row>
    <row r="1362" spans="3:20" ht="21" customHeight="1" x14ac:dyDescent="0.25">
      <c r="C1362" s="135"/>
      <c r="D1362" s="135"/>
      <c r="E1362" s="135"/>
      <c r="F1362" s="93"/>
      <c r="G1362" s="93"/>
      <c r="H1362" s="93"/>
      <c r="I1362" s="93"/>
      <c r="J1362" s="93"/>
      <c r="K1362" s="93"/>
      <c r="L1362" s="93"/>
      <c r="M1362" s="13"/>
      <c r="N1362" s="13"/>
      <c r="O1362" s="13"/>
      <c r="P1362" s="13"/>
      <c r="Q1362" s="159"/>
      <c r="R1362" s="13"/>
      <c r="S1362" s="13"/>
      <c r="T1362" s="13"/>
    </row>
    <row r="1363" spans="3:20" ht="21" customHeight="1" x14ac:dyDescent="0.25">
      <c r="C1363" s="135"/>
      <c r="D1363" s="135"/>
      <c r="E1363" s="135"/>
      <c r="F1363" s="93"/>
      <c r="G1363" s="93"/>
      <c r="H1363" s="93"/>
      <c r="I1363" s="93"/>
      <c r="J1363" s="93"/>
      <c r="K1363" s="93"/>
      <c r="L1363" s="93"/>
      <c r="M1363" s="13"/>
      <c r="N1363" s="13"/>
      <c r="O1363" s="13"/>
      <c r="P1363" s="13"/>
      <c r="Q1363" s="159"/>
      <c r="R1363" s="13"/>
      <c r="S1363" s="13"/>
      <c r="T1363" s="13"/>
    </row>
    <row r="1364" spans="3:20" ht="21" customHeight="1" x14ac:dyDescent="0.25">
      <c r="C1364" s="135"/>
      <c r="D1364" s="135"/>
      <c r="E1364" s="135"/>
      <c r="F1364" s="93"/>
      <c r="G1364" s="93"/>
      <c r="H1364" s="93"/>
      <c r="I1364" s="93"/>
      <c r="J1364" s="93"/>
      <c r="K1364" s="93"/>
      <c r="L1364" s="93"/>
      <c r="M1364" s="13"/>
      <c r="N1364" s="13"/>
      <c r="O1364" s="13"/>
      <c r="P1364" s="13"/>
      <c r="Q1364" s="159"/>
      <c r="R1364" s="13"/>
      <c r="S1364" s="13"/>
      <c r="T1364" s="13"/>
    </row>
    <row r="1365" spans="3:20" ht="21" customHeight="1" x14ac:dyDescent="0.25">
      <c r="C1365" s="135"/>
      <c r="D1365" s="135"/>
      <c r="E1365" s="135"/>
      <c r="F1365" s="93"/>
      <c r="G1365" s="93"/>
      <c r="H1365" s="93"/>
      <c r="I1365" s="93"/>
      <c r="J1365" s="93"/>
      <c r="K1365" s="93"/>
      <c r="L1365" s="93"/>
      <c r="M1365" s="13"/>
      <c r="N1365" s="13"/>
      <c r="O1365" s="13"/>
      <c r="P1365" s="13"/>
      <c r="Q1365" s="159"/>
      <c r="R1365" s="13"/>
      <c r="S1365" s="13"/>
      <c r="T1365" s="13"/>
    </row>
    <row r="1366" spans="3:20" ht="21" customHeight="1" x14ac:dyDescent="0.25">
      <c r="C1366" s="135"/>
      <c r="D1366" s="135"/>
      <c r="E1366" s="135"/>
      <c r="F1366" s="93"/>
      <c r="G1366" s="93"/>
      <c r="H1366" s="93"/>
      <c r="I1366" s="93"/>
      <c r="J1366" s="93"/>
      <c r="K1366" s="93"/>
      <c r="L1366" s="93"/>
      <c r="M1366" s="13"/>
      <c r="N1366" s="13"/>
      <c r="O1366" s="13"/>
      <c r="P1366" s="13"/>
      <c r="Q1366" s="159"/>
      <c r="R1366" s="13"/>
      <c r="S1366" s="13"/>
      <c r="T1366" s="13"/>
    </row>
    <row r="1367" spans="3:20" ht="21" customHeight="1" x14ac:dyDescent="0.25">
      <c r="C1367" s="135"/>
      <c r="D1367" s="135"/>
      <c r="E1367" s="135"/>
      <c r="F1367" s="93"/>
      <c r="G1367" s="93"/>
      <c r="H1367" s="93"/>
      <c r="I1367" s="93"/>
      <c r="J1367" s="93"/>
      <c r="K1367" s="93"/>
      <c r="L1367" s="93"/>
      <c r="M1367" s="13"/>
      <c r="N1367" s="13"/>
      <c r="O1367" s="13"/>
      <c r="P1367" s="13"/>
      <c r="Q1367" s="159"/>
      <c r="R1367" s="13"/>
      <c r="S1367" s="13"/>
      <c r="T1367" s="13"/>
    </row>
    <row r="1368" spans="3:20" ht="21" customHeight="1" x14ac:dyDescent="0.25">
      <c r="C1368" s="135"/>
      <c r="D1368" s="135"/>
      <c r="E1368" s="135"/>
      <c r="F1368" s="93"/>
      <c r="G1368" s="93"/>
      <c r="H1368" s="93"/>
      <c r="I1368" s="93"/>
      <c r="J1368" s="93"/>
      <c r="K1368" s="93"/>
      <c r="L1368" s="93"/>
      <c r="M1368" s="13"/>
      <c r="N1368" s="13"/>
      <c r="O1368" s="13"/>
      <c r="P1368" s="13"/>
      <c r="Q1368" s="159"/>
      <c r="R1368" s="13"/>
      <c r="S1368" s="13"/>
      <c r="T1368" s="13"/>
    </row>
    <row r="1369" spans="3:20" ht="21" customHeight="1" x14ac:dyDescent="0.25">
      <c r="C1369" s="135"/>
      <c r="D1369" s="135"/>
      <c r="E1369" s="135"/>
      <c r="F1369" s="93"/>
      <c r="G1369" s="93"/>
      <c r="H1369" s="93"/>
      <c r="I1369" s="93"/>
      <c r="J1369" s="93"/>
      <c r="K1369" s="93"/>
      <c r="L1369" s="93"/>
      <c r="M1369" s="13"/>
      <c r="N1369" s="13"/>
      <c r="O1369" s="13"/>
      <c r="P1369" s="13"/>
      <c r="Q1369" s="159"/>
      <c r="R1369" s="13"/>
      <c r="S1369" s="13"/>
      <c r="T1369" s="13"/>
    </row>
    <row r="1370" spans="3:20" ht="21" customHeight="1" x14ac:dyDescent="0.25">
      <c r="C1370" s="135"/>
      <c r="D1370" s="135"/>
      <c r="E1370" s="135"/>
      <c r="F1370" s="93"/>
      <c r="G1370" s="93"/>
      <c r="H1370" s="93"/>
      <c r="I1370" s="93"/>
      <c r="J1370" s="93"/>
      <c r="K1370" s="93"/>
      <c r="L1370" s="93"/>
      <c r="M1370" s="13"/>
      <c r="N1370" s="13"/>
      <c r="O1370" s="13"/>
      <c r="P1370" s="13"/>
      <c r="Q1370" s="159"/>
      <c r="R1370" s="13"/>
      <c r="S1370" s="13"/>
      <c r="T1370" s="13"/>
    </row>
    <row r="1371" spans="3:20" ht="21" customHeight="1" x14ac:dyDescent="0.25">
      <c r="C1371" s="135"/>
      <c r="D1371" s="135"/>
      <c r="E1371" s="135"/>
      <c r="F1371" s="93"/>
      <c r="G1371" s="93"/>
      <c r="H1371" s="93"/>
      <c r="I1371" s="93"/>
      <c r="J1371" s="93"/>
      <c r="K1371" s="93"/>
      <c r="L1371" s="93"/>
      <c r="M1371" s="13"/>
      <c r="N1371" s="13"/>
      <c r="O1371" s="13"/>
      <c r="P1371" s="13"/>
      <c r="Q1371" s="159"/>
      <c r="R1371" s="13"/>
      <c r="S1371" s="13"/>
      <c r="T1371" s="13"/>
    </row>
    <row r="1372" spans="3:20" ht="21" customHeight="1" x14ac:dyDescent="0.25">
      <c r="C1372" s="135"/>
      <c r="D1372" s="135"/>
      <c r="E1372" s="135"/>
      <c r="F1372" s="93"/>
      <c r="G1372" s="93"/>
      <c r="H1372" s="93"/>
      <c r="I1372" s="93"/>
      <c r="J1372" s="93"/>
      <c r="K1372" s="93"/>
      <c r="L1372" s="93"/>
      <c r="M1372" s="13"/>
      <c r="N1372" s="13"/>
      <c r="O1372" s="13"/>
      <c r="P1372" s="13"/>
      <c r="Q1372" s="159"/>
      <c r="R1372" s="13"/>
      <c r="S1372" s="13"/>
      <c r="T1372" s="13"/>
    </row>
    <row r="1373" spans="3:20" ht="21" customHeight="1" x14ac:dyDescent="0.25">
      <c r="C1373" s="135"/>
      <c r="D1373" s="135"/>
      <c r="E1373" s="135"/>
      <c r="F1373" s="93"/>
      <c r="G1373" s="93"/>
      <c r="H1373" s="93"/>
      <c r="I1373" s="93"/>
      <c r="J1373" s="93"/>
      <c r="K1373" s="93"/>
      <c r="L1373" s="93"/>
      <c r="M1373" s="13"/>
      <c r="N1373" s="13"/>
      <c r="O1373" s="13"/>
      <c r="P1373" s="13"/>
      <c r="Q1373" s="159"/>
      <c r="R1373" s="13"/>
      <c r="S1373" s="13"/>
      <c r="T1373" s="13"/>
    </row>
    <row r="1374" spans="3:20" ht="21" customHeight="1" x14ac:dyDescent="0.25">
      <c r="M1374" s="13"/>
      <c r="N1374" s="13"/>
      <c r="O1374" s="13"/>
      <c r="P1374" s="13"/>
      <c r="Q1374" s="159"/>
      <c r="R1374" s="13"/>
      <c r="S1374" s="13"/>
      <c r="T1374" s="13"/>
    </row>
    <row r="1375" spans="3:20" ht="21" customHeight="1" x14ac:dyDescent="0.25">
      <c r="E1375" s="136"/>
      <c r="F1375" s="14" t="s">
        <v>3585</v>
      </c>
      <c r="M1375" s="13"/>
      <c r="N1375" s="13"/>
      <c r="O1375" s="13"/>
      <c r="P1375" s="13"/>
      <c r="Q1375" s="159"/>
      <c r="R1375" s="13"/>
      <c r="S1375" s="13"/>
      <c r="T1375" s="13"/>
    </row>
    <row r="1376" spans="3:20" ht="21" customHeight="1" x14ac:dyDescent="0.25">
      <c r="F1376" s="53" t="s">
        <v>3654</v>
      </c>
      <c r="M1376" s="13"/>
      <c r="N1376" s="13"/>
      <c r="O1376" s="13"/>
      <c r="P1376" s="13"/>
      <c r="Q1376" s="159"/>
      <c r="R1376" s="13"/>
      <c r="S1376" s="13"/>
      <c r="T1376" s="13"/>
    </row>
    <row r="1377" spans="1:20" ht="21" customHeight="1" x14ac:dyDescent="0.25">
      <c r="E1377" s="137"/>
      <c r="M1377" s="13"/>
      <c r="N1377" s="13"/>
      <c r="O1377" s="13"/>
      <c r="P1377" s="13"/>
      <c r="Q1377" s="159"/>
      <c r="R1377" s="13"/>
      <c r="S1377" s="13"/>
      <c r="T1377" s="13"/>
    </row>
    <row r="1378" spans="1:20" ht="21" customHeight="1" x14ac:dyDescent="0.25">
      <c r="E1378" s="137"/>
      <c r="M1378" s="13"/>
      <c r="N1378" s="13"/>
      <c r="O1378" s="13"/>
      <c r="P1378" s="13"/>
      <c r="Q1378" s="159"/>
      <c r="R1378" s="13"/>
      <c r="S1378" s="13"/>
      <c r="T1378" s="13"/>
    </row>
    <row r="1379" spans="1:20" ht="21" customHeight="1" x14ac:dyDescent="0.25">
      <c r="E1379" s="138"/>
      <c r="L1379" s="14" t="s">
        <v>3586</v>
      </c>
      <c r="M1379" s="13"/>
      <c r="N1379" s="13"/>
      <c r="O1379" s="13"/>
      <c r="P1379" s="13"/>
      <c r="Q1379" s="159"/>
      <c r="R1379" s="13"/>
      <c r="S1379" s="13"/>
      <c r="T1379" s="13"/>
    </row>
    <row r="1380" spans="1:20" ht="21" customHeight="1" x14ac:dyDescent="0.25">
      <c r="E1380" s="137"/>
      <c r="M1380" s="13"/>
      <c r="N1380" s="13"/>
      <c r="O1380" s="13"/>
      <c r="P1380" s="13"/>
      <c r="Q1380" s="159"/>
      <c r="R1380" s="13"/>
      <c r="S1380" s="13"/>
      <c r="T1380" s="13"/>
    </row>
    <row r="1381" spans="1:20" ht="21" customHeight="1" x14ac:dyDescent="0.25">
      <c r="E1381" s="138"/>
      <c r="M1381" s="13"/>
      <c r="N1381" s="13"/>
      <c r="O1381" s="13"/>
      <c r="P1381" s="13"/>
      <c r="Q1381" s="159"/>
      <c r="R1381" s="13"/>
      <c r="S1381" s="13"/>
      <c r="T1381" s="13"/>
    </row>
    <row r="1382" spans="1:20" ht="21" customHeight="1" x14ac:dyDescent="0.25">
      <c r="E1382" s="137"/>
      <c r="M1382" s="13"/>
      <c r="N1382" s="13"/>
      <c r="O1382" s="13"/>
      <c r="P1382" s="13"/>
      <c r="Q1382" s="159"/>
      <c r="R1382" s="13"/>
      <c r="S1382" s="13"/>
      <c r="T1382" s="13"/>
    </row>
    <row r="1383" spans="1:20" ht="21" customHeight="1" x14ac:dyDescent="0.25">
      <c r="F1383" s="14" t="s">
        <v>3587</v>
      </c>
      <c r="M1383" s="13"/>
      <c r="N1383" s="13"/>
      <c r="O1383" s="13"/>
      <c r="P1383" s="13"/>
      <c r="Q1383" s="159"/>
      <c r="R1383" s="13"/>
      <c r="S1383" s="13"/>
      <c r="T1383" s="13"/>
    </row>
    <row r="1384" spans="1:20" ht="21" customHeight="1" x14ac:dyDescent="0.25">
      <c r="F1384" s="49" t="s">
        <v>0</v>
      </c>
      <c r="G1384" s="49"/>
      <c r="H1384" s="49"/>
      <c r="M1384" s="13"/>
      <c r="N1384" s="13"/>
      <c r="O1384" s="13"/>
      <c r="P1384" s="13"/>
      <c r="Q1384" s="159"/>
      <c r="R1384" s="13"/>
      <c r="S1384" s="13"/>
      <c r="T1384" s="13"/>
    </row>
    <row r="1387" spans="1:20" ht="21" customHeight="1" x14ac:dyDescent="0.25">
      <c r="A1387" s="53"/>
      <c r="B1387" s="53"/>
      <c r="C1387" s="53"/>
      <c r="M1387" s="13"/>
      <c r="N1387" s="13"/>
      <c r="O1387" s="13"/>
      <c r="P1387" s="13"/>
      <c r="Q1387" s="159"/>
      <c r="R1387" s="13"/>
      <c r="S1387" s="13"/>
      <c r="T1387" s="13"/>
    </row>
    <row r="1388" spans="1:20" ht="21" customHeight="1" x14ac:dyDescent="0.25">
      <c r="C1388" s="139"/>
      <c r="M1388" s="13"/>
      <c r="N1388" s="13"/>
      <c r="O1388" s="13"/>
      <c r="P1388" s="13"/>
      <c r="Q1388" s="159"/>
      <c r="R1388" s="13"/>
      <c r="S1388" s="13"/>
      <c r="T1388" s="13"/>
    </row>
    <row r="1389" spans="1:20" ht="21" customHeight="1" x14ac:dyDescent="0.25">
      <c r="C1389" s="139"/>
      <c r="M1389" s="13"/>
      <c r="N1389" s="13"/>
      <c r="O1389" s="13"/>
      <c r="P1389" s="13"/>
      <c r="Q1389" s="159"/>
      <c r="R1389" s="13"/>
      <c r="S1389" s="13"/>
      <c r="T1389" s="13"/>
    </row>
    <row r="1390" spans="1:20" ht="21" customHeight="1" x14ac:dyDescent="0.25">
      <c r="C1390" s="139"/>
      <c r="M1390" s="13"/>
      <c r="N1390" s="13"/>
      <c r="O1390" s="13"/>
      <c r="P1390" s="13"/>
      <c r="Q1390" s="159"/>
      <c r="R1390" s="13"/>
      <c r="S1390" s="13"/>
      <c r="T1390" s="13"/>
    </row>
    <row r="1391" spans="1:20" ht="21" customHeight="1" x14ac:dyDescent="0.25">
      <c r="B1391" s="13"/>
      <c r="C1391" s="140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59"/>
      <c r="R1391" s="13"/>
      <c r="S1391" s="13"/>
      <c r="T1391" s="13"/>
    </row>
    <row r="1392" spans="1:20" ht="21" customHeight="1" x14ac:dyDescent="0.25">
      <c r="B1392" s="13"/>
      <c r="C1392" s="140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59"/>
      <c r="R1392" s="13"/>
      <c r="S1392" s="13"/>
      <c r="T1392" s="13"/>
    </row>
    <row r="1393" spans="2:20" ht="21" customHeight="1" x14ac:dyDescent="0.25">
      <c r="B1393" s="13"/>
      <c r="C1393" s="140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59"/>
      <c r="R1393" s="13"/>
      <c r="S1393" s="13"/>
      <c r="T1393" s="13"/>
    </row>
    <row r="1394" spans="2:20" ht="21" customHeight="1" x14ac:dyDescent="0.25">
      <c r="B1394" s="13"/>
      <c r="C1394" s="140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59"/>
      <c r="R1394" s="13"/>
      <c r="S1394" s="13"/>
      <c r="T1394" s="13"/>
    </row>
    <row r="1395" spans="2:20" ht="21" customHeight="1" x14ac:dyDescent="0.25">
      <c r="B1395" s="13"/>
      <c r="C1395" s="140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59"/>
      <c r="R1395" s="13"/>
      <c r="S1395" s="13"/>
      <c r="T1395" s="13"/>
    </row>
    <row r="1396" spans="2:20" ht="21" customHeight="1" x14ac:dyDescent="0.25">
      <c r="B1396" s="13"/>
      <c r="C1396" s="140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59"/>
      <c r="R1396" s="13"/>
      <c r="S1396" s="13"/>
      <c r="T1396" s="13"/>
    </row>
    <row r="1397" spans="2:20" ht="21" customHeight="1" x14ac:dyDescent="0.25">
      <c r="B1397" s="13"/>
      <c r="C1397" s="140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59"/>
      <c r="R1397" s="13"/>
      <c r="S1397" s="13"/>
      <c r="T1397" s="13"/>
    </row>
    <row r="1398" spans="2:20" ht="21" customHeight="1" x14ac:dyDescent="0.25">
      <c r="B1398" s="13"/>
      <c r="C1398" s="140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59"/>
      <c r="R1398" s="13"/>
      <c r="S1398" s="13"/>
      <c r="T1398" s="13"/>
    </row>
    <row r="1399" spans="2:20" ht="21" customHeight="1" x14ac:dyDescent="0.25">
      <c r="B1399" s="13"/>
      <c r="C1399" s="140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59"/>
      <c r="R1399" s="13"/>
      <c r="S1399" s="13"/>
      <c r="T1399" s="13"/>
    </row>
  </sheetData>
  <mergeCells count="52">
    <mergeCell ref="A1349:D1349"/>
    <mergeCell ref="E1349:O1349"/>
    <mergeCell ref="P1349:R1349"/>
    <mergeCell ref="A1342:D1342"/>
    <mergeCell ref="E1342:O1342"/>
    <mergeCell ref="P1342:R1342"/>
    <mergeCell ref="A1348:D1348"/>
    <mergeCell ref="E1348:O1348"/>
    <mergeCell ref="P1348:R1348"/>
    <mergeCell ref="J1336:K1336"/>
    <mergeCell ref="P1340:R1340"/>
    <mergeCell ref="A1341:D1341"/>
    <mergeCell ref="E1341:O1341"/>
    <mergeCell ref="P1341:R1341"/>
    <mergeCell ref="J1328:K1328"/>
    <mergeCell ref="J1329:K1329"/>
    <mergeCell ref="J1330:K1330"/>
    <mergeCell ref="J1331:K1331"/>
    <mergeCell ref="J1332:K1332"/>
    <mergeCell ref="H1328:I1328"/>
    <mergeCell ref="H1329:I1329"/>
    <mergeCell ref="H1330:I1330"/>
    <mergeCell ref="H1331:I1331"/>
    <mergeCell ref="H1332:I1332"/>
    <mergeCell ref="A193:F193"/>
    <mergeCell ref="A6:T6"/>
    <mergeCell ref="A7:T7"/>
    <mergeCell ref="A52:F52"/>
    <mergeCell ref="A99:F99"/>
    <mergeCell ref="A146:F146"/>
    <mergeCell ref="A240:F240"/>
    <mergeCell ref="B1328:C1328"/>
    <mergeCell ref="F1328:G1328"/>
    <mergeCell ref="F1329:G1329"/>
    <mergeCell ref="B1330:C1330"/>
    <mergeCell ref="F1330:G1330"/>
    <mergeCell ref="B1336:C1336"/>
    <mergeCell ref="F1336:G1336"/>
    <mergeCell ref="C1338:L1338"/>
    <mergeCell ref="B1331:C1331"/>
    <mergeCell ref="F1331:G1331"/>
    <mergeCell ref="F1332:G1332"/>
    <mergeCell ref="F1333:G1333"/>
    <mergeCell ref="F1334:G1334"/>
    <mergeCell ref="F1335:G1335"/>
    <mergeCell ref="H1333:I1333"/>
    <mergeCell ref="H1334:I1334"/>
    <mergeCell ref="H1335:I1335"/>
    <mergeCell ref="H1336:I1336"/>
    <mergeCell ref="J1333:K1333"/>
    <mergeCell ref="J1334:K1334"/>
    <mergeCell ref="J1335:K1335"/>
  </mergeCells>
  <conditionalFormatting sqref="B1014">
    <cfRule type="duplicateValues" dxfId="0" priority="1"/>
  </conditionalFormatting>
  <pageMargins left="0.31496062992125984" right="0.11811023622047245" top="0.74803149606299213" bottom="0.15748031496062992" header="0.31496062992125984" footer="0.31496062992125984"/>
  <pageSetup paperSize="9" scale="46" fitToHeight="0" orientation="landscape" horizontalDpi="0" verticalDpi="0" r:id="rId1"/>
  <rowBreaks count="29" manualBreakCount="29">
    <brk id="100" max="16383" man="1"/>
    <brk id="147" max="16383" man="1"/>
    <brk id="194" max="16383" man="1"/>
    <brk id="241" max="16383" man="1"/>
    <brk id="280" max="16383" man="1"/>
    <brk id="326" max="16383" man="1"/>
    <brk id="346" max="16383" man="1"/>
    <brk id="393" max="16383" man="1"/>
    <brk id="440" max="16383" man="1"/>
    <brk id="487" max="16383" man="1"/>
    <brk id="534" max="16383" man="1"/>
    <brk id="582" max="16383" man="1"/>
    <brk id="630" max="16383" man="1"/>
    <brk id="677" max="16383" man="1"/>
    <brk id="724" max="16383" man="1"/>
    <brk id="771" max="16383" man="1"/>
    <brk id="787" max="16383" man="1"/>
    <brk id="834" max="16383" man="1"/>
    <brk id="881" max="16383" man="1"/>
    <brk id="928" max="16383" man="1"/>
    <brk id="975" max="16383" man="1"/>
    <brk id="1017" max="16383" man="1"/>
    <brk id="1064" max="19" man="1"/>
    <brk id="1111" max="19" man="1"/>
    <brk id="1158" max="19" man="1"/>
    <brk id="1205" max="19" man="1"/>
    <brk id="1253" max="19" man="1"/>
    <brk id="1286" max="19" man="1"/>
    <brk id="1325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PJUKAB-DPKP KAB</vt:lpstr>
      <vt:lpstr>Sheet2</vt:lpstr>
      <vt:lpstr>Sheet3</vt:lpstr>
      <vt:lpstr>'PJUKAB-DPKP KAB'!Print_Area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office original</cp:lastModifiedBy>
  <cp:lastPrinted>2025-06-12T01:03:00Z</cp:lastPrinted>
  <dcterms:created xsi:type="dcterms:W3CDTF">2025-06-10T11:37:00Z</dcterms:created>
  <dcterms:modified xsi:type="dcterms:W3CDTF">2025-06-12T01:03:38Z</dcterms:modified>
</cp:coreProperties>
</file>