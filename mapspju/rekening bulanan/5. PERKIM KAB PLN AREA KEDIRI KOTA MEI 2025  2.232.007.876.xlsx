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 WORK WORK\2025\TAGIHAN LISTRIK PJU\"/>
    </mc:Choice>
  </mc:AlternateContent>
  <xr:revisionPtr revIDLastSave="0" documentId="8_{80444350-871C-4C3D-B304-8973FF8433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</externalReferences>
  <definedNames>
    <definedName name="_xlnm.Print_Area" localSheetId="0">Sheet1!$A$1:$T$1354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40" i="1" l="1"/>
  <c r="I1339" i="1"/>
  <c r="I1338" i="1"/>
  <c r="I1337" i="1"/>
  <c r="I1336" i="1"/>
  <c r="I1340" i="1"/>
  <c r="H1340" i="1"/>
  <c r="I1335" i="1"/>
  <c r="I1334" i="1"/>
  <c r="I1333" i="1"/>
  <c r="H1339" i="1"/>
  <c r="H1338" i="1"/>
  <c r="H1337" i="1"/>
  <c r="H1336" i="1"/>
  <c r="H1335" i="1"/>
  <c r="H1334" i="1"/>
  <c r="H1333" i="1"/>
  <c r="C1342" i="1" a="1"/>
  <c r="C1342" i="1" l="1"/>
  <c r="S1328" i="1"/>
  <c r="T1326" i="1"/>
  <c r="T1325" i="1"/>
  <c r="S1317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317" i="1" s="1"/>
  <c r="S1289" i="1"/>
  <c r="T1282" i="1"/>
  <c r="T1278" i="1"/>
  <c r="T1277" i="1"/>
  <c r="T1276" i="1"/>
  <c r="T1270" i="1"/>
  <c r="T1266" i="1"/>
  <c r="T1265" i="1"/>
  <c r="T1264" i="1"/>
  <c r="S1262" i="1"/>
  <c r="X1261" i="1"/>
  <c r="Y1261" i="1" s="1"/>
  <c r="T1248" i="1"/>
  <c r="T1236" i="1"/>
  <c r="T1231" i="1"/>
  <c r="T1224" i="1"/>
  <c r="X1213" i="1"/>
  <c r="Y1213" i="1" s="1"/>
  <c r="T1200" i="1"/>
  <c r="T1188" i="1"/>
  <c r="T1178" i="1"/>
  <c r="T1177" i="1"/>
  <c r="X1165" i="1"/>
  <c r="Y1165" i="1" s="1"/>
  <c r="S1067" i="1"/>
  <c r="S1072" i="1" s="1"/>
  <c r="S1114" i="1" s="1"/>
  <c r="S1119" i="1" s="1"/>
  <c r="S1161" i="1" s="1"/>
  <c r="S1166" i="1" s="1"/>
  <c r="S1208" i="1" s="1"/>
  <c r="S1214" i="1" s="1"/>
  <c r="S1256" i="1" s="1"/>
  <c r="S837" i="1"/>
  <c r="S842" i="1" s="1"/>
  <c r="S884" i="1" s="1"/>
  <c r="S889" i="1" s="1"/>
  <c r="S931" i="1" s="1"/>
  <c r="S936" i="1" s="1"/>
  <c r="S978" i="1" s="1"/>
  <c r="S983" i="1" s="1"/>
  <c r="S1020" i="1" s="1"/>
  <c r="S392" i="1"/>
  <c r="S397" i="1" s="1"/>
  <c r="S439" i="1" s="1"/>
  <c r="S446" i="1" s="1"/>
  <c r="S488" i="1" s="1"/>
  <c r="S494" i="1" s="1"/>
  <c r="S536" i="1" s="1"/>
  <c r="S542" i="1" s="1"/>
  <c r="S584" i="1" s="1"/>
  <c r="S590" i="1" s="1"/>
  <c r="S632" i="1" s="1"/>
  <c r="S638" i="1" s="1"/>
  <c r="S680" i="1" s="1"/>
  <c r="S685" i="1" s="1"/>
  <c r="S727" i="1" s="1"/>
  <c r="S732" i="1" s="1"/>
  <c r="S774" i="1" s="1"/>
  <c r="S779" i="1" s="1"/>
  <c r="S790" i="1" s="1"/>
  <c r="S327" i="1"/>
  <c r="S332" i="1" s="1"/>
  <c r="S345" i="1" s="1"/>
  <c r="S54" i="1"/>
  <c r="S59" i="1" s="1"/>
  <c r="S101" i="1" s="1"/>
  <c r="S106" i="1" s="1"/>
  <c r="S148" i="1" s="1"/>
  <c r="S153" i="1" s="1"/>
  <c r="S195" i="1" s="1"/>
  <c r="S200" i="1" s="1"/>
  <c r="S242" i="1" s="1"/>
  <c r="S247" i="1" s="1"/>
  <c r="S281" i="1" s="1"/>
  <c r="F1366" i="1"/>
  <c r="F1359" i="1"/>
  <c r="D1339" i="1"/>
  <c r="D1338" i="1"/>
  <c r="D1337" i="1"/>
  <c r="D1336" i="1"/>
  <c r="D1335" i="1"/>
  <c r="D1334" i="1"/>
  <c r="D1333" i="1"/>
  <c r="Q1328" i="1"/>
  <c r="P1328" i="1"/>
  <c r="O1328" i="1"/>
  <c r="N1328" i="1"/>
  <c r="M1328" i="1"/>
  <c r="L1328" i="1"/>
  <c r="I1328" i="1"/>
  <c r="H1328" i="1"/>
  <c r="G1328" i="1"/>
  <c r="F1339" i="1" s="1"/>
  <c r="X1327" i="1"/>
  <c r="X1326" i="1"/>
  <c r="Y1326" i="1" s="1"/>
  <c r="Z1326" i="1" s="1"/>
  <c r="R1326" i="1"/>
  <c r="X1325" i="1"/>
  <c r="Y1325" i="1" s="1"/>
  <c r="Z1325" i="1" s="1"/>
  <c r="R1325" i="1"/>
  <c r="X1324" i="1"/>
  <c r="Y1324" i="1" s="1"/>
  <c r="Z1324" i="1" s="1"/>
  <c r="R1324" i="1"/>
  <c r="T1324" i="1" s="1"/>
  <c r="X1323" i="1"/>
  <c r="Y1323" i="1" s="1"/>
  <c r="Z1323" i="1" s="1"/>
  <c r="R1323" i="1"/>
  <c r="T1323" i="1" s="1"/>
  <c r="T1328" i="1" s="1"/>
  <c r="X1322" i="1"/>
  <c r="Y1322" i="1" s="1"/>
  <c r="Z1322" i="1" s="1"/>
  <c r="X1320" i="1"/>
  <c r="Y1320" i="1" s="1"/>
  <c r="X1319" i="1"/>
  <c r="Y1319" i="1" s="1"/>
  <c r="X1318" i="1"/>
  <c r="Y1318" i="1" s="1"/>
  <c r="R1317" i="1"/>
  <c r="E1338" i="1" s="1"/>
  <c r="Q1317" i="1"/>
  <c r="P1317" i="1"/>
  <c r="O1317" i="1"/>
  <c r="N1317" i="1"/>
  <c r="M1317" i="1"/>
  <c r="L1317" i="1"/>
  <c r="I1317" i="1"/>
  <c r="H1317" i="1"/>
  <c r="G1317" i="1"/>
  <c r="F1338" i="1" s="1"/>
  <c r="X1316" i="1"/>
  <c r="Y1316" i="1" s="1"/>
  <c r="X1315" i="1"/>
  <c r="Y1315" i="1" s="1"/>
  <c r="Z1315" i="1" s="1"/>
  <c r="X1314" i="1"/>
  <c r="Y1314" i="1" s="1"/>
  <c r="Z1314" i="1" s="1"/>
  <c r="X1313" i="1"/>
  <c r="Y1313" i="1" s="1"/>
  <c r="Z1313" i="1" s="1"/>
  <c r="X1312" i="1"/>
  <c r="Y1312" i="1" s="1"/>
  <c r="Z1312" i="1" s="1"/>
  <c r="X1311" i="1"/>
  <c r="Y1311" i="1" s="1"/>
  <c r="Z1311" i="1" s="1"/>
  <c r="X1310" i="1"/>
  <c r="Y1310" i="1" s="1"/>
  <c r="Z1310" i="1" s="1"/>
  <c r="X1309" i="1"/>
  <c r="Y1309" i="1" s="1"/>
  <c r="Z1309" i="1" s="1"/>
  <c r="X1308" i="1"/>
  <c r="Y1308" i="1" s="1"/>
  <c r="Z1308" i="1" s="1"/>
  <c r="X1307" i="1"/>
  <c r="Y1307" i="1" s="1"/>
  <c r="Z1307" i="1" s="1"/>
  <c r="X1306" i="1"/>
  <c r="Y1306" i="1" s="1"/>
  <c r="Z1306" i="1" s="1"/>
  <c r="X1305" i="1"/>
  <c r="Y1305" i="1" s="1"/>
  <c r="Z1305" i="1" s="1"/>
  <c r="X1304" i="1"/>
  <c r="Y1304" i="1" s="1"/>
  <c r="Z1304" i="1" s="1"/>
  <c r="X1303" i="1"/>
  <c r="Y1303" i="1" s="1"/>
  <c r="Z1303" i="1" s="1"/>
  <c r="X1302" i="1"/>
  <c r="Y1302" i="1" s="1"/>
  <c r="Z1302" i="1" s="1"/>
  <c r="X1301" i="1"/>
  <c r="Y1301" i="1" s="1"/>
  <c r="Z1301" i="1" s="1"/>
  <c r="X1300" i="1"/>
  <c r="Y1300" i="1" s="1"/>
  <c r="Z1300" i="1" s="1"/>
  <c r="X1299" i="1"/>
  <c r="Y1299" i="1" s="1"/>
  <c r="Z1299" i="1" s="1"/>
  <c r="X1298" i="1"/>
  <c r="Y1298" i="1" s="1"/>
  <c r="Z1298" i="1" s="1"/>
  <c r="X1297" i="1"/>
  <c r="Y1297" i="1" s="1"/>
  <c r="Z1297" i="1" s="1"/>
  <c r="X1296" i="1"/>
  <c r="Y1296" i="1" s="1"/>
  <c r="Z1296" i="1" s="1"/>
  <c r="X1295" i="1"/>
  <c r="Y1295" i="1" s="1"/>
  <c r="Z1295" i="1" s="1"/>
  <c r="X1294" i="1"/>
  <c r="Y1294" i="1" s="1"/>
  <c r="X1292" i="1"/>
  <c r="Y1292" i="1" s="1"/>
  <c r="X1291" i="1"/>
  <c r="Y1291" i="1" s="1"/>
  <c r="X1290" i="1"/>
  <c r="Y1290" i="1" s="1"/>
  <c r="X1288" i="1"/>
  <c r="Y1288" i="1" s="1"/>
  <c r="X1287" i="1"/>
  <c r="Y1287" i="1" s="1"/>
  <c r="Z1287" i="1" s="1"/>
  <c r="R1287" i="1"/>
  <c r="T1287" i="1" s="1"/>
  <c r="X1286" i="1"/>
  <c r="Y1286" i="1" s="1"/>
  <c r="Z1286" i="1" s="1"/>
  <c r="R1286" i="1"/>
  <c r="T1286" i="1" s="1"/>
  <c r="X1285" i="1"/>
  <c r="Y1285" i="1" s="1"/>
  <c r="Z1285" i="1" s="1"/>
  <c r="R1285" i="1"/>
  <c r="T1285" i="1" s="1"/>
  <c r="X1284" i="1"/>
  <c r="Y1284" i="1" s="1"/>
  <c r="Z1284" i="1" s="1"/>
  <c r="R1284" i="1"/>
  <c r="T1284" i="1" s="1"/>
  <c r="X1283" i="1"/>
  <c r="Y1283" i="1" s="1"/>
  <c r="Z1283" i="1" s="1"/>
  <c r="R1283" i="1"/>
  <c r="T1283" i="1" s="1"/>
  <c r="X1282" i="1"/>
  <c r="Y1282" i="1" s="1"/>
  <c r="Z1282" i="1" s="1"/>
  <c r="R1282" i="1"/>
  <c r="X1281" i="1"/>
  <c r="Y1281" i="1" s="1"/>
  <c r="Z1281" i="1" s="1"/>
  <c r="R1281" i="1"/>
  <c r="T1281" i="1" s="1"/>
  <c r="X1280" i="1"/>
  <c r="Y1280" i="1" s="1"/>
  <c r="Z1280" i="1" s="1"/>
  <c r="R1280" i="1"/>
  <c r="T1280" i="1" s="1"/>
  <c r="X1279" i="1"/>
  <c r="Y1279" i="1" s="1"/>
  <c r="Z1279" i="1" s="1"/>
  <c r="R1279" i="1"/>
  <c r="T1279" i="1" s="1"/>
  <c r="X1278" i="1"/>
  <c r="Y1278" i="1" s="1"/>
  <c r="Z1278" i="1" s="1"/>
  <c r="R1278" i="1"/>
  <c r="X1277" i="1"/>
  <c r="Y1277" i="1" s="1"/>
  <c r="Z1277" i="1" s="1"/>
  <c r="R1277" i="1"/>
  <c r="X1276" i="1"/>
  <c r="Y1276" i="1" s="1"/>
  <c r="Z1276" i="1" s="1"/>
  <c r="R1276" i="1"/>
  <c r="X1275" i="1"/>
  <c r="Y1275" i="1" s="1"/>
  <c r="Z1275" i="1" s="1"/>
  <c r="R1275" i="1"/>
  <c r="T1275" i="1" s="1"/>
  <c r="X1274" i="1"/>
  <c r="Y1274" i="1" s="1"/>
  <c r="Z1274" i="1" s="1"/>
  <c r="R1274" i="1"/>
  <c r="T1274" i="1" s="1"/>
  <c r="X1273" i="1"/>
  <c r="Y1273" i="1" s="1"/>
  <c r="Z1273" i="1" s="1"/>
  <c r="R1273" i="1"/>
  <c r="T1273" i="1" s="1"/>
  <c r="X1272" i="1"/>
  <c r="Y1272" i="1" s="1"/>
  <c r="Z1272" i="1" s="1"/>
  <c r="R1272" i="1"/>
  <c r="T1272" i="1" s="1"/>
  <c r="X1271" i="1"/>
  <c r="Y1271" i="1" s="1"/>
  <c r="Z1271" i="1" s="1"/>
  <c r="R1271" i="1"/>
  <c r="T1271" i="1" s="1"/>
  <c r="X1270" i="1"/>
  <c r="Y1270" i="1" s="1"/>
  <c r="Z1270" i="1" s="1"/>
  <c r="R1270" i="1"/>
  <c r="X1269" i="1"/>
  <c r="Y1269" i="1" s="1"/>
  <c r="Z1269" i="1" s="1"/>
  <c r="R1269" i="1"/>
  <c r="T1269" i="1" s="1"/>
  <c r="X1268" i="1"/>
  <c r="Y1268" i="1" s="1"/>
  <c r="Z1268" i="1" s="1"/>
  <c r="R1268" i="1"/>
  <c r="T1268" i="1" s="1"/>
  <c r="X1267" i="1"/>
  <c r="Y1267" i="1" s="1"/>
  <c r="Z1267" i="1" s="1"/>
  <c r="R1267" i="1"/>
  <c r="T1267" i="1" s="1"/>
  <c r="X1266" i="1"/>
  <c r="Y1266" i="1" s="1"/>
  <c r="Z1266" i="1" s="1"/>
  <c r="R1266" i="1"/>
  <c r="X1265" i="1"/>
  <c r="Y1265" i="1" s="1"/>
  <c r="Z1265" i="1" s="1"/>
  <c r="R1265" i="1"/>
  <c r="X1264" i="1"/>
  <c r="Y1264" i="1" s="1"/>
  <c r="Z1264" i="1" s="1"/>
  <c r="R1264" i="1"/>
  <c r="X1263" i="1"/>
  <c r="Y1263" i="1" s="1"/>
  <c r="Z1263" i="1" s="1"/>
  <c r="R1263" i="1"/>
  <c r="T1263" i="1" s="1"/>
  <c r="X1259" i="1"/>
  <c r="Y1259" i="1" s="1"/>
  <c r="X1258" i="1"/>
  <c r="Y1258" i="1" s="1"/>
  <c r="X1257" i="1"/>
  <c r="Y1257" i="1" s="1"/>
  <c r="X1255" i="1"/>
  <c r="Y1255" i="1" s="1"/>
  <c r="X1254" i="1"/>
  <c r="Y1254" i="1" s="1"/>
  <c r="Z1254" i="1" s="1"/>
  <c r="R1254" i="1"/>
  <c r="T1254" i="1" s="1"/>
  <c r="X1253" i="1"/>
  <c r="Y1253" i="1" s="1"/>
  <c r="Z1253" i="1" s="1"/>
  <c r="R1253" i="1"/>
  <c r="T1253" i="1" s="1"/>
  <c r="X1252" i="1"/>
  <c r="Y1252" i="1" s="1"/>
  <c r="Z1252" i="1" s="1"/>
  <c r="R1252" i="1"/>
  <c r="T1252" i="1" s="1"/>
  <c r="X1251" i="1"/>
  <c r="Y1251" i="1" s="1"/>
  <c r="Z1251" i="1" s="1"/>
  <c r="R1251" i="1"/>
  <c r="T1251" i="1" s="1"/>
  <c r="X1250" i="1"/>
  <c r="Y1250" i="1" s="1"/>
  <c r="Z1250" i="1" s="1"/>
  <c r="R1250" i="1"/>
  <c r="T1250" i="1" s="1"/>
  <c r="X1249" i="1"/>
  <c r="Y1249" i="1" s="1"/>
  <c r="Z1249" i="1" s="1"/>
  <c r="R1249" i="1"/>
  <c r="T1249" i="1" s="1"/>
  <c r="X1248" i="1"/>
  <c r="Y1248" i="1" s="1"/>
  <c r="Z1248" i="1" s="1"/>
  <c r="R1248" i="1"/>
  <c r="X1247" i="1"/>
  <c r="Y1247" i="1" s="1"/>
  <c r="Z1247" i="1" s="1"/>
  <c r="R1247" i="1"/>
  <c r="T1247" i="1" s="1"/>
  <c r="X1246" i="1"/>
  <c r="Y1246" i="1" s="1"/>
  <c r="Z1246" i="1" s="1"/>
  <c r="R1246" i="1"/>
  <c r="T1246" i="1" s="1"/>
  <c r="X1245" i="1"/>
  <c r="Y1245" i="1" s="1"/>
  <c r="Z1245" i="1" s="1"/>
  <c r="R1245" i="1"/>
  <c r="T1245" i="1" s="1"/>
  <c r="X1244" i="1"/>
  <c r="Y1244" i="1" s="1"/>
  <c r="Z1244" i="1" s="1"/>
  <c r="R1244" i="1"/>
  <c r="T1244" i="1" s="1"/>
  <c r="X1243" i="1"/>
  <c r="Y1243" i="1" s="1"/>
  <c r="Z1243" i="1" s="1"/>
  <c r="R1243" i="1"/>
  <c r="T1243" i="1" s="1"/>
  <c r="X1242" i="1"/>
  <c r="Y1242" i="1" s="1"/>
  <c r="Z1242" i="1" s="1"/>
  <c r="R1242" i="1"/>
  <c r="T1242" i="1" s="1"/>
  <c r="X1241" i="1"/>
  <c r="Y1241" i="1" s="1"/>
  <c r="Z1241" i="1" s="1"/>
  <c r="R1241" i="1"/>
  <c r="T1241" i="1" s="1"/>
  <c r="X1240" i="1"/>
  <c r="Y1240" i="1" s="1"/>
  <c r="Z1240" i="1" s="1"/>
  <c r="R1240" i="1"/>
  <c r="T1240" i="1" s="1"/>
  <c r="X1239" i="1"/>
  <c r="Y1239" i="1" s="1"/>
  <c r="Z1239" i="1" s="1"/>
  <c r="R1239" i="1"/>
  <c r="T1239" i="1" s="1"/>
  <c r="X1238" i="1"/>
  <c r="Y1238" i="1" s="1"/>
  <c r="Z1238" i="1" s="1"/>
  <c r="R1238" i="1"/>
  <c r="T1238" i="1" s="1"/>
  <c r="X1237" i="1"/>
  <c r="Y1237" i="1" s="1"/>
  <c r="Z1237" i="1" s="1"/>
  <c r="R1237" i="1"/>
  <c r="T1237" i="1" s="1"/>
  <c r="X1236" i="1"/>
  <c r="Y1236" i="1" s="1"/>
  <c r="Z1236" i="1" s="1"/>
  <c r="R1236" i="1"/>
  <c r="X1235" i="1"/>
  <c r="Y1235" i="1" s="1"/>
  <c r="Z1235" i="1" s="1"/>
  <c r="R1235" i="1"/>
  <c r="T1235" i="1" s="1"/>
  <c r="X1234" i="1"/>
  <c r="Y1234" i="1" s="1"/>
  <c r="Z1234" i="1" s="1"/>
  <c r="R1234" i="1"/>
  <c r="T1234" i="1" s="1"/>
  <c r="X1233" i="1"/>
  <c r="Y1233" i="1" s="1"/>
  <c r="Z1233" i="1" s="1"/>
  <c r="R1233" i="1"/>
  <c r="T1233" i="1" s="1"/>
  <c r="X1232" i="1"/>
  <c r="Y1232" i="1" s="1"/>
  <c r="Z1232" i="1" s="1"/>
  <c r="R1232" i="1"/>
  <c r="T1232" i="1" s="1"/>
  <c r="X1231" i="1"/>
  <c r="Y1231" i="1" s="1"/>
  <c r="Z1231" i="1" s="1"/>
  <c r="R1231" i="1"/>
  <c r="X1230" i="1"/>
  <c r="Y1230" i="1" s="1"/>
  <c r="Z1230" i="1" s="1"/>
  <c r="R1230" i="1"/>
  <c r="T1230" i="1" s="1"/>
  <c r="X1229" i="1"/>
  <c r="Y1229" i="1" s="1"/>
  <c r="Z1229" i="1" s="1"/>
  <c r="R1229" i="1"/>
  <c r="T1229" i="1" s="1"/>
  <c r="X1228" i="1"/>
  <c r="Y1228" i="1" s="1"/>
  <c r="Z1228" i="1" s="1"/>
  <c r="R1228" i="1"/>
  <c r="T1228" i="1" s="1"/>
  <c r="X1227" i="1"/>
  <c r="Y1227" i="1" s="1"/>
  <c r="Z1227" i="1" s="1"/>
  <c r="R1227" i="1"/>
  <c r="T1227" i="1" s="1"/>
  <c r="X1226" i="1"/>
  <c r="Y1226" i="1" s="1"/>
  <c r="Z1226" i="1" s="1"/>
  <c r="R1226" i="1"/>
  <c r="T1226" i="1" s="1"/>
  <c r="X1225" i="1"/>
  <c r="Y1225" i="1" s="1"/>
  <c r="Z1225" i="1" s="1"/>
  <c r="R1225" i="1"/>
  <c r="T1225" i="1" s="1"/>
  <c r="X1224" i="1"/>
  <c r="Y1224" i="1" s="1"/>
  <c r="Z1224" i="1" s="1"/>
  <c r="R1224" i="1"/>
  <c r="X1223" i="1"/>
  <c r="Y1223" i="1" s="1"/>
  <c r="Z1223" i="1" s="1"/>
  <c r="R1223" i="1"/>
  <c r="T1223" i="1" s="1"/>
  <c r="X1222" i="1"/>
  <c r="Y1222" i="1" s="1"/>
  <c r="Z1222" i="1" s="1"/>
  <c r="R1222" i="1"/>
  <c r="T1222" i="1" s="1"/>
  <c r="X1221" i="1"/>
  <c r="Y1221" i="1" s="1"/>
  <c r="Z1221" i="1" s="1"/>
  <c r="R1221" i="1"/>
  <c r="T1221" i="1" s="1"/>
  <c r="X1220" i="1"/>
  <c r="Y1220" i="1" s="1"/>
  <c r="Z1220" i="1" s="1"/>
  <c r="R1220" i="1"/>
  <c r="T1220" i="1" s="1"/>
  <c r="X1219" i="1"/>
  <c r="Y1219" i="1" s="1"/>
  <c r="Z1219" i="1" s="1"/>
  <c r="R1219" i="1"/>
  <c r="T1219" i="1" s="1"/>
  <c r="X1218" i="1"/>
  <c r="Y1218" i="1" s="1"/>
  <c r="Z1218" i="1" s="1"/>
  <c r="R1218" i="1"/>
  <c r="T1218" i="1" s="1"/>
  <c r="X1217" i="1"/>
  <c r="Y1217" i="1" s="1"/>
  <c r="Z1217" i="1" s="1"/>
  <c r="R1217" i="1"/>
  <c r="T1217" i="1" s="1"/>
  <c r="X1216" i="1"/>
  <c r="Y1216" i="1" s="1"/>
  <c r="Z1216" i="1" s="1"/>
  <c r="R1216" i="1"/>
  <c r="T1216" i="1" s="1"/>
  <c r="X1215" i="1"/>
  <c r="Y1215" i="1" s="1"/>
  <c r="Z1215" i="1" s="1"/>
  <c r="R1215" i="1"/>
  <c r="T1215" i="1" s="1"/>
  <c r="X1211" i="1"/>
  <c r="Y1211" i="1" s="1"/>
  <c r="X1210" i="1"/>
  <c r="Y1210" i="1" s="1"/>
  <c r="X1209" i="1"/>
  <c r="Y1209" i="1" s="1"/>
  <c r="X1207" i="1"/>
  <c r="Y1207" i="1" s="1"/>
  <c r="X1206" i="1"/>
  <c r="Y1206" i="1" s="1"/>
  <c r="Z1206" i="1" s="1"/>
  <c r="R1206" i="1"/>
  <c r="T1206" i="1" s="1"/>
  <c r="X1205" i="1"/>
  <c r="Y1205" i="1" s="1"/>
  <c r="Z1205" i="1" s="1"/>
  <c r="R1205" i="1"/>
  <c r="T1205" i="1" s="1"/>
  <c r="X1204" i="1"/>
  <c r="Y1204" i="1" s="1"/>
  <c r="Z1204" i="1" s="1"/>
  <c r="R1204" i="1"/>
  <c r="T1204" i="1" s="1"/>
  <c r="X1203" i="1"/>
  <c r="Y1203" i="1" s="1"/>
  <c r="Z1203" i="1" s="1"/>
  <c r="R1203" i="1"/>
  <c r="T1203" i="1" s="1"/>
  <c r="X1202" i="1"/>
  <c r="Y1202" i="1" s="1"/>
  <c r="Z1202" i="1" s="1"/>
  <c r="R1202" i="1"/>
  <c r="T1202" i="1" s="1"/>
  <c r="X1201" i="1"/>
  <c r="Y1201" i="1" s="1"/>
  <c r="Z1201" i="1" s="1"/>
  <c r="R1201" i="1"/>
  <c r="T1201" i="1" s="1"/>
  <c r="X1200" i="1"/>
  <c r="Y1200" i="1" s="1"/>
  <c r="Z1200" i="1" s="1"/>
  <c r="R1200" i="1"/>
  <c r="X1199" i="1"/>
  <c r="Y1199" i="1" s="1"/>
  <c r="Z1199" i="1" s="1"/>
  <c r="R1199" i="1"/>
  <c r="T1199" i="1" s="1"/>
  <c r="X1198" i="1"/>
  <c r="Y1198" i="1" s="1"/>
  <c r="Z1198" i="1" s="1"/>
  <c r="R1198" i="1"/>
  <c r="T1198" i="1" s="1"/>
  <c r="X1197" i="1"/>
  <c r="Y1197" i="1" s="1"/>
  <c r="Z1197" i="1" s="1"/>
  <c r="R1197" i="1"/>
  <c r="T1197" i="1" s="1"/>
  <c r="X1196" i="1"/>
  <c r="Y1196" i="1" s="1"/>
  <c r="Z1196" i="1" s="1"/>
  <c r="R1196" i="1"/>
  <c r="T1196" i="1" s="1"/>
  <c r="X1195" i="1"/>
  <c r="Y1195" i="1" s="1"/>
  <c r="Z1195" i="1" s="1"/>
  <c r="R1195" i="1"/>
  <c r="T1195" i="1" s="1"/>
  <c r="X1194" i="1"/>
  <c r="Y1194" i="1" s="1"/>
  <c r="Z1194" i="1" s="1"/>
  <c r="R1194" i="1"/>
  <c r="T1194" i="1" s="1"/>
  <c r="X1193" i="1"/>
  <c r="Y1193" i="1" s="1"/>
  <c r="Z1193" i="1" s="1"/>
  <c r="R1193" i="1"/>
  <c r="T1193" i="1" s="1"/>
  <c r="X1192" i="1"/>
  <c r="Y1192" i="1" s="1"/>
  <c r="Z1192" i="1" s="1"/>
  <c r="R1192" i="1"/>
  <c r="T1192" i="1" s="1"/>
  <c r="X1191" i="1"/>
  <c r="Y1191" i="1" s="1"/>
  <c r="Z1191" i="1" s="1"/>
  <c r="R1191" i="1"/>
  <c r="T1191" i="1" s="1"/>
  <c r="X1190" i="1"/>
  <c r="Y1190" i="1" s="1"/>
  <c r="Z1190" i="1" s="1"/>
  <c r="R1190" i="1"/>
  <c r="T1190" i="1" s="1"/>
  <c r="X1189" i="1"/>
  <c r="Y1189" i="1" s="1"/>
  <c r="Z1189" i="1" s="1"/>
  <c r="R1189" i="1"/>
  <c r="T1189" i="1" s="1"/>
  <c r="X1188" i="1"/>
  <c r="Y1188" i="1" s="1"/>
  <c r="Z1188" i="1" s="1"/>
  <c r="R1188" i="1"/>
  <c r="X1187" i="1"/>
  <c r="Y1187" i="1" s="1"/>
  <c r="Z1187" i="1" s="1"/>
  <c r="R1187" i="1"/>
  <c r="T1187" i="1" s="1"/>
  <c r="X1186" i="1"/>
  <c r="Y1186" i="1" s="1"/>
  <c r="Z1186" i="1" s="1"/>
  <c r="R1186" i="1"/>
  <c r="T1186" i="1" s="1"/>
  <c r="X1185" i="1"/>
  <c r="Y1185" i="1" s="1"/>
  <c r="Z1185" i="1" s="1"/>
  <c r="R1185" i="1"/>
  <c r="T1185" i="1" s="1"/>
  <c r="X1184" i="1"/>
  <c r="Y1184" i="1" s="1"/>
  <c r="Z1184" i="1" s="1"/>
  <c r="R1184" i="1"/>
  <c r="T1184" i="1" s="1"/>
  <c r="X1183" i="1"/>
  <c r="Y1183" i="1" s="1"/>
  <c r="Z1183" i="1" s="1"/>
  <c r="R1183" i="1"/>
  <c r="T1183" i="1" s="1"/>
  <c r="X1182" i="1"/>
  <c r="Y1182" i="1" s="1"/>
  <c r="Z1182" i="1" s="1"/>
  <c r="R1182" i="1"/>
  <c r="T1182" i="1" s="1"/>
  <c r="X1181" i="1"/>
  <c r="Y1181" i="1" s="1"/>
  <c r="Z1181" i="1" s="1"/>
  <c r="R1181" i="1"/>
  <c r="T1181" i="1" s="1"/>
  <c r="X1180" i="1"/>
  <c r="Y1180" i="1" s="1"/>
  <c r="Z1180" i="1" s="1"/>
  <c r="R1180" i="1"/>
  <c r="T1180" i="1" s="1"/>
  <c r="X1179" i="1"/>
  <c r="Y1179" i="1" s="1"/>
  <c r="Z1179" i="1" s="1"/>
  <c r="R1179" i="1"/>
  <c r="T1179" i="1" s="1"/>
  <c r="X1178" i="1"/>
  <c r="Y1178" i="1" s="1"/>
  <c r="Z1178" i="1" s="1"/>
  <c r="R1178" i="1"/>
  <c r="X1177" i="1"/>
  <c r="Y1177" i="1" s="1"/>
  <c r="Z1177" i="1" s="1"/>
  <c r="R1177" i="1"/>
  <c r="X1176" i="1"/>
  <c r="Y1176" i="1" s="1"/>
  <c r="Z1176" i="1" s="1"/>
  <c r="R1176" i="1"/>
  <c r="T1176" i="1" s="1"/>
  <c r="X1175" i="1"/>
  <c r="Y1175" i="1" s="1"/>
  <c r="Z1175" i="1" s="1"/>
  <c r="R1175" i="1"/>
  <c r="T1175" i="1" s="1"/>
  <c r="X1174" i="1"/>
  <c r="Y1174" i="1" s="1"/>
  <c r="Z1174" i="1" s="1"/>
  <c r="R1174" i="1"/>
  <c r="T1174" i="1" s="1"/>
  <c r="X1173" i="1"/>
  <c r="Y1173" i="1" s="1"/>
  <c r="Z1173" i="1" s="1"/>
  <c r="R1173" i="1"/>
  <c r="T1173" i="1" s="1"/>
  <c r="X1172" i="1"/>
  <c r="Y1172" i="1" s="1"/>
  <c r="Z1172" i="1" s="1"/>
  <c r="R1172" i="1"/>
  <c r="T1172" i="1" s="1"/>
  <c r="X1171" i="1"/>
  <c r="Y1171" i="1" s="1"/>
  <c r="Z1171" i="1" s="1"/>
  <c r="R1171" i="1"/>
  <c r="T1171" i="1" s="1"/>
  <c r="X1170" i="1"/>
  <c r="Y1170" i="1" s="1"/>
  <c r="Z1170" i="1" s="1"/>
  <c r="R1170" i="1"/>
  <c r="T1170" i="1" s="1"/>
  <c r="X1169" i="1"/>
  <c r="Y1169" i="1" s="1"/>
  <c r="Z1169" i="1" s="1"/>
  <c r="R1169" i="1"/>
  <c r="T1169" i="1" s="1"/>
  <c r="X1168" i="1"/>
  <c r="Y1168" i="1" s="1"/>
  <c r="Z1168" i="1" s="1"/>
  <c r="R1168" i="1"/>
  <c r="T1168" i="1" s="1"/>
  <c r="X1167" i="1"/>
  <c r="Y1167" i="1" s="1"/>
  <c r="Z1167" i="1" s="1"/>
  <c r="R1167" i="1"/>
  <c r="T1167" i="1" s="1"/>
  <c r="X1163" i="1"/>
  <c r="Y1163" i="1" s="1"/>
  <c r="X1162" i="1"/>
  <c r="Y1162" i="1" s="1"/>
  <c r="X1160" i="1"/>
  <c r="Y1160" i="1" s="1"/>
  <c r="X1159" i="1"/>
  <c r="Y1159" i="1" s="1"/>
  <c r="Z1159" i="1" s="1"/>
  <c r="R1159" i="1"/>
  <c r="T1159" i="1" s="1"/>
  <c r="X1158" i="1"/>
  <c r="Y1158" i="1" s="1"/>
  <c r="Z1158" i="1" s="1"/>
  <c r="R1158" i="1"/>
  <c r="T1158" i="1" s="1"/>
  <c r="X1157" i="1"/>
  <c r="Y1157" i="1" s="1"/>
  <c r="Z1157" i="1" s="1"/>
  <c r="R1157" i="1"/>
  <c r="T1157" i="1" s="1"/>
  <c r="X1156" i="1"/>
  <c r="Y1156" i="1" s="1"/>
  <c r="Z1156" i="1" s="1"/>
  <c r="R1156" i="1"/>
  <c r="T1156" i="1" s="1"/>
  <c r="X1155" i="1"/>
  <c r="Y1155" i="1" s="1"/>
  <c r="Z1155" i="1" s="1"/>
  <c r="R1155" i="1"/>
  <c r="T1155" i="1" s="1"/>
  <c r="X1154" i="1"/>
  <c r="Y1154" i="1" s="1"/>
  <c r="Z1154" i="1" s="1"/>
  <c r="R1154" i="1"/>
  <c r="T1154" i="1" s="1"/>
  <c r="X1153" i="1"/>
  <c r="Y1153" i="1" s="1"/>
  <c r="Z1153" i="1" s="1"/>
  <c r="R1153" i="1"/>
  <c r="T1153" i="1" s="1"/>
  <c r="X1152" i="1"/>
  <c r="Y1152" i="1" s="1"/>
  <c r="Z1152" i="1" s="1"/>
  <c r="R1152" i="1"/>
  <c r="T1152" i="1" s="1"/>
  <c r="X1151" i="1"/>
  <c r="Y1151" i="1" s="1"/>
  <c r="Z1151" i="1" s="1"/>
  <c r="R1151" i="1"/>
  <c r="T1151" i="1" s="1"/>
  <c r="X1150" i="1"/>
  <c r="Y1150" i="1" s="1"/>
  <c r="Z1150" i="1" s="1"/>
  <c r="R1150" i="1"/>
  <c r="T1150" i="1" s="1"/>
  <c r="X1149" i="1"/>
  <c r="Y1149" i="1" s="1"/>
  <c r="Z1149" i="1" s="1"/>
  <c r="R1149" i="1"/>
  <c r="T1149" i="1" s="1"/>
  <c r="X1148" i="1"/>
  <c r="Y1148" i="1" s="1"/>
  <c r="Z1148" i="1" s="1"/>
  <c r="R1148" i="1"/>
  <c r="T1148" i="1" s="1"/>
  <c r="X1147" i="1"/>
  <c r="Y1147" i="1" s="1"/>
  <c r="Z1147" i="1" s="1"/>
  <c r="R1147" i="1"/>
  <c r="T1147" i="1" s="1"/>
  <c r="X1146" i="1"/>
  <c r="Y1146" i="1" s="1"/>
  <c r="Z1146" i="1" s="1"/>
  <c r="R1146" i="1"/>
  <c r="T1146" i="1" s="1"/>
  <c r="X1145" i="1"/>
  <c r="Y1145" i="1" s="1"/>
  <c r="Z1145" i="1" s="1"/>
  <c r="R1145" i="1"/>
  <c r="T1145" i="1" s="1"/>
  <c r="X1144" i="1"/>
  <c r="Y1144" i="1" s="1"/>
  <c r="Z1144" i="1" s="1"/>
  <c r="R1144" i="1"/>
  <c r="T1144" i="1" s="1"/>
  <c r="X1143" i="1"/>
  <c r="Y1143" i="1" s="1"/>
  <c r="Z1143" i="1" s="1"/>
  <c r="R1143" i="1"/>
  <c r="T1143" i="1" s="1"/>
  <c r="X1142" i="1"/>
  <c r="Y1142" i="1" s="1"/>
  <c r="Z1142" i="1" s="1"/>
  <c r="R1142" i="1"/>
  <c r="T1142" i="1" s="1"/>
  <c r="X1141" i="1"/>
  <c r="Y1141" i="1" s="1"/>
  <c r="Z1141" i="1" s="1"/>
  <c r="R1141" i="1"/>
  <c r="T1141" i="1" s="1"/>
  <c r="X1140" i="1"/>
  <c r="Y1140" i="1" s="1"/>
  <c r="Z1140" i="1" s="1"/>
  <c r="R1140" i="1"/>
  <c r="T1140" i="1" s="1"/>
  <c r="X1139" i="1"/>
  <c r="Y1139" i="1" s="1"/>
  <c r="Z1139" i="1" s="1"/>
  <c r="R1139" i="1"/>
  <c r="T1139" i="1" s="1"/>
  <c r="X1138" i="1"/>
  <c r="Y1138" i="1" s="1"/>
  <c r="Z1138" i="1" s="1"/>
  <c r="R1138" i="1"/>
  <c r="T1138" i="1" s="1"/>
  <c r="X1137" i="1"/>
  <c r="Y1137" i="1" s="1"/>
  <c r="Z1137" i="1" s="1"/>
  <c r="R1137" i="1"/>
  <c r="T1137" i="1" s="1"/>
  <c r="X1136" i="1"/>
  <c r="Y1136" i="1" s="1"/>
  <c r="Z1136" i="1" s="1"/>
  <c r="R1136" i="1"/>
  <c r="T1136" i="1" s="1"/>
  <c r="X1135" i="1"/>
  <c r="Y1135" i="1" s="1"/>
  <c r="Z1135" i="1" s="1"/>
  <c r="R1135" i="1"/>
  <c r="T1135" i="1" s="1"/>
  <c r="X1134" i="1"/>
  <c r="Y1134" i="1" s="1"/>
  <c r="Z1134" i="1" s="1"/>
  <c r="R1134" i="1"/>
  <c r="T1134" i="1" s="1"/>
  <c r="X1133" i="1"/>
  <c r="Y1133" i="1" s="1"/>
  <c r="Z1133" i="1" s="1"/>
  <c r="R1133" i="1"/>
  <c r="T1133" i="1" s="1"/>
  <c r="X1132" i="1"/>
  <c r="Y1132" i="1" s="1"/>
  <c r="Z1132" i="1" s="1"/>
  <c r="R1132" i="1"/>
  <c r="T1132" i="1" s="1"/>
  <c r="X1131" i="1"/>
  <c r="Y1131" i="1" s="1"/>
  <c r="Z1131" i="1" s="1"/>
  <c r="R1131" i="1"/>
  <c r="T1131" i="1" s="1"/>
  <c r="X1130" i="1"/>
  <c r="Y1130" i="1" s="1"/>
  <c r="Z1130" i="1" s="1"/>
  <c r="R1130" i="1"/>
  <c r="T1130" i="1" s="1"/>
  <c r="X1129" i="1"/>
  <c r="Y1129" i="1" s="1"/>
  <c r="Z1129" i="1" s="1"/>
  <c r="R1129" i="1"/>
  <c r="T1129" i="1" s="1"/>
  <c r="X1128" i="1"/>
  <c r="Y1128" i="1" s="1"/>
  <c r="Z1128" i="1" s="1"/>
  <c r="R1128" i="1"/>
  <c r="T1128" i="1" s="1"/>
  <c r="X1127" i="1"/>
  <c r="Y1127" i="1" s="1"/>
  <c r="Z1127" i="1" s="1"/>
  <c r="R1127" i="1"/>
  <c r="T1127" i="1" s="1"/>
  <c r="X1126" i="1"/>
  <c r="Y1126" i="1" s="1"/>
  <c r="Z1126" i="1" s="1"/>
  <c r="R1126" i="1"/>
  <c r="T1126" i="1" s="1"/>
  <c r="X1125" i="1"/>
  <c r="Y1125" i="1" s="1"/>
  <c r="Z1125" i="1" s="1"/>
  <c r="R1125" i="1"/>
  <c r="T1125" i="1" s="1"/>
  <c r="X1124" i="1"/>
  <c r="Y1124" i="1" s="1"/>
  <c r="Z1124" i="1" s="1"/>
  <c r="R1124" i="1"/>
  <c r="T1124" i="1" s="1"/>
  <c r="X1123" i="1"/>
  <c r="Y1123" i="1" s="1"/>
  <c r="Z1123" i="1" s="1"/>
  <c r="R1123" i="1"/>
  <c r="T1123" i="1" s="1"/>
  <c r="X1122" i="1"/>
  <c r="Y1122" i="1" s="1"/>
  <c r="Z1122" i="1" s="1"/>
  <c r="R1122" i="1"/>
  <c r="T1122" i="1" s="1"/>
  <c r="X1121" i="1"/>
  <c r="Y1121" i="1" s="1"/>
  <c r="Z1121" i="1" s="1"/>
  <c r="R1121" i="1"/>
  <c r="T1121" i="1" s="1"/>
  <c r="X1120" i="1"/>
  <c r="Y1120" i="1" s="1"/>
  <c r="Z1120" i="1" s="1"/>
  <c r="R1120" i="1"/>
  <c r="T1120" i="1" s="1"/>
  <c r="H1119" i="1"/>
  <c r="H1161" i="1" s="1"/>
  <c r="H1166" i="1" s="1"/>
  <c r="H1208" i="1" s="1"/>
  <c r="H1214" i="1" s="1"/>
  <c r="H1256" i="1" s="1"/>
  <c r="H1262" i="1" s="1"/>
  <c r="H1289" i="1" s="1"/>
  <c r="X1116" i="1"/>
  <c r="Y1116" i="1" s="1"/>
  <c r="X1115" i="1"/>
  <c r="Y1115" i="1" s="1"/>
  <c r="X1112" i="1"/>
  <c r="Y1112" i="1" s="1"/>
  <c r="Z1112" i="1" s="1"/>
  <c r="R1112" i="1"/>
  <c r="T1112" i="1" s="1"/>
  <c r="X1111" i="1"/>
  <c r="Y1111" i="1" s="1"/>
  <c r="Z1111" i="1" s="1"/>
  <c r="R1111" i="1"/>
  <c r="T1111" i="1" s="1"/>
  <c r="X1110" i="1"/>
  <c r="Y1110" i="1" s="1"/>
  <c r="Z1110" i="1" s="1"/>
  <c r="R1110" i="1"/>
  <c r="T1110" i="1" s="1"/>
  <c r="X1109" i="1"/>
  <c r="Y1109" i="1" s="1"/>
  <c r="Z1109" i="1" s="1"/>
  <c r="R1109" i="1"/>
  <c r="T1109" i="1" s="1"/>
  <c r="X1108" i="1"/>
  <c r="Y1108" i="1" s="1"/>
  <c r="Z1108" i="1" s="1"/>
  <c r="R1108" i="1"/>
  <c r="T1108" i="1" s="1"/>
  <c r="X1107" i="1"/>
  <c r="Y1107" i="1" s="1"/>
  <c r="Z1107" i="1" s="1"/>
  <c r="R1107" i="1"/>
  <c r="T1107" i="1" s="1"/>
  <c r="X1106" i="1"/>
  <c r="Y1106" i="1" s="1"/>
  <c r="Z1106" i="1" s="1"/>
  <c r="R1106" i="1"/>
  <c r="T1106" i="1" s="1"/>
  <c r="X1105" i="1"/>
  <c r="Y1105" i="1" s="1"/>
  <c r="Z1105" i="1" s="1"/>
  <c r="R1105" i="1"/>
  <c r="T1105" i="1" s="1"/>
  <c r="X1104" i="1"/>
  <c r="Y1104" i="1" s="1"/>
  <c r="Z1104" i="1" s="1"/>
  <c r="R1104" i="1"/>
  <c r="T1104" i="1" s="1"/>
  <c r="X1103" i="1"/>
  <c r="Y1103" i="1" s="1"/>
  <c r="Z1103" i="1" s="1"/>
  <c r="R1103" i="1"/>
  <c r="T1103" i="1" s="1"/>
  <c r="X1102" i="1"/>
  <c r="Y1102" i="1" s="1"/>
  <c r="Z1102" i="1" s="1"/>
  <c r="R1102" i="1"/>
  <c r="T1102" i="1" s="1"/>
  <c r="X1101" i="1"/>
  <c r="Y1101" i="1" s="1"/>
  <c r="Z1101" i="1" s="1"/>
  <c r="R1101" i="1"/>
  <c r="T1101" i="1" s="1"/>
  <c r="X1100" i="1"/>
  <c r="Y1100" i="1" s="1"/>
  <c r="Z1100" i="1" s="1"/>
  <c r="R1100" i="1"/>
  <c r="T1100" i="1" s="1"/>
  <c r="X1099" i="1"/>
  <c r="Y1099" i="1" s="1"/>
  <c r="Z1099" i="1" s="1"/>
  <c r="R1099" i="1"/>
  <c r="T1099" i="1" s="1"/>
  <c r="X1098" i="1"/>
  <c r="Y1098" i="1" s="1"/>
  <c r="Z1098" i="1" s="1"/>
  <c r="R1098" i="1"/>
  <c r="T1098" i="1" s="1"/>
  <c r="X1097" i="1"/>
  <c r="Y1097" i="1" s="1"/>
  <c r="Z1097" i="1" s="1"/>
  <c r="R1097" i="1"/>
  <c r="T1097" i="1" s="1"/>
  <c r="X1096" i="1"/>
  <c r="Y1096" i="1" s="1"/>
  <c r="Z1096" i="1" s="1"/>
  <c r="R1096" i="1"/>
  <c r="T1096" i="1" s="1"/>
  <c r="X1095" i="1"/>
  <c r="Y1095" i="1" s="1"/>
  <c r="Z1095" i="1" s="1"/>
  <c r="R1095" i="1"/>
  <c r="T1095" i="1" s="1"/>
  <c r="X1094" i="1"/>
  <c r="Y1094" i="1" s="1"/>
  <c r="Z1094" i="1" s="1"/>
  <c r="R1094" i="1"/>
  <c r="T1094" i="1" s="1"/>
  <c r="X1093" i="1"/>
  <c r="Y1093" i="1" s="1"/>
  <c r="Z1093" i="1" s="1"/>
  <c r="R1093" i="1"/>
  <c r="T1093" i="1" s="1"/>
  <c r="X1092" i="1"/>
  <c r="Y1092" i="1" s="1"/>
  <c r="Z1092" i="1" s="1"/>
  <c r="R1092" i="1"/>
  <c r="T1092" i="1" s="1"/>
  <c r="X1091" i="1"/>
  <c r="Y1091" i="1" s="1"/>
  <c r="Z1091" i="1" s="1"/>
  <c r="R1091" i="1"/>
  <c r="T1091" i="1" s="1"/>
  <c r="X1090" i="1"/>
  <c r="Y1090" i="1" s="1"/>
  <c r="Z1090" i="1" s="1"/>
  <c r="R1090" i="1"/>
  <c r="T1090" i="1" s="1"/>
  <c r="X1089" i="1"/>
  <c r="Y1089" i="1" s="1"/>
  <c r="Z1089" i="1" s="1"/>
  <c r="R1089" i="1"/>
  <c r="T1089" i="1" s="1"/>
  <c r="X1088" i="1"/>
  <c r="Y1088" i="1" s="1"/>
  <c r="Z1088" i="1" s="1"/>
  <c r="R1088" i="1"/>
  <c r="T1088" i="1" s="1"/>
  <c r="X1087" i="1"/>
  <c r="Y1087" i="1" s="1"/>
  <c r="Z1087" i="1" s="1"/>
  <c r="R1087" i="1"/>
  <c r="T1087" i="1" s="1"/>
  <c r="X1086" i="1"/>
  <c r="Y1086" i="1" s="1"/>
  <c r="Z1086" i="1" s="1"/>
  <c r="R1086" i="1"/>
  <c r="T1086" i="1" s="1"/>
  <c r="X1085" i="1"/>
  <c r="Y1085" i="1" s="1"/>
  <c r="Z1085" i="1" s="1"/>
  <c r="R1085" i="1"/>
  <c r="T1085" i="1" s="1"/>
  <c r="X1084" i="1"/>
  <c r="Y1084" i="1" s="1"/>
  <c r="Z1084" i="1" s="1"/>
  <c r="R1084" i="1"/>
  <c r="T1084" i="1" s="1"/>
  <c r="X1083" i="1"/>
  <c r="Y1083" i="1" s="1"/>
  <c r="Z1083" i="1" s="1"/>
  <c r="R1083" i="1"/>
  <c r="T1083" i="1" s="1"/>
  <c r="X1082" i="1"/>
  <c r="Y1082" i="1" s="1"/>
  <c r="Z1082" i="1" s="1"/>
  <c r="R1082" i="1"/>
  <c r="T1082" i="1" s="1"/>
  <c r="X1081" i="1"/>
  <c r="Y1081" i="1" s="1"/>
  <c r="Z1081" i="1" s="1"/>
  <c r="R1081" i="1"/>
  <c r="T1081" i="1" s="1"/>
  <c r="X1080" i="1"/>
  <c r="Y1080" i="1" s="1"/>
  <c r="Z1080" i="1" s="1"/>
  <c r="R1080" i="1"/>
  <c r="T1080" i="1" s="1"/>
  <c r="X1079" i="1"/>
  <c r="Y1079" i="1" s="1"/>
  <c r="Z1079" i="1" s="1"/>
  <c r="R1079" i="1"/>
  <c r="T1079" i="1" s="1"/>
  <c r="X1078" i="1"/>
  <c r="Y1078" i="1" s="1"/>
  <c r="Z1078" i="1" s="1"/>
  <c r="R1078" i="1"/>
  <c r="T1078" i="1" s="1"/>
  <c r="X1077" i="1"/>
  <c r="Y1077" i="1" s="1"/>
  <c r="Z1077" i="1" s="1"/>
  <c r="R1077" i="1"/>
  <c r="T1077" i="1" s="1"/>
  <c r="X1076" i="1"/>
  <c r="Y1076" i="1" s="1"/>
  <c r="Z1076" i="1" s="1"/>
  <c r="R1076" i="1"/>
  <c r="T1076" i="1" s="1"/>
  <c r="X1075" i="1"/>
  <c r="Y1075" i="1" s="1"/>
  <c r="Z1075" i="1" s="1"/>
  <c r="R1075" i="1"/>
  <c r="T1075" i="1" s="1"/>
  <c r="X1074" i="1"/>
  <c r="Y1074" i="1" s="1"/>
  <c r="Z1074" i="1" s="1"/>
  <c r="R1074" i="1"/>
  <c r="T1074" i="1" s="1"/>
  <c r="X1073" i="1"/>
  <c r="Y1073" i="1" s="1"/>
  <c r="Z1073" i="1" s="1"/>
  <c r="R1073" i="1"/>
  <c r="T1073" i="1" s="1"/>
  <c r="X1071" i="1"/>
  <c r="Y1071" i="1" s="1"/>
  <c r="X1069" i="1"/>
  <c r="Y1069" i="1" s="1"/>
  <c r="X1068" i="1"/>
  <c r="Y1068" i="1" s="1"/>
  <c r="Q1067" i="1"/>
  <c r="Q1072" i="1" s="1"/>
  <c r="Q1114" i="1" s="1"/>
  <c r="Q1119" i="1" s="1"/>
  <c r="Q1161" i="1" s="1"/>
  <c r="Q1166" i="1" s="1"/>
  <c r="Q1208" i="1" s="1"/>
  <c r="Q1214" i="1" s="1"/>
  <c r="Q1256" i="1" s="1"/>
  <c r="Q1262" i="1" s="1"/>
  <c r="Q1289" i="1" s="1"/>
  <c r="P1067" i="1"/>
  <c r="P1072" i="1" s="1"/>
  <c r="P1114" i="1" s="1"/>
  <c r="P1119" i="1" s="1"/>
  <c r="P1161" i="1" s="1"/>
  <c r="P1166" i="1" s="1"/>
  <c r="P1208" i="1" s="1"/>
  <c r="P1214" i="1" s="1"/>
  <c r="P1256" i="1" s="1"/>
  <c r="P1262" i="1" s="1"/>
  <c r="P1289" i="1" s="1"/>
  <c r="O1067" i="1"/>
  <c r="O1072" i="1" s="1"/>
  <c r="O1114" i="1" s="1"/>
  <c r="O1119" i="1" s="1"/>
  <c r="O1161" i="1" s="1"/>
  <c r="O1166" i="1" s="1"/>
  <c r="O1208" i="1" s="1"/>
  <c r="O1214" i="1" s="1"/>
  <c r="O1256" i="1" s="1"/>
  <c r="O1262" i="1" s="1"/>
  <c r="O1289" i="1" s="1"/>
  <c r="N1067" i="1"/>
  <c r="N1072" i="1" s="1"/>
  <c r="N1114" i="1" s="1"/>
  <c r="N1119" i="1" s="1"/>
  <c r="N1161" i="1" s="1"/>
  <c r="N1166" i="1" s="1"/>
  <c r="N1208" i="1" s="1"/>
  <c r="N1214" i="1" s="1"/>
  <c r="N1256" i="1" s="1"/>
  <c r="N1262" i="1" s="1"/>
  <c r="N1289" i="1" s="1"/>
  <c r="M1067" i="1"/>
  <c r="L1067" i="1"/>
  <c r="L1072" i="1" s="1"/>
  <c r="L1114" i="1" s="1"/>
  <c r="L1119" i="1" s="1"/>
  <c r="L1161" i="1" s="1"/>
  <c r="L1166" i="1" s="1"/>
  <c r="L1208" i="1" s="1"/>
  <c r="L1214" i="1" s="1"/>
  <c r="L1256" i="1" s="1"/>
  <c r="L1262" i="1" s="1"/>
  <c r="L1289" i="1" s="1"/>
  <c r="I1067" i="1"/>
  <c r="I1072" i="1" s="1"/>
  <c r="I1114" i="1" s="1"/>
  <c r="I1119" i="1" s="1"/>
  <c r="I1161" i="1" s="1"/>
  <c r="I1166" i="1" s="1"/>
  <c r="I1208" i="1" s="1"/>
  <c r="I1214" i="1" s="1"/>
  <c r="I1256" i="1" s="1"/>
  <c r="I1262" i="1" s="1"/>
  <c r="I1289" i="1" s="1"/>
  <c r="H1067" i="1"/>
  <c r="H1072" i="1" s="1"/>
  <c r="G1067" i="1"/>
  <c r="G1072" i="1" s="1"/>
  <c r="G1114" i="1" s="1"/>
  <c r="G1119" i="1" s="1"/>
  <c r="G1161" i="1" s="1"/>
  <c r="G1166" i="1" s="1"/>
  <c r="G1208" i="1" s="1"/>
  <c r="G1214" i="1" s="1"/>
  <c r="G1256" i="1" s="1"/>
  <c r="G1262" i="1" s="1"/>
  <c r="G1289" i="1" s="1"/>
  <c r="F1337" i="1" s="1"/>
  <c r="X1066" i="1"/>
  <c r="Y1066" i="1" s="1"/>
  <c r="X1065" i="1"/>
  <c r="Y1065" i="1" s="1"/>
  <c r="Z1065" i="1" s="1"/>
  <c r="R1065" i="1"/>
  <c r="T1065" i="1" s="1"/>
  <c r="X1064" i="1"/>
  <c r="Y1064" i="1" s="1"/>
  <c r="Z1064" i="1" s="1"/>
  <c r="R1064" i="1"/>
  <c r="T1064" i="1" s="1"/>
  <c r="X1063" i="1"/>
  <c r="Y1063" i="1" s="1"/>
  <c r="Z1063" i="1" s="1"/>
  <c r="R1063" i="1"/>
  <c r="T1063" i="1" s="1"/>
  <c r="X1062" i="1"/>
  <c r="Y1062" i="1" s="1"/>
  <c r="Z1062" i="1" s="1"/>
  <c r="R1062" i="1"/>
  <c r="T1062" i="1" s="1"/>
  <c r="X1061" i="1"/>
  <c r="Y1061" i="1" s="1"/>
  <c r="Z1061" i="1" s="1"/>
  <c r="R1061" i="1"/>
  <c r="T1061" i="1" s="1"/>
  <c r="X1060" i="1"/>
  <c r="Y1060" i="1" s="1"/>
  <c r="Z1060" i="1" s="1"/>
  <c r="R1060" i="1"/>
  <c r="T1060" i="1" s="1"/>
  <c r="X1059" i="1"/>
  <c r="Y1059" i="1" s="1"/>
  <c r="Z1059" i="1" s="1"/>
  <c r="R1059" i="1"/>
  <c r="T1059" i="1" s="1"/>
  <c r="X1058" i="1"/>
  <c r="Y1058" i="1" s="1"/>
  <c r="Z1058" i="1" s="1"/>
  <c r="R1058" i="1"/>
  <c r="T1058" i="1" s="1"/>
  <c r="X1057" i="1"/>
  <c r="Y1057" i="1" s="1"/>
  <c r="Z1057" i="1" s="1"/>
  <c r="R1057" i="1"/>
  <c r="T1057" i="1" s="1"/>
  <c r="X1056" i="1"/>
  <c r="Y1056" i="1" s="1"/>
  <c r="Z1056" i="1" s="1"/>
  <c r="R1056" i="1"/>
  <c r="T1056" i="1" s="1"/>
  <c r="X1055" i="1"/>
  <c r="Y1055" i="1" s="1"/>
  <c r="Z1055" i="1" s="1"/>
  <c r="R1055" i="1"/>
  <c r="T1055" i="1" s="1"/>
  <c r="X1054" i="1"/>
  <c r="Y1054" i="1" s="1"/>
  <c r="Z1054" i="1" s="1"/>
  <c r="R1054" i="1"/>
  <c r="T1054" i="1" s="1"/>
  <c r="X1053" i="1"/>
  <c r="Y1053" i="1" s="1"/>
  <c r="Z1053" i="1" s="1"/>
  <c r="R1053" i="1"/>
  <c r="T1053" i="1" s="1"/>
  <c r="X1052" i="1"/>
  <c r="Y1052" i="1" s="1"/>
  <c r="Z1052" i="1" s="1"/>
  <c r="R1052" i="1"/>
  <c r="T1052" i="1" s="1"/>
  <c r="X1051" i="1"/>
  <c r="Y1051" i="1" s="1"/>
  <c r="Z1051" i="1" s="1"/>
  <c r="R1051" i="1"/>
  <c r="T1051" i="1" s="1"/>
  <c r="X1050" i="1"/>
  <c r="Y1050" i="1" s="1"/>
  <c r="Z1050" i="1" s="1"/>
  <c r="R1050" i="1"/>
  <c r="T1050" i="1" s="1"/>
  <c r="X1049" i="1"/>
  <c r="Y1049" i="1" s="1"/>
  <c r="Z1049" i="1" s="1"/>
  <c r="R1049" i="1"/>
  <c r="T1049" i="1" s="1"/>
  <c r="X1048" i="1"/>
  <c r="Y1048" i="1" s="1"/>
  <c r="Z1048" i="1" s="1"/>
  <c r="R1048" i="1"/>
  <c r="T1048" i="1" s="1"/>
  <c r="X1047" i="1"/>
  <c r="Y1047" i="1" s="1"/>
  <c r="Z1047" i="1" s="1"/>
  <c r="R1047" i="1"/>
  <c r="T1047" i="1" s="1"/>
  <c r="X1046" i="1"/>
  <c r="Y1046" i="1" s="1"/>
  <c r="Z1046" i="1" s="1"/>
  <c r="R1046" i="1"/>
  <c r="T1046" i="1" s="1"/>
  <c r="X1045" i="1"/>
  <c r="Y1045" i="1" s="1"/>
  <c r="Z1045" i="1" s="1"/>
  <c r="R1045" i="1"/>
  <c r="T1045" i="1" s="1"/>
  <c r="X1044" i="1"/>
  <c r="Y1044" i="1" s="1"/>
  <c r="Z1044" i="1" s="1"/>
  <c r="R1044" i="1"/>
  <c r="T1044" i="1" s="1"/>
  <c r="X1043" i="1"/>
  <c r="Y1043" i="1" s="1"/>
  <c r="Z1043" i="1" s="1"/>
  <c r="R1043" i="1"/>
  <c r="T1043" i="1" s="1"/>
  <c r="X1042" i="1"/>
  <c r="Y1042" i="1" s="1"/>
  <c r="Z1042" i="1" s="1"/>
  <c r="R1042" i="1"/>
  <c r="T1042" i="1" s="1"/>
  <c r="X1041" i="1"/>
  <c r="Y1041" i="1" s="1"/>
  <c r="Z1041" i="1" s="1"/>
  <c r="R1041" i="1"/>
  <c r="T1041" i="1" s="1"/>
  <c r="X1040" i="1"/>
  <c r="Y1040" i="1" s="1"/>
  <c r="Z1040" i="1" s="1"/>
  <c r="R1040" i="1"/>
  <c r="T1040" i="1" s="1"/>
  <c r="X1039" i="1"/>
  <c r="Y1039" i="1" s="1"/>
  <c r="Z1039" i="1" s="1"/>
  <c r="R1039" i="1"/>
  <c r="T1039" i="1" s="1"/>
  <c r="X1038" i="1"/>
  <c r="Y1038" i="1" s="1"/>
  <c r="Z1038" i="1" s="1"/>
  <c r="R1038" i="1"/>
  <c r="T1038" i="1" s="1"/>
  <c r="X1037" i="1"/>
  <c r="Y1037" i="1" s="1"/>
  <c r="Z1037" i="1" s="1"/>
  <c r="R1037" i="1"/>
  <c r="T1037" i="1" s="1"/>
  <c r="X1036" i="1"/>
  <c r="Y1036" i="1" s="1"/>
  <c r="Z1036" i="1" s="1"/>
  <c r="R1036" i="1"/>
  <c r="T1036" i="1" s="1"/>
  <c r="X1035" i="1"/>
  <c r="Y1035" i="1" s="1"/>
  <c r="Z1035" i="1" s="1"/>
  <c r="R1035" i="1"/>
  <c r="T1035" i="1" s="1"/>
  <c r="X1034" i="1"/>
  <c r="Y1034" i="1" s="1"/>
  <c r="Z1034" i="1" s="1"/>
  <c r="R1034" i="1"/>
  <c r="T1034" i="1" s="1"/>
  <c r="X1033" i="1"/>
  <c r="Y1033" i="1" s="1"/>
  <c r="Z1033" i="1" s="1"/>
  <c r="R1033" i="1"/>
  <c r="T1033" i="1" s="1"/>
  <c r="X1032" i="1"/>
  <c r="Y1032" i="1" s="1"/>
  <c r="Z1032" i="1" s="1"/>
  <c r="R1032" i="1"/>
  <c r="T1032" i="1" s="1"/>
  <c r="X1031" i="1"/>
  <c r="Y1031" i="1" s="1"/>
  <c r="Z1031" i="1" s="1"/>
  <c r="R1031" i="1"/>
  <c r="T1031" i="1" s="1"/>
  <c r="X1030" i="1"/>
  <c r="Y1030" i="1" s="1"/>
  <c r="Z1030" i="1" s="1"/>
  <c r="R1030" i="1"/>
  <c r="T1030" i="1" s="1"/>
  <c r="X1029" i="1"/>
  <c r="Y1029" i="1" s="1"/>
  <c r="Z1029" i="1" s="1"/>
  <c r="R1029" i="1"/>
  <c r="T1029" i="1" s="1"/>
  <c r="X1028" i="1"/>
  <c r="Y1028" i="1" s="1"/>
  <c r="Z1028" i="1" s="1"/>
  <c r="R1028" i="1"/>
  <c r="T1028" i="1" s="1"/>
  <c r="X1027" i="1"/>
  <c r="Y1027" i="1" s="1"/>
  <c r="Z1027" i="1" s="1"/>
  <c r="R1027" i="1"/>
  <c r="T1027" i="1" s="1"/>
  <c r="X1026" i="1"/>
  <c r="Y1026" i="1" s="1"/>
  <c r="Z1026" i="1" s="1"/>
  <c r="R1026" i="1"/>
  <c r="T1026" i="1" s="1"/>
  <c r="X1025" i="1"/>
  <c r="Y1025" i="1" s="1"/>
  <c r="X1023" i="1"/>
  <c r="Y1023" i="1" s="1"/>
  <c r="X1022" i="1"/>
  <c r="Y1022" i="1" s="1"/>
  <c r="X1021" i="1"/>
  <c r="Y1021" i="1" s="1"/>
  <c r="V1020" i="1"/>
  <c r="R1018" i="1"/>
  <c r="T1018" i="1" s="1"/>
  <c r="C1018" i="1"/>
  <c r="X1017" i="1"/>
  <c r="Y1017" i="1" s="1"/>
  <c r="Z1017" i="1" s="1"/>
  <c r="R1017" i="1"/>
  <c r="T1017" i="1" s="1"/>
  <c r="X1016" i="1"/>
  <c r="Y1016" i="1" s="1"/>
  <c r="Z1016" i="1" s="1"/>
  <c r="R1016" i="1"/>
  <c r="T1016" i="1" s="1"/>
  <c r="X1015" i="1"/>
  <c r="Y1015" i="1" s="1"/>
  <c r="Z1015" i="1" s="1"/>
  <c r="R1015" i="1"/>
  <c r="T1015" i="1" s="1"/>
  <c r="X1014" i="1"/>
  <c r="Y1014" i="1" s="1"/>
  <c r="Z1014" i="1" s="1"/>
  <c r="R1014" i="1"/>
  <c r="T1014" i="1" s="1"/>
  <c r="X1013" i="1"/>
  <c r="Y1013" i="1" s="1"/>
  <c r="Z1013" i="1" s="1"/>
  <c r="R1013" i="1"/>
  <c r="T1013" i="1" s="1"/>
  <c r="X1012" i="1"/>
  <c r="Y1012" i="1" s="1"/>
  <c r="Z1012" i="1" s="1"/>
  <c r="R1012" i="1"/>
  <c r="T1012" i="1" s="1"/>
  <c r="X1011" i="1"/>
  <c r="Y1011" i="1" s="1"/>
  <c r="Z1011" i="1" s="1"/>
  <c r="R1011" i="1"/>
  <c r="T1011" i="1" s="1"/>
  <c r="X1010" i="1"/>
  <c r="Y1010" i="1" s="1"/>
  <c r="Z1010" i="1" s="1"/>
  <c r="R1010" i="1"/>
  <c r="T1010" i="1" s="1"/>
  <c r="X1009" i="1"/>
  <c r="Y1009" i="1" s="1"/>
  <c r="Z1009" i="1" s="1"/>
  <c r="R1009" i="1"/>
  <c r="T1009" i="1" s="1"/>
  <c r="X1008" i="1"/>
  <c r="Y1008" i="1" s="1"/>
  <c r="Z1008" i="1" s="1"/>
  <c r="R1008" i="1"/>
  <c r="T1008" i="1" s="1"/>
  <c r="X1007" i="1"/>
  <c r="Y1007" i="1" s="1"/>
  <c r="Z1007" i="1" s="1"/>
  <c r="R1007" i="1"/>
  <c r="T1007" i="1" s="1"/>
  <c r="X1006" i="1"/>
  <c r="Y1006" i="1" s="1"/>
  <c r="Z1006" i="1" s="1"/>
  <c r="R1006" i="1"/>
  <c r="T1006" i="1" s="1"/>
  <c r="X1005" i="1"/>
  <c r="Y1005" i="1" s="1"/>
  <c r="Z1005" i="1" s="1"/>
  <c r="R1005" i="1"/>
  <c r="T1005" i="1" s="1"/>
  <c r="X1004" i="1"/>
  <c r="Y1004" i="1" s="1"/>
  <c r="Z1004" i="1" s="1"/>
  <c r="R1004" i="1"/>
  <c r="T1004" i="1" s="1"/>
  <c r="X1003" i="1"/>
  <c r="Y1003" i="1" s="1"/>
  <c r="Z1003" i="1" s="1"/>
  <c r="R1003" i="1"/>
  <c r="T1003" i="1" s="1"/>
  <c r="X1002" i="1"/>
  <c r="Y1002" i="1" s="1"/>
  <c r="Z1002" i="1" s="1"/>
  <c r="R1002" i="1"/>
  <c r="T1002" i="1" s="1"/>
  <c r="X1001" i="1"/>
  <c r="Y1001" i="1" s="1"/>
  <c r="Z1001" i="1" s="1"/>
  <c r="R1001" i="1"/>
  <c r="T1001" i="1" s="1"/>
  <c r="X1000" i="1"/>
  <c r="Y1000" i="1" s="1"/>
  <c r="Z1000" i="1" s="1"/>
  <c r="R1000" i="1"/>
  <c r="T1000" i="1" s="1"/>
  <c r="X999" i="1"/>
  <c r="Y999" i="1" s="1"/>
  <c r="Z999" i="1" s="1"/>
  <c r="R999" i="1"/>
  <c r="T999" i="1" s="1"/>
  <c r="X998" i="1"/>
  <c r="Y998" i="1" s="1"/>
  <c r="Z998" i="1" s="1"/>
  <c r="R998" i="1"/>
  <c r="T998" i="1" s="1"/>
  <c r="X997" i="1"/>
  <c r="Y997" i="1" s="1"/>
  <c r="Z997" i="1" s="1"/>
  <c r="R997" i="1"/>
  <c r="T997" i="1" s="1"/>
  <c r="X996" i="1"/>
  <c r="Y996" i="1" s="1"/>
  <c r="Z996" i="1" s="1"/>
  <c r="R996" i="1"/>
  <c r="T996" i="1" s="1"/>
  <c r="X995" i="1"/>
  <c r="Y995" i="1" s="1"/>
  <c r="Z995" i="1" s="1"/>
  <c r="R995" i="1"/>
  <c r="T995" i="1" s="1"/>
  <c r="X994" i="1"/>
  <c r="Y994" i="1" s="1"/>
  <c r="Z994" i="1" s="1"/>
  <c r="R994" i="1"/>
  <c r="T994" i="1" s="1"/>
  <c r="X993" i="1"/>
  <c r="Y993" i="1" s="1"/>
  <c r="Z993" i="1" s="1"/>
  <c r="R993" i="1"/>
  <c r="T993" i="1" s="1"/>
  <c r="X992" i="1"/>
  <c r="Y992" i="1" s="1"/>
  <c r="Z992" i="1" s="1"/>
  <c r="R992" i="1"/>
  <c r="T992" i="1" s="1"/>
  <c r="X991" i="1"/>
  <c r="Y991" i="1" s="1"/>
  <c r="Z991" i="1" s="1"/>
  <c r="R991" i="1"/>
  <c r="T991" i="1" s="1"/>
  <c r="X990" i="1"/>
  <c r="Y990" i="1" s="1"/>
  <c r="Z990" i="1" s="1"/>
  <c r="R990" i="1"/>
  <c r="T990" i="1" s="1"/>
  <c r="X989" i="1"/>
  <c r="Y989" i="1" s="1"/>
  <c r="Z989" i="1" s="1"/>
  <c r="R989" i="1"/>
  <c r="T989" i="1" s="1"/>
  <c r="X988" i="1"/>
  <c r="Y988" i="1" s="1"/>
  <c r="Z988" i="1" s="1"/>
  <c r="R988" i="1"/>
  <c r="T988" i="1" s="1"/>
  <c r="X987" i="1"/>
  <c r="Y987" i="1" s="1"/>
  <c r="Z987" i="1" s="1"/>
  <c r="R987" i="1"/>
  <c r="T987" i="1" s="1"/>
  <c r="X986" i="1"/>
  <c r="Y986" i="1" s="1"/>
  <c r="Z986" i="1" s="1"/>
  <c r="R986" i="1"/>
  <c r="T986" i="1" s="1"/>
  <c r="X985" i="1"/>
  <c r="Y985" i="1" s="1"/>
  <c r="Z985" i="1" s="1"/>
  <c r="R985" i="1"/>
  <c r="T985" i="1" s="1"/>
  <c r="X984" i="1"/>
  <c r="Y984" i="1" s="1"/>
  <c r="Z984" i="1" s="1"/>
  <c r="R984" i="1"/>
  <c r="T984" i="1" s="1"/>
  <c r="X982" i="1"/>
  <c r="Y982" i="1" s="1"/>
  <c r="X980" i="1"/>
  <c r="Y980" i="1" s="1"/>
  <c r="X979" i="1"/>
  <c r="Y979" i="1" s="1"/>
  <c r="X976" i="1"/>
  <c r="Y976" i="1" s="1"/>
  <c r="Z976" i="1" s="1"/>
  <c r="R976" i="1"/>
  <c r="T976" i="1" s="1"/>
  <c r="X975" i="1"/>
  <c r="Y975" i="1" s="1"/>
  <c r="Z975" i="1" s="1"/>
  <c r="R975" i="1"/>
  <c r="T975" i="1" s="1"/>
  <c r="X974" i="1"/>
  <c r="Y974" i="1" s="1"/>
  <c r="Z974" i="1" s="1"/>
  <c r="R974" i="1"/>
  <c r="T974" i="1" s="1"/>
  <c r="X973" i="1"/>
  <c r="Y973" i="1" s="1"/>
  <c r="Z973" i="1" s="1"/>
  <c r="R973" i="1"/>
  <c r="T973" i="1" s="1"/>
  <c r="X972" i="1"/>
  <c r="Y972" i="1" s="1"/>
  <c r="Z972" i="1" s="1"/>
  <c r="R972" i="1"/>
  <c r="T972" i="1" s="1"/>
  <c r="X971" i="1"/>
  <c r="Y971" i="1" s="1"/>
  <c r="Z971" i="1" s="1"/>
  <c r="R971" i="1"/>
  <c r="T971" i="1" s="1"/>
  <c r="X970" i="1"/>
  <c r="Y970" i="1" s="1"/>
  <c r="Z970" i="1" s="1"/>
  <c r="R970" i="1"/>
  <c r="T970" i="1" s="1"/>
  <c r="X969" i="1"/>
  <c r="Y969" i="1" s="1"/>
  <c r="Z969" i="1" s="1"/>
  <c r="R969" i="1"/>
  <c r="T969" i="1" s="1"/>
  <c r="X968" i="1"/>
  <c r="Y968" i="1" s="1"/>
  <c r="Z968" i="1" s="1"/>
  <c r="R968" i="1"/>
  <c r="T968" i="1" s="1"/>
  <c r="X967" i="1"/>
  <c r="Y967" i="1" s="1"/>
  <c r="Z967" i="1" s="1"/>
  <c r="R967" i="1"/>
  <c r="T967" i="1" s="1"/>
  <c r="X966" i="1"/>
  <c r="Y966" i="1" s="1"/>
  <c r="Z966" i="1" s="1"/>
  <c r="R966" i="1"/>
  <c r="T966" i="1" s="1"/>
  <c r="X965" i="1"/>
  <c r="Y965" i="1" s="1"/>
  <c r="Z965" i="1" s="1"/>
  <c r="R965" i="1"/>
  <c r="T965" i="1" s="1"/>
  <c r="X964" i="1"/>
  <c r="Y964" i="1" s="1"/>
  <c r="Z964" i="1" s="1"/>
  <c r="R964" i="1"/>
  <c r="T964" i="1" s="1"/>
  <c r="X963" i="1"/>
  <c r="Y963" i="1" s="1"/>
  <c r="Z963" i="1" s="1"/>
  <c r="R963" i="1"/>
  <c r="T963" i="1" s="1"/>
  <c r="X962" i="1"/>
  <c r="Y962" i="1" s="1"/>
  <c r="Z962" i="1" s="1"/>
  <c r="R962" i="1"/>
  <c r="T962" i="1" s="1"/>
  <c r="X961" i="1"/>
  <c r="Y961" i="1" s="1"/>
  <c r="Z961" i="1" s="1"/>
  <c r="R961" i="1"/>
  <c r="T961" i="1" s="1"/>
  <c r="X960" i="1"/>
  <c r="Y960" i="1" s="1"/>
  <c r="Z960" i="1" s="1"/>
  <c r="R960" i="1"/>
  <c r="T960" i="1" s="1"/>
  <c r="X959" i="1"/>
  <c r="Y959" i="1" s="1"/>
  <c r="Z959" i="1" s="1"/>
  <c r="R959" i="1"/>
  <c r="T959" i="1" s="1"/>
  <c r="X958" i="1"/>
  <c r="Y958" i="1" s="1"/>
  <c r="Z958" i="1" s="1"/>
  <c r="R958" i="1"/>
  <c r="T958" i="1" s="1"/>
  <c r="X957" i="1"/>
  <c r="Y957" i="1" s="1"/>
  <c r="Z957" i="1" s="1"/>
  <c r="R957" i="1"/>
  <c r="T957" i="1" s="1"/>
  <c r="X956" i="1"/>
  <c r="Y956" i="1" s="1"/>
  <c r="Z956" i="1" s="1"/>
  <c r="R956" i="1"/>
  <c r="T956" i="1" s="1"/>
  <c r="X955" i="1"/>
  <c r="Y955" i="1" s="1"/>
  <c r="Z955" i="1" s="1"/>
  <c r="R955" i="1"/>
  <c r="T955" i="1" s="1"/>
  <c r="X954" i="1"/>
  <c r="Y954" i="1" s="1"/>
  <c r="Z954" i="1" s="1"/>
  <c r="R954" i="1"/>
  <c r="T954" i="1" s="1"/>
  <c r="X953" i="1"/>
  <c r="Y953" i="1" s="1"/>
  <c r="Z953" i="1" s="1"/>
  <c r="R953" i="1"/>
  <c r="T953" i="1" s="1"/>
  <c r="X952" i="1"/>
  <c r="Y952" i="1" s="1"/>
  <c r="Z952" i="1" s="1"/>
  <c r="R952" i="1"/>
  <c r="T952" i="1" s="1"/>
  <c r="X951" i="1"/>
  <c r="Y951" i="1" s="1"/>
  <c r="Z951" i="1" s="1"/>
  <c r="R951" i="1"/>
  <c r="T951" i="1" s="1"/>
  <c r="X950" i="1"/>
  <c r="Y950" i="1" s="1"/>
  <c r="Z950" i="1" s="1"/>
  <c r="R950" i="1"/>
  <c r="T950" i="1" s="1"/>
  <c r="X949" i="1"/>
  <c r="Y949" i="1" s="1"/>
  <c r="Z949" i="1" s="1"/>
  <c r="R949" i="1"/>
  <c r="T949" i="1" s="1"/>
  <c r="X948" i="1"/>
  <c r="Y948" i="1" s="1"/>
  <c r="Z948" i="1" s="1"/>
  <c r="R948" i="1"/>
  <c r="T948" i="1" s="1"/>
  <c r="X947" i="1"/>
  <c r="Y947" i="1" s="1"/>
  <c r="Z947" i="1" s="1"/>
  <c r="R947" i="1"/>
  <c r="T947" i="1" s="1"/>
  <c r="X946" i="1"/>
  <c r="Y946" i="1" s="1"/>
  <c r="Z946" i="1" s="1"/>
  <c r="R946" i="1"/>
  <c r="T946" i="1" s="1"/>
  <c r="X945" i="1"/>
  <c r="Y945" i="1" s="1"/>
  <c r="Z945" i="1" s="1"/>
  <c r="R945" i="1"/>
  <c r="T945" i="1" s="1"/>
  <c r="X944" i="1"/>
  <c r="Y944" i="1" s="1"/>
  <c r="Z944" i="1" s="1"/>
  <c r="R944" i="1"/>
  <c r="T944" i="1" s="1"/>
  <c r="X943" i="1"/>
  <c r="Y943" i="1" s="1"/>
  <c r="Z943" i="1" s="1"/>
  <c r="R943" i="1"/>
  <c r="T943" i="1" s="1"/>
  <c r="X942" i="1"/>
  <c r="Y942" i="1" s="1"/>
  <c r="Z942" i="1" s="1"/>
  <c r="R942" i="1"/>
  <c r="T942" i="1" s="1"/>
  <c r="X941" i="1"/>
  <c r="Y941" i="1" s="1"/>
  <c r="Z941" i="1" s="1"/>
  <c r="R941" i="1"/>
  <c r="T941" i="1" s="1"/>
  <c r="X940" i="1"/>
  <c r="Y940" i="1" s="1"/>
  <c r="Z940" i="1" s="1"/>
  <c r="R940" i="1"/>
  <c r="T940" i="1" s="1"/>
  <c r="X939" i="1"/>
  <c r="Y939" i="1" s="1"/>
  <c r="Z939" i="1" s="1"/>
  <c r="R939" i="1"/>
  <c r="T939" i="1" s="1"/>
  <c r="X938" i="1"/>
  <c r="Y938" i="1" s="1"/>
  <c r="Z938" i="1" s="1"/>
  <c r="R938" i="1"/>
  <c r="T938" i="1" s="1"/>
  <c r="X937" i="1"/>
  <c r="Y937" i="1" s="1"/>
  <c r="Z937" i="1" s="1"/>
  <c r="R937" i="1"/>
  <c r="T937" i="1" s="1"/>
  <c r="X935" i="1"/>
  <c r="Y935" i="1" s="1"/>
  <c r="X933" i="1"/>
  <c r="Y933" i="1" s="1"/>
  <c r="X932" i="1"/>
  <c r="Y932" i="1" s="1"/>
  <c r="X929" i="1"/>
  <c r="Y929" i="1" s="1"/>
  <c r="Z929" i="1" s="1"/>
  <c r="R929" i="1"/>
  <c r="T929" i="1" s="1"/>
  <c r="X928" i="1"/>
  <c r="Y928" i="1" s="1"/>
  <c r="Z928" i="1" s="1"/>
  <c r="R928" i="1"/>
  <c r="T928" i="1" s="1"/>
  <c r="X927" i="1"/>
  <c r="Y927" i="1" s="1"/>
  <c r="Z927" i="1" s="1"/>
  <c r="R927" i="1"/>
  <c r="T927" i="1" s="1"/>
  <c r="X926" i="1"/>
  <c r="Y926" i="1" s="1"/>
  <c r="Z926" i="1" s="1"/>
  <c r="R926" i="1"/>
  <c r="T926" i="1" s="1"/>
  <c r="X925" i="1"/>
  <c r="Y925" i="1" s="1"/>
  <c r="Z925" i="1" s="1"/>
  <c r="R925" i="1"/>
  <c r="T925" i="1" s="1"/>
  <c r="X924" i="1"/>
  <c r="Y924" i="1" s="1"/>
  <c r="Z924" i="1" s="1"/>
  <c r="R924" i="1"/>
  <c r="T924" i="1" s="1"/>
  <c r="X923" i="1"/>
  <c r="Y923" i="1" s="1"/>
  <c r="Z923" i="1" s="1"/>
  <c r="R923" i="1"/>
  <c r="T923" i="1" s="1"/>
  <c r="X922" i="1"/>
  <c r="Y922" i="1" s="1"/>
  <c r="Z922" i="1" s="1"/>
  <c r="R922" i="1"/>
  <c r="T922" i="1" s="1"/>
  <c r="X921" i="1"/>
  <c r="Y921" i="1" s="1"/>
  <c r="Z921" i="1" s="1"/>
  <c r="R921" i="1"/>
  <c r="T921" i="1" s="1"/>
  <c r="X920" i="1"/>
  <c r="Y920" i="1" s="1"/>
  <c r="Z920" i="1" s="1"/>
  <c r="R920" i="1"/>
  <c r="T920" i="1" s="1"/>
  <c r="X919" i="1"/>
  <c r="Y919" i="1" s="1"/>
  <c r="Z919" i="1" s="1"/>
  <c r="R919" i="1"/>
  <c r="T919" i="1" s="1"/>
  <c r="X918" i="1"/>
  <c r="Y918" i="1" s="1"/>
  <c r="Z918" i="1" s="1"/>
  <c r="R918" i="1"/>
  <c r="T918" i="1" s="1"/>
  <c r="X917" i="1"/>
  <c r="Y917" i="1" s="1"/>
  <c r="Z917" i="1" s="1"/>
  <c r="R917" i="1"/>
  <c r="T917" i="1" s="1"/>
  <c r="X916" i="1"/>
  <c r="Y916" i="1" s="1"/>
  <c r="Z916" i="1" s="1"/>
  <c r="R916" i="1"/>
  <c r="T916" i="1" s="1"/>
  <c r="X915" i="1"/>
  <c r="Y915" i="1" s="1"/>
  <c r="Z915" i="1" s="1"/>
  <c r="R915" i="1"/>
  <c r="T915" i="1" s="1"/>
  <c r="X914" i="1"/>
  <c r="Y914" i="1" s="1"/>
  <c r="Z914" i="1" s="1"/>
  <c r="R914" i="1"/>
  <c r="T914" i="1" s="1"/>
  <c r="X913" i="1"/>
  <c r="Y913" i="1" s="1"/>
  <c r="Z913" i="1" s="1"/>
  <c r="R913" i="1"/>
  <c r="T913" i="1" s="1"/>
  <c r="X912" i="1"/>
  <c r="Y912" i="1" s="1"/>
  <c r="Z912" i="1" s="1"/>
  <c r="R912" i="1"/>
  <c r="T912" i="1" s="1"/>
  <c r="X911" i="1"/>
  <c r="Y911" i="1" s="1"/>
  <c r="Z911" i="1" s="1"/>
  <c r="R911" i="1"/>
  <c r="T911" i="1" s="1"/>
  <c r="X910" i="1"/>
  <c r="Y910" i="1" s="1"/>
  <c r="Z910" i="1" s="1"/>
  <c r="R910" i="1"/>
  <c r="T910" i="1" s="1"/>
  <c r="X909" i="1"/>
  <c r="Y909" i="1" s="1"/>
  <c r="Z909" i="1" s="1"/>
  <c r="R909" i="1"/>
  <c r="T909" i="1" s="1"/>
  <c r="X908" i="1"/>
  <c r="Y908" i="1" s="1"/>
  <c r="Z908" i="1" s="1"/>
  <c r="R908" i="1"/>
  <c r="T908" i="1" s="1"/>
  <c r="X907" i="1"/>
  <c r="Y907" i="1" s="1"/>
  <c r="Z907" i="1" s="1"/>
  <c r="R907" i="1"/>
  <c r="T907" i="1" s="1"/>
  <c r="X906" i="1"/>
  <c r="Y906" i="1" s="1"/>
  <c r="Z906" i="1" s="1"/>
  <c r="R906" i="1"/>
  <c r="T906" i="1" s="1"/>
  <c r="X905" i="1"/>
  <c r="Y905" i="1" s="1"/>
  <c r="Z905" i="1" s="1"/>
  <c r="R905" i="1"/>
  <c r="T905" i="1" s="1"/>
  <c r="X904" i="1"/>
  <c r="Y904" i="1" s="1"/>
  <c r="Z904" i="1" s="1"/>
  <c r="R904" i="1"/>
  <c r="T904" i="1" s="1"/>
  <c r="X903" i="1"/>
  <c r="Y903" i="1" s="1"/>
  <c r="Z903" i="1" s="1"/>
  <c r="R903" i="1"/>
  <c r="T903" i="1" s="1"/>
  <c r="X902" i="1"/>
  <c r="Y902" i="1" s="1"/>
  <c r="Z902" i="1" s="1"/>
  <c r="R902" i="1"/>
  <c r="T902" i="1" s="1"/>
  <c r="X901" i="1"/>
  <c r="Y901" i="1" s="1"/>
  <c r="Z901" i="1" s="1"/>
  <c r="R901" i="1"/>
  <c r="T901" i="1" s="1"/>
  <c r="X900" i="1"/>
  <c r="Y900" i="1" s="1"/>
  <c r="Z900" i="1" s="1"/>
  <c r="R900" i="1"/>
  <c r="T900" i="1" s="1"/>
  <c r="X899" i="1"/>
  <c r="Y899" i="1" s="1"/>
  <c r="Z899" i="1" s="1"/>
  <c r="R899" i="1"/>
  <c r="T899" i="1" s="1"/>
  <c r="X898" i="1"/>
  <c r="Y898" i="1" s="1"/>
  <c r="Z898" i="1" s="1"/>
  <c r="R898" i="1"/>
  <c r="T898" i="1" s="1"/>
  <c r="X897" i="1"/>
  <c r="Y897" i="1" s="1"/>
  <c r="Z897" i="1" s="1"/>
  <c r="R897" i="1"/>
  <c r="T897" i="1" s="1"/>
  <c r="X896" i="1"/>
  <c r="Y896" i="1" s="1"/>
  <c r="Z896" i="1" s="1"/>
  <c r="R896" i="1"/>
  <c r="T896" i="1" s="1"/>
  <c r="X895" i="1"/>
  <c r="Y895" i="1" s="1"/>
  <c r="Z895" i="1" s="1"/>
  <c r="R895" i="1"/>
  <c r="T895" i="1" s="1"/>
  <c r="X894" i="1"/>
  <c r="Y894" i="1" s="1"/>
  <c r="Z894" i="1" s="1"/>
  <c r="R894" i="1"/>
  <c r="T894" i="1" s="1"/>
  <c r="X893" i="1"/>
  <c r="Y893" i="1" s="1"/>
  <c r="Z893" i="1" s="1"/>
  <c r="R893" i="1"/>
  <c r="T893" i="1" s="1"/>
  <c r="X892" i="1"/>
  <c r="Y892" i="1" s="1"/>
  <c r="Z892" i="1" s="1"/>
  <c r="R892" i="1"/>
  <c r="T892" i="1" s="1"/>
  <c r="X891" i="1"/>
  <c r="Y891" i="1" s="1"/>
  <c r="Z891" i="1" s="1"/>
  <c r="R891" i="1"/>
  <c r="T891" i="1" s="1"/>
  <c r="X890" i="1"/>
  <c r="Y890" i="1" s="1"/>
  <c r="Z890" i="1" s="1"/>
  <c r="R890" i="1"/>
  <c r="T890" i="1" s="1"/>
  <c r="X888" i="1"/>
  <c r="Y888" i="1" s="1"/>
  <c r="X886" i="1"/>
  <c r="Y886" i="1" s="1"/>
  <c r="X885" i="1"/>
  <c r="Y885" i="1" s="1"/>
  <c r="X882" i="1"/>
  <c r="Y882" i="1" s="1"/>
  <c r="Z882" i="1" s="1"/>
  <c r="R882" i="1"/>
  <c r="T882" i="1" s="1"/>
  <c r="X881" i="1"/>
  <c r="Y881" i="1" s="1"/>
  <c r="Z881" i="1" s="1"/>
  <c r="R881" i="1"/>
  <c r="T881" i="1" s="1"/>
  <c r="X880" i="1"/>
  <c r="Y880" i="1" s="1"/>
  <c r="Z880" i="1" s="1"/>
  <c r="R880" i="1"/>
  <c r="T880" i="1" s="1"/>
  <c r="X879" i="1"/>
  <c r="Y879" i="1" s="1"/>
  <c r="Z879" i="1" s="1"/>
  <c r="R879" i="1"/>
  <c r="T879" i="1" s="1"/>
  <c r="X878" i="1"/>
  <c r="Y878" i="1" s="1"/>
  <c r="Z878" i="1" s="1"/>
  <c r="R878" i="1"/>
  <c r="T878" i="1" s="1"/>
  <c r="X877" i="1"/>
  <c r="Y877" i="1" s="1"/>
  <c r="Z877" i="1" s="1"/>
  <c r="R877" i="1"/>
  <c r="T877" i="1" s="1"/>
  <c r="X876" i="1"/>
  <c r="Y876" i="1" s="1"/>
  <c r="Z876" i="1" s="1"/>
  <c r="R876" i="1"/>
  <c r="T876" i="1" s="1"/>
  <c r="X875" i="1"/>
  <c r="Y875" i="1" s="1"/>
  <c r="Z875" i="1" s="1"/>
  <c r="R875" i="1"/>
  <c r="T875" i="1" s="1"/>
  <c r="X874" i="1"/>
  <c r="Y874" i="1" s="1"/>
  <c r="Z874" i="1" s="1"/>
  <c r="R874" i="1"/>
  <c r="T874" i="1" s="1"/>
  <c r="X873" i="1"/>
  <c r="Y873" i="1" s="1"/>
  <c r="Z873" i="1" s="1"/>
  <c r="R873" i="1"/>
  <c r="T873" i="1" s="1"/>
  <c r="X872" i="1"/>
  <c r="Y872" i="1" s="1"/>
  <c r="Z872" i="1" s="1"/>
  <c r="R872" i="1"/>
  <c r="T872" i="1" s="1"/>
  <c r="X871" i="1"/>
  <c r="Y871" i="1" s="1"/>
  <c r="Z871" i="1" s="1"/>
  <c r="R871" i="1"/>
  <c r="T871" i="1" s="1"/>
  <c r="X870" i="1"/>
  <c r="Y870" i="1" s="1"/>
  <c r="Z870" i="1" s="1"/>
  <c r="R870" i="1"/>
  <c r="T870" i="1" s="1"/>
  <c r="X869" i="1"/>
  <c r="Y869" i="1" s="1"/>
  <c r="Z869" i="1" s="1"/>
  <c r="R869" i="1"/>
  <c r="T869" i="1" s="1"/>
  <c r="X868" i="1"/>
  <c r="Y868" i="1" s="1"/>
  <c r="Z868" i="1" s="1"/>
  <c r="R868" i="1"/>
  <c r="T868" i="1" s="1"/>
  <c r="X867" i="1"/>
  <c r="Y867" i="1" s="1"/>
  <c r="Z867" i="1" s="1"/>
  <c r="R867" i="1"/>
  <c r="T867" i="1" s="1"/>
  <c r="X866" i="1"/>
  <c r="Y866" i="1" s="1"/>
  <c r="Z866" i="1" s="1"/>
  <c r="R866" i="1"/>
  <c r="T866" i="1" s="1"/>
  <c r="X865" i="1"/>
  <c r="Y865" i="1" s="1"/>
  <c r="Z865" i="1" s="1"/>
  <c r="R865" i="1"/>
  <c r="T865" i="1" s="1"/>
  <c r="X864" i="1"/>
  <c r="Y864" i="1" s="1"/>
  <c r="Z864" i="1" s="1"/>
  <c r="R864" i="1"/>
  <c r="T864" i="1" s="1"/>
  <c r="X863" i="1"/>
  <c r="Y863" i="1" s="1"/>
  <c r="Z863" i="1" s="1"/>
  <c r="R863" i="1"/>
  <c r="T863" i="1" s="1"/>
  <c r="X862" i="1"/>
  <c r="Y862" i="1" s="1"/>
  <c r="Z862" i="1" s="1"/>
  <c r="R862" i="1"/>
  <c r="T862" i="1" s="1"/>
  <c r="X861" i="1"/>
  <c r="Y861" i="1" s="1"/>
  <c r="Z861" i="1" s="1"/>
  <c r="R861" i="1"/>
  <c r="T861" i="1" s="1"/>
  <c r="X860" i="1"/>
  <c r="Y860" i="1" s="1"/>
  <c r="Z860" i="1" s="1"/>
  <c r="R860" i="1"/>
  <c r="T860" i="1" s="1"/>
  <c r="X859" i="1"/>
  <c r="Y859" i="1" s="1"/>
  <c r="Z859" i="1" s="1"/>
  <c r="R859" i="1"/>
  <c r="T859" i="1" s="1"/>
  <c r="X858" i="1"/>
  <c r="Y858" i="1" s="1"/>
  <c r="Z858" i="1" s="1"/>
  <c r="R858" i="1"/>
  <c r="T858" i="1" s="1"/>
  <c r="X857" i="1"/>
  <c r="Y857" i="1" s="1"/>
  <c r="Z857" i="1" s="1"/>
  <c r="R857" i="1"/>
  <c r="T857" i="1" s="1"/>
  <c r="X856" i="1"/>
  <c r="Y856" i="1" s="1"/>
  <c r="Z856" i="1" s="1"/>
  <c r="R856" i="1"/>
  <c r="T856" i="1" s="1"/>
  <c r="X855" i="1"/>
  <c r="Y855" i="1" s="1"/>
  <c r="Z855" i="1" s="1"/>
  <c r="R855" i="1"/>
  <c r="T855" i="1" s="1"/>
  <c r="X854" i="1"/>
  <c r="Y854" i="1" s="1"/>
  <c r="Z854" i="1" s="1"/>
  <c r="R854" i="1"/>
  <c r="T854" i="1" s="1"/>
  <c r="X853" i="1"/>
  <c r="Y853" i="1" s="1"/>
  <c r="Z853" i="1" s="1"/>
  <c r="R853" i="1"/>
  <c r="T853" i="1" s="1"/>
  <c r="X852" i="1"/>
  <c r="Y852" i="1" s="1"/>
  <c r="Z852" i="1" s="1"/>
  <c r="R852" i="1"/>
  <c r="T852" i="1" s="1"/>
  <c r="X851" i="1"/>
  <c r="Y851" i="1" s="1"/>
  <c r="Z851" i="1" s="1"/>
  <c r="R851" i="1"/>
  <c r="T851" i="1" s="1"/>
  <c r="X850" i="1"/>
  <c r="Y850" i="1" s="1"/>
  <c r="Z850" i="1" s="1"/>
  <c r="R850" i="1"/>
  <c r="T850" i="1" s="1"/>
  <c r="X849" i="1"/>
  <c r="Y849" i="1" s="1"/>
  <c r="Z849" i="1" s="1"/>
  <c r="R849" i="1"/>
  <c r="T849" i="1" s="1"/>
  <c r="X848" i="1"/>
  <c r="Y848" i="1" s="1"/>
  <c r="Z848" i="1" s="1"/>
  <c r="R848" i="1"/>
  <c r="T848" i="1" s="1"/>
  <c r="X847" i="1"/>
  <c r="Y847" i="1" s="1"/>
  <c r="Z847" i="1" s="1"/>
  <c r="R847" i="1"/>
  <c r="T847" i="1" s="1"/>
  <c r="X846" i="1"/>
  <c r="Y846" i="1" s="1"/>
  <c r="Z846" i="1" s="1"/>
  <c r="R846" i="1"/>
  <c r="T846" i="1" s="1"/>
  <c r="X845" i="1"/>
  <c r="Y845" i="1" s="1"/>
  <c r="Z845" i="1" s="1"/>
  <c r="R845" i="1"/>
  <c r="T845" i="1" s="1"/>
  <c r="X844" i="1"/>
  <c r="Y844" i="1" s="1"/>
  <c r="Z844" i="1" s="1"/>
  <c r="R844" i="1"/>
  <c r="T844" i="1" s="1"/>
  <c r="X843" i="1"/>
  <c r="Y843" i="1" s="1"/>
  <c r="Z843" i="1" s="1"/>
  <c r="R843" i="1"/>
  <c r="T843" i="1" s="1"/>
  <c r="H842" i="1"/>
  <c r="H884" i="1" s="1"/>
  <c r="H889" i="1" s="1"/>
  <c r="H931" i="1" s="1"/>
  <c r="H936" i="1" s="1"/>
  <c r="H978" i="1" s="1"/>
  <c r="H983" i="1" s="1"/>
  <c r="H1020" i="1" s="1"/>
  <c r="X841" i="1"/>
  <c r="Y841" i="1" s="1"/>
  <c r="X839" i="1"/>
  <c r="Y839" i="1" s="1"/>
  <c r="X838" i="1"/>
  <c r="Y838" i="1" s="1"/>
  <c r="Q837" i="1"/>
  <c r="Q842" i="1" s="1"/>
  <c r="Q884" i="1" s="1"/>
  <c r="Q889" i="1" s="1"/>
  <c r="Q931" i="1" s="1"/>
  <c r="Q936" i="1" s="1"/>
  <c r="Q978" i="1" s="1"/>
  <c r="Q983" i="1" s="1"/>
  <c r="Q1020" i="1" s="1"/>
  <c r="P837" i="1"/>
  <c r="P842" i="1" s="1"/>
  <c r="P884" i="1" s="1"/>
  <c r="P889" i="1" s="1"/>
  <c r="P931" i="1" s="1"/>
  <c r="P936" i="1" s="1"/>
  <c r="P978" i="1" s="1"/>
  <c r="P983" i="1" s="1"/>
  <c r="P1020" i="1" s="1"/>
  <c r="O837" i="1"/>
  <c r="O842" i="1" s="1"/>
  <c r="O884" i="1" s="1"/>
  <c r="O889" i="1" s="1"/>
  <c r="O931" i="1" s="1"/>
  <c r="O936" i="1" s="1"/>
  <c r="O978" i="1" s="1"/>
  <c r="O983" i="1" s="1"/>
  <c r="O1020" i="1" s="1"/>
  <c r="N837" i="1"/>
  <c r="N842" i="1" s="1"/>
  <c r="N884" i="1" s="1"/>
  <c r="N889" i="1" s="1"/>
  <c r="N931" i="1" s="1"/>
  <c r="N936" i="1" s="1"/>
  <c r="N978" i="1" s="1"/>
  <c r="N983" i="1" s="1"/>
  <c r="N1020" i="1" s="1"/>
  <c r="M837" i="1"/>
  <c r="M842" i="1" s="1"/>
  <c r="L837" i="1"/>
  <c r="L842" i="1" s="1"/>
  <c r="L884" i="1" s="1"/>
  <c r="L889" i="1" s="1"/>
  <c r="L931" i="1" s="1"/>
  <c r="L936" i="1" s="1"/>
  <c r="L978" i="1" s="1"/>
  <c r="L983" i="1" s="1"/>
  <c r="L1020" i="1" s="1"/>
  <c r="I837" i="1"/>
  <c r="I842" i="1" s="1"/>
  <c r="I884" i="1" s="1"/>
  <c r="I889" i="1" s="1"/>
  <c r="I931" i="1" s="1"/>
  <c r="I936" i="1" s="1"/>
  <c r="I978" i="1" s="1"/>
  <c r="I983" i="1" s="1"/>
  <c r="I1020" i="1" s="1"/>
  <c r="G837" i="1"/>
  <c r="G842" i="1" s="1"/>
  <c r="G884" i="1" s="1"/>
  <c r="G889" i="1" s="1"/>
  <c r="G931" i="1" s="1"/>
  <c r="G936" i="1" s="1"/>
  <c r="G978" i="1" s="1"/>
  <c r="G983" i="1" s="1"/>
  <c r="G1020" i="1" s="1"/>
  <c r="F1336" i="1" s="1"/>
  <c r="X835" i="1"/>
  <c r="Y835" i="1" s="1"/>
  <c r="Z835" i="1" s="1"/>
  <c r="R835" i="1"/>
  <c r="T835" i="1" s="1"/>
  <c r="X834" i="1"/>
  <c r="Y834" i="1" s="1"/>
  <c r="Z834" i="1" s="1"/>
  <c r="R834" i="1"/>
  <c r="T834" i="1" s="1"/>
  <c r="X833" i="1"/>
  <c r="Y833" i="1" s="1"/>
  <c r="Z833" i="1" s="1"/>
  <c r="R833" i="1"/>
  <c r="T833" i="1" s="1"/>
  <c r="X832" i="1"/>
  <c r="Y832" i="1" s="1"/>
  <c r="Z832" i="1" s="1"/>
  <c r="R832" i="1"/>
  <c r="T832" i="1" s="1"/>
  <c r="X831" i="1"/>
  <c r="Y831" i="1" s="1"/>
  <c r="Z831" i="1" s="1"/>
  <c r="R831" i="1"/>
  <c r="T831" i="1" s="1"/>
  <c r="X830" i="1"/>
  <c r="Y830" i="1" s="1"/>
  <c r="Z830" i="1" s="1"/>
  <c r="R830" i="1"/>
  <c r="T830" i="1" s="1"/>
  <c r="X829" i="1"/>
  <c r="Y829" i="1" s="1"/>
  <c r="Z829" i="1" s="1"/>
  <c r="R829" i="1"/>
  <c r="T829" i="1" s="1"/>
  <c r="X828" i="1"/>
  <c r="Y828" i="1" s="1"/>
  <c r="Z828" i="1" s="1"/>
  <c r="R828" i="1"/>
  <c r="T828" i="1" s="1"/>
  <c r="X827" i="1"/>
  <c r="Y827" i="1" s="1"/>
  <c r="Z827" i="1" s="1"/>
  <c r="R827" i="1"/>
  <c r="T827" i="1" s="1"/>
  <c r="X826" i="1"/>
  <c r="Y826" i="1" s="1"/>
  <c r="Z826" i="1" s="1"/>
  <c r="R826" i="1"/>
  <c r="T826" i="1" s="1"/>
  <c r="X825" i="1"/>
  <c r="Y825" i="1" s="1"/>
  <c r="Z825" i="1" s="1"/>
  <c r="R825" i="1"/>
  <c r="T825" i="1" s="1"/>
  <c r="X824" i="1"/>
  <c r="Y824" i="1" s="1"/>
  <c r="Z824" i="1" s="1"/>
  <c r="R824" i="1"/>
  <c r="T824" i="1" s="1"/>
  <c r="X823" i="1"/>
  <c r="Y823" i="1" s="1"/>
  <c r="Z823" i="1" s="1"/>
  <c r="R823" i="1"/>
  <c r="T823" i="1" s="1"/>
  <c r="X822" i="1"/>
  <c r="Y822" i="1" s="1"/>
  <c r="Z822" i="1" s="1"/>
  <c r="R822" i="1"/>
  <c r="T822" i="1" s="1"/>
  <c r="X821" i="1"/>
  <c r="Y821" i="1" s="1"/>
  <c r="Z821" i="1" s="1"/>
  <c r="R821" i="1"/>
  <c r="T821" i="1" s="1"/>
  <c r="X820" i="1"/>
  <c r="Y820" i="1" s="1"/>
  <c r="Z820" i="1" s="1"/>
  <c r="R820" i="1"/>
  <c r="T820" i="1" s="1"/>
  <c r="X819" i="1"/>
  <c r="Y819" i="1" s="1"/>
  <c r="Z819" i="1" s="1"/>
  <c r="R819" i="1"/>
  <c r="T819" i="1" s="1"/>
  <c r="X818" i="1"/>
  <c r="Y818" i="1" s="1"/>
  <c r="Z818" i="1" s="1"/>
  <c r="R818" i="1"/>
  <c r="T818" i="1" s="1"/>
  <c r="X817" i="1"/>
  <c r="Y817" i="1" s="1"/>
  <c r="Z817" i="1" s="1"/>
  <c r="R817" i="1"/>
  <c r="T817" i="1" s="1"/>
  <c r="X816" i="1"/>
  <c r="Y816" i="1" s="1"/>
  <c r="Z816" i="1" s="1"/>
  <c r="R816" i="1"/>
  <c r="T816" i="1" s="1"/>
  <c r="X815" i="1"/>
  <c r="Y815" i="1" s="1"/>
  <c r="Z815" i="1" s="1"/>
  <c r="R815" i="1"/>
  <c r="T815" i="1" s="1"/>
  <c r="X814" i="1"/>
  <c r="Y814" i="1" s="1"/>
  <c r="Z814" i="1" s="1"/>
  <c r="R814" i="1"/>
  <c r="T814" i="1" s="1"/>
  <c r="X813" i="1"/>
  <c r="Y813" i="1" s="1"/>
  <c r="Z813" i="1" s="1"/>
  <c r="R813" i="1"/>
  <c r="T813" i="1" s="1"/>
  <c r="X812" i="1"/>
  <c r="Y812" i="1" s="1"/>
  <c r="Z812" i="1" s="1"/>
  <c r="R812" i="1"/>
  <c r="T812" i="1" s="1"/>
  <c r="X811" i="1"/>
  <c r="Y811" i="1" s="1"/>
  <c r="Z811" i="1" s="1"/>
  <c r="R811" i="1"/>
  <c r="T811" i="1" s="1"/>
  <c r="X810" i="1"/>
  <c r="Y810" i="1" s="1"/>
  <c r="Z810" i="1" s="1"/>
  <c r="R810" i="1"/>
  <c r="T810" i="1" s="1"/>
  <c r="X809" i="1"/>
  <c r="Y809" i="1" s="1"/>
  <c r="Z809" i="1" s="1"/>
  <c r="R809" i="1"/>
  <c r="T809" i="1" s="1"/>
  <c r="X808" i="1"/>
  <c r="Y808" i="1" s="1"/>
  <c r="Z808" i="1" s="1"/>
  <c r="R808" i="1"/>
  <c r="T808" i="1" s="1"/>
  <c r="X807" i="1"/>
  <c r="Y807" i="1" s="1"/>
  <c r="Z807" i="1" s="1"/>
  <c r="R807" i="1"/>
  <c r="T807" i="1" s="1"/>
  <c r="X806" i="1"/>
  <c r="Y806" i="1" s="1"/>
  <c r="Z806" i="1" s="1"/>
  <c r="R806" i="1"/>
  <c r="T806" i="1" s="1"/>
  <c r="X805" i="1"/>
  <c r="Y805" i="1" s="1"/>
  <c r="Z805" i="1" s="1"/>
  <c r="R805" i="1"/>
  <c r="T805" i="1" s="1"/>
  <c r="X804" i="1"/>
  <c r="Y804" i="1" s="1"/>
  <c r="Z804" i="1" s="1"/>
  <c r="R804" i="1"/>
  <c r="T804" i="1" s="1"/>
  <c r="X803" i="1"/>
  <c r="Y803" i="1" s="1"/>
  <c r="Z803" i="1" s="1"/>
  <c r="R803" i="1"/>
  <c r="T803" i="1" s="1"/>
  <c r="X802" i="1"/>
  <c r="Y802" i="1" s="1"/>
  <c r="Z802" i="1" s="1"/>
  <c r="R802" i="1"/>
  <c r="T802" i="1" s="1"/>
  <c r="X801" i="1"/>
  <c r="Y801" i="1" s="1"/>
  <c r="Z801" i="1" s="1"/>
  <c r="R801" i="1"/>
  <c r="T801" i="1" s="1"/>
  <c r="X800" i="1"/>
  <c r="Y800" i="1" s="1"/>
  <c r="Z800" i="1" s="1"/>
  <c r="R800" i="1"/>
  <c r="T800" i="1" s="1"/>
  <c r="X799" i="1"/>
  <c r="Y799" i="1" s="1"/>
  <c r="Z799" i="1" s="1"/>
  <c r="R799" i="1"/>
  <c r="T799" i="1" s="1"/>
  <c r="X798" i="1"/>
  <c r="Y798" i="1" s="1"/>
  <c r="Z798" i="1" s="1"/>
  <c r="R798" i="1"/>
  <c r="T798" i="1" s="1"/>
  <c r="X797" i="1"/>
  <c r="Y797" i="1" s="1"/>
  <c r="Z797" i="1" s="1"/>
  <c r="R797" i="1"/>
  <c r="T797" i="1" s="1"/>
  <c r="X796" i="1"/>
  <c r="Y796" i="1" s="1"/>
  <c r="Z796" i="1" s="1"/>
  <c r="R796" i="1"/>
  <c r="T796" i="1" s="1"/>
  <c r="X795" i="1"/>
  <c r="Y795" i="1" s="1"/>
  <c r="X793" i="1"/>
  <c r="Y793" i="1" s="1"/>
  <c r="X792" i="1"/>
  <c r="Y792" i="1" s="1"/>
  <c r="X791" i="1"/>
  <c r="Y791" i="1" s="1"/>
  <c r="R788" i="1"/>
  <c r="T788" i="1" s="1"/>
  <c r="X787" i="1"/>
  <c r="Y787" i="1" s="1"/>
  <c r="Z787" i="1" s="1"/>
  <c r="R787" i="1"/>
  <c r="T787" i="1" s="1"/>
  <c r="X786" i="1"/>
  <c r="Y786" i="1" s="1"/>
  <c r="Z786" i="1" s="1"/>
  <c r="R786" i="1"/>
  <c r="T786" i="1" s="1"/>
  <c r="X785" i="1"/>
  <c r="Y785" i="1" s="1"/>
  <c r="Z785" i="1" s="1"/>
  <c r="R785" i="1"/>
  <c r="T785" i="1" s="1"/>
  <c r="X784" i="1"/>
  <c r="Y784" i="1" s="1"/>
  <c r="Z784" i="1" s="1"/>
  <c r="R784" i="1"/>
  <c r="T784" i="1" s="1"/>
  <c r="X783" i="1"/>
  <c r="Y783" i="1" s="1"/>
  <c r="Z783" i="1" s="1"/>
  <c r="R783" i="1"/>
  <c r="T783" i="1" s="1"/>
  <c r="X782" i="1"/>
  <c r="Y782" i="1" s="1"/>
  <c r="Z782" i="1" s="1"/>
  <c r="R782" i="1"/>
  <c r="T782" i="1" s="1"/>
  <c r="X781" i="1"/>
  <c r="Y781" i="1" s="1"/>
  <c r="Z781" i="1" s="1"/>
  <c r="R781" i="1"/>
  <c r="T781" i="1" s="1"/>
  <c r="X780" i="1"/>
  <c r="Y780" i="1" s="1"/>
  <c r="Z780" i="1" s="1"/>
  <c r="R780" i="1"/>
  <c r="T780" i="1" s="1"/>
  <c r="X778" i="1"/>
  <c r="Y778" i="1" s="1"/>
  <c r="X776" i="1"/>
  <c r="Y776" i="1" s="1"/>
  <c r="X775" i="1"/>
  <c r="Y775" i="1" s="1"/>
  <c r="X773" i="1"/>
  <c r="Y773" i="1" s="1"/>
  <c r="X772" i="1"/>
  <c r="Y772" i="1" s="1"/>
  <c r="Z772" i="1" s="1"/>
  <c r="R772" i="1"/>
  <c r="T772" i="1" s="1"/>
  <c r="X771" i="1"/>
  <c r="Y771" i="1" s="1"/>
  <c r="Z771" i="1" s="1"/>
  <c r="R771" i="1"/>
  <c r="T771" i="1" s="1"/>
  <c r="X770" i="1"/>
  <c r="Y770" i="1" s="1"/>
  <c r="Z770" i="1" s="1"/>
  <c r="R770" i="1"/>
  <c r="T770" i="1" s="1"/>
  <c r="X769" i="1"/>
  <c r="Y769" i="1" s="1"/>
  <c r="Z769" i="1" s="1"/>
  <c r="R769" i="1"/>
  <c r="T769" i="1" s="1"/>
  <c r="X768" i="1"/>
  <c r="Y768" i="1" s="1"/>
  <c r="Z768" i="1" s="1"/>
  <c r="R768" i="1"/>
  <c r="T768" i="1" s="1"/>
  <c r="X767" i="1"/>
  <c r="Y767" i="1" s="1"/>
  <c r="Z767" i="1" s="1"/>
  <c r="R767" i="1"/>
  <c r="T767" i="1" s="1"/>
  <c r="X766" i="1"/>
  <c r="Y766" i="1" s="1"/>
  <c r="Z766" i="1" s="1"/>
  <c r="R766" i="1"/>
  <c r="T766" i="1" s="1"/>
  <c r="X765" i="1"/>
  <c r="Y765" i="1" s="1"/>
  <c r="Z765" i="1" s="1"/>
  <c r="R765" i="1"/>
  <c r="T765" i="1" s="1"/>
  <c r="X764" i="1"/>
  <c r="Y764" i="1" s="1"/>
  <c r="Z764" i="1" s="1"/>
  <c r="R764" i="1"/>
  <c r="T764" i="1" s="1"/>
  <c r="X763" i="1"/>
  <c r="Y763" i="1" s="1"/>
  <c r="Z763" i="1" s="1"/>
  <c r="R763" i="1"/>
  <c r="T763" i="1" s="1"/>
  <c r="X762" i="1"/>
  <c r="Y762" i="1" s="1"/>
  <c r="Z762" i="1" s="1"/>
  <c r="R762" i="1"/>
  <c r="T762" i="1" s="1"/>
  <c r="X761" i="1"/>
  <c r="Y761" i="1" s="1"/>
  <c r="Z761" i="1" s="1"/>
  <c r="R761" i="1"/>
  <c r="T761" i="1" s="1"/>
  <c r="X760" i="1"/>
  <c r="Y760" i="1" s="1"/>
  <c r="Z760" i="1" s="1"/>
  <c r="R760" i="1"/>
  <c r="T760" i="1" s="1"/>
  <c r="X759" i="1"/>
  <c r="Y759" i="1" s="1"/>
  <c r="Z759" i="1" s="1"/>
  <c r="R759" i="1"/>
  <c r="T759" i="1" s="1"/>
  <c r="X758" i="1"/>
  <c r="Y758" i="1" s="1"/>
  <c r="Z758" i="1" s="1"/>
  <c r="R758" i="1"/>
  <c r="T758" i="1" s="1"/>
  <c r="X757" i="1"/>
  <c r="Y757" i="1" s="1"/>
  <c r="Z757" i="1" s="1"/>
  <c r="R757" i="1"/>
  <c r="T757" i="1" s="1"/>
  <c r="X756" i="1"/>
  <c r="Y756" i="1" s="1"/>
  <c r="Z756" i="1" s="1"/>
  <c r="R756" i="1"/>
  <c r="T756" i="1" s="1"/>
  <c r="X755" i="1"/>
  <c r="Y755" i="1" s="1"/>
  <c r="Z755" i="1" s="1"/>
  <c r="R755" i="1"/>
  <c r="T755" i="1" s="1"/>
  <c r="X754" i="1"/>
  <c r="Y754" i="1" s="1"/>
  <c r="Z754" i="1" s="1"/>
  <c r="R754" i="1"/>
  <c r="T754" i="1" s="1"/>
  <c r="X753" i="1"/>
  <c r="Y753" i="1" s="1"/>
  <c r="Z753" i="1" s="1"/>
  <c r="R753" i="1"/>
  <c r="T753" i="1" s="1"/>
  <c r="X752" i="1"/>
  <c r="Y752" i="1" s="1"/>
  <c r="Z752" i="1" s="1"/>
  <c r="R752" i="1"/>
  <c r="T752" i="1" s="1"/>
  <c r="X751" i="1"/>
  <c r="Y751" i="1" s="1"/>
  <c r="Z751" i="1" s="1"/>
  <c r="R751" i="1"/>
  <c r="T751" i="1" s="1"/>
  <c r="X750" i="1"/>
  <c r="Y750" i="1" s="1"/>
  <c r="Z750" i="1" s="1"/>
  <c r="R750" i="1"/>
  <c r="T750" i="1" s="1"/>
  <c r="X749" i="1"/>
  <c r="Y749" i="1" s="1"/>
  <c r="Z749" i="1" s="1"/>
  <c r="R749" i="1"/>
  <c r="T749" i="1" s="1"/>
  <c r="X748" i="1"/>
  <c r="Y748" i="1" s="1"/>
  <c r="Z748" i="1" s="1"/>
  <c r="R748" i="1"/>
  <c r="T748" i="1" s="1"/>
  <c r="X747" i="1"/>
  <c r="Y747" i="1" s="1"/>
  <c r="Z747" i="1" s="1"/>
  <c r="R747" i="1"/>
  <c r="T747" i="1" s="1"/>
  <c r="X746" i="1"/>
  <c r="Y746" i="1" s="1"/>
  <c r="Z746" i="1" s="1"/>
  <c r="R746" i="1"/>
  <c r="T746" i="1" s="1"/>
  <c r="X745" i="1"/>
  <c r="Y745" i="1" s="1"/>
  <c r="Z745" i="1" s="1"/>
  <c r="R745" i="1"/>
  <c r="T745" i="1" s="1"/>
  <c r="X744" i="1"/>
  <c r="Y744" i="1" s="1"/>
  <c r="Z744" i="1" s="1"/>
  <c r="R744" i="1"/>
  <c r="T744" i="1" s="1"/>
  <c r="X743" i="1"/>
  <c r="Y743" i="1" s="1"/>
  <c r="Z743" i="1" s="1"/>
  <c r="R743" i="1"/>
  <c r="T743" i="1" s="1"/>
  <c r="X742" i="1"/>
  <c r="Y742" i="1" s="1"/>
  <c r="Z742" i="1" s="1"/>
  <c r="R742" i="1"/>
  <c r="T742" i="1" s="1"/>
  <c r="X741" i="1"/>
  <c r="Y741" i="1" s="1"/>
  <c r="Z741" i="1" s="1"/>
  <c r="R741" i="1"/>
  <c r="T741" i="1" s="1"/>
  <c r="X740" i="1"/>
  <c r="Y740" i="1" s="1"/>
  <c r="Z740" i="1" s="1"/>
  <c r="R740" i="1"/>
  <c r="T740" i="1" s="1"/>
  <c r="X739" i="1"/>
  <c r="Y739" i="1" s="1"/>
  <c r="Z739" i="1" s="1"/>
  <c r="R739" i="1"/>
  <c r="T739" i="1" s="1"/>
  <c r="X738" i="1"/>
  <c r="Y738" i="1" s="1"/>
  <c r="Z738" i="1" s="1"/>
  <c r="R738" i="1"/>
  <c r="T738" i="1" s="1"/>
  <c r="X737" i="1"/>
  <c r="Y737" i="1" s="1"/>
  <c r="Z737" i="1" s="1"/>
  <c r="R737" i="1"/>
  <c r="T737" i="1" s="1"/>
  <c r="R736" i="1"/>
  <c r="T736" i="1" s="1"/>
  <c r="R735" i="1"/>
  <c r="T735" i="1" s="1"/>
  <c r="R734" i="1"/>
  <c r="T734" i="1" s="1"/>
  <c r="R733" i="1"/>
  <c r="T733" i="1" s="1"/>
  <c r="X731" i="1"/>
  <c r="Y731" i="1" s="1"/>
  <c r="X729" i="1"/>
  <c r="Y729" i="1" s="1"/>
  <c r="X728" i="1"/>
  <c r="Y728" i="1" s="1"/>
  <c r="X726" i="1"/>
  <c r="Y726" i="1" s="1"/>
  <c r="X725" i="1"/>
  <c r="Y725" i="1" s="1"/>
  <c r="Z725" i="1" s="1"/>
  <c r="R725" i="1"/>
  <c r="T725" i="1" s="1"/>
  <c r="X724" i="1"/>
  <c r="Y724" i="1" s="1"/>
  <c r="Z724" i="1" s="1"/>
  <c r="R724" i="1"/>
  <c r="T724" i="1" s="1"/>
  <c r="X723" i="1"/>
  <c r="Y723" i="1" s="1"/>
  <c r="Z723" i="1" s="1"/>
  <c r="R723" i="1"/>
  <c r="T723" i="1" s="1"/>
  <c r="X722" i="1"/>
  <c r="Y722" i="1" s="1"/>
  <c r="Z722" i="1" s="1"/>
  <c r="R722" i="1"/>
  <c r="T722" i="1" s="1"/>
  <c r="X721" i="1"/>
  <c r="Y721" i="1" s="1"/>
  <c r="Z721" i="1" s="1"/>
  <c r="R721" i="1"/>
  <c r="T721" i="1" s="1"/>
  <c r="X720" i="1"/>
  <c r="Y720" i="1" s="1"/>
  <c r="Z720" i="1" s="1"/>
  <c r="R720" i="1"/>
  <c r="T720" i="1" s="1"/>
  <c r="X719" i="1"/>
  <c r="Y719" i="1" s="1"/>
  <c r="Z719" i="1" s="1"/>
  <c r="R719" i="1"/>
  <c r="T719" i="1" s="1"/>
  <c r="X718" i="1"/>
  <c r="Y718" i="1" s="1"/>
  <c r="Z718" i="1" s="1"/>
  <c r="R718" i="1"/>
  <c r="T718" i="1" s="1"/>
  <c r="X717" i="1"/>
  <c r="Y717" i="1" s="1"/>
  <c r="Z717" i="1" s="1"/>
  <c r="R717" i="1"/>
  <c r="T717" i="1" s="1"/>
  <c r="X716" i="1"/>
  <c r="Y716" i="1" s="1"/>
  <c r="Z716" i="1" s="1"/>
  <c r="R716" i="1"/>
  <c r="T716" i="1" s="1"/>
  <c r="X715" i="1"/>
  <c r="Y715" i="1" s="1"/>
  <c r="Z715" i="1" s="1"/>
  <c r="R715" i="1"/>
  <c r="T715" i="1" s="1"/>
  <c r="X714" i="1"/>
  <c r="Y714" i="1" s="1"/>
  <c r="Z714" i="1" s="1"/>
  <c r="R714" i="1"/>
  <c r="T714" i="1" s="1"/>
  <c r="X713" i="1"/>
  <c r="Y713" i="1" s="1"/>
  <c r="Z713" i="1" s="1"/>
  <c r="R713" i="1"/>
  <c r="T713" i="1" s="1"/>
  <c r="X712" i="1"/>
  <c r="Y712" i="1" s="1"/>
  <c r="Z712" i="1" s="1"/>
  <c r="R712" i="1"/>
  <c r="T712" i="1" s="1"/>
  <c r="X711" i="1"/>
  <c r="Y711" i="1" s="1"/>
  <c r="Z711" i="1" s="1"/>
  <c r="R711" i="1"/>
  <c r="T711" i="1" s="1"/>
  <c r="X710" i="1"/>
  <c r="Y710" i="1" s="1"/>
  <c r="Z710" i="1" s="1"/>
  <c r="R710" i="1"/>
  <c r="T710" i="1" s="1"/>
  <c r="X709" i="1"/>
  <c r="Y709" i="1" s="1"/>
  <c r="Z709" i="1" s="1"/>
  <c r="R709" i="1"/>
  <c r="T709" i="1" s="1"/>
  <c r="X708" i="1"/>
  <c r="Y708" i="1" s="1"/>
  <c r="Z708" i="1" s="1"/>
  <c r="R708" i="1"/>
  <c r="T708" i="1" s="1"/>
  <c r="X707" i="1"/>
  <c r="Y707" i="1" s="1"/>
  <c r="Z707" i="1" s="1"/>
  <c r="R707" i="1"/>
  <c r="T707" i="1" s="1"/>
  <c r="X706" i="1"/>
  <c r="Y706" i="1" s="1"/>
  <c r="Z706" i="1" s="1"/>
  <c r="R706" i="1"/>
  <c r="T706" i="1" s="1"/>
  <c r="X705" i="1"/>
  <c r="Y705" i="1" s="1"/>
  <c r="Z705" i="1" s="1"/>
  <c r="R705" i="1"/>
  <c r="T705" i="1" s="1"/>
  <c r="X704" i="1"/>
  <c r="Y704" i="1" s="1"/>
  <c r="Z704" i="1" s="1"/>
  <c r="R704" i="1"/>
  <c r="T704" i="1" s="1"/>
  <c r="X703" i="1"/>
  <c r="Y703" i="1" s="1"/>
  <c r="Z703" i="1" s="1"/>
  <c r="R703" i="1"/>
  <c r="T703" i="1" s="1"/>
  <c r="X702" i="1"/>
  <c r="Y702" i="1" s="1"/>
  <c r="Z702" i="1" s="1"/>
  <c r="R702" i="1"/>
  <c r="T702" i="1" s="1"/>
  <c r="X701" i="1"/>
  <c r="Y701" i="1" s="1"/>
  <c r="Z701" i="1" s="1"/>
  <c r="R701" i="1"/>
  <c r="T701" i="1" s="1"/>
  <c r="X700" i="1"/>
  <c r="Y700" i="1" s="1"/>
  <c r="Z700" i="1" s="1"/>
  <c r="R700" i="1"/>
  <c r="T700" i="1" s="1"/>
  <c r="X699" i="1"/>
  <c r="Y699" i="1" s="1"/>
  <c r="Z699" i="1" s="1"/>
  <c r="R699" i="1"/>
  <c r="T699" i="1" s="1"/>
  <c r="X698" i="1"/>
  <c r="Y698" i="1" s="1"/>
  <c r="Z698" i="1" s="1"/>
  <c r="R698" i="1"/>
  <c r="T698" i="1" s="1"/>
  <c r="X697" i="1"/>
  <c r="Y697" i="1" s="1"/>
  <c r="Z697" i="1" s="1"/>
  <c r="R697" i="1"/>
  <c r="T697" i="1" s="1"/>
  <c r="X696" i="1"/>
  <c r="Y696" i="1" s="1"/>
  <c r="Z696" i="1" s="1"/>
  <c r="R696" i="1"/>
  <c r="T696" i="1" s="1"/>
  <c r="X695" i="1"/>
  <c r="Y695" i="1" s="1"/>
  <c r="Z695" i="1" s="1"/>
  <c r="R695" i="1"/>
  <c r="T695" i="1" s="1"/>
  <c r="X694" i="1"/>
  <c r="Y694" i="1" s="1"/>
  <c r="Z694" i="1" s="1"/>
  <c r="R694" i="1"/>
  <c r="T694" i="1" s="1"/>
  <c r="X693" i="1"/>
  <c r="Y693" i="1" s="1"/>
  <c r="Z693" i="1" s="1"/>
  <c r="R693" i="1"/>
  <c r="T693" i="1" s="1"/>
  <c r="X692" i="1"/>
  <c r="Y692" i="1" s="1"/>
  <c r="Z692" i="1" s="1"/>
  <c r="R692" i="1"/>
  <c r="T692" i="1" s="1"/>
  <c r="X691" i="1"/>
  <c r="Y691" i="1" s="1"/>
  <c r="Z691" i="1" s="1"/>
  <c r="R691" i="1"/>
  <c r="T691" i="1" s="1"/>
  <c r="X690" i="1"/>
  <c r="Y690" i="1" s="1"/>
  <c r="Z690" i="1" s="1"/>
  <c r="R690" i="1"/>
  <c r="T690" i="1" s="1"/>
  <c r="X689" i="1"/>
  <c r="Y689" i="1" s="1"/>
  <c r="Z689" i="1" s="1"/>
  <c r="R689" i="1"/>
  <c r="T689" i="1" s="1"/>
  <c r="X688" i="1"/>
  <c r="Y688" i="1" s="1"/>
  <c r="Z688" i="1" s="1"/>
  <c r="R688" i="1"/>
  <c r="T688" i="1" s="1"/>
  <c r="X687" i="1"/>
  <c r="Y687" i="1" s="1"/>
  <c r="Z687" i="1" s="1"/>
  <c r="R687" i="1"/>
  <c r="T687" i="1" s="1"/>
  <c r="X686" i="1"/>
  <c r="Y686" i="1" s="1"/>
  <c r="Z686" i="1" s="1"/>
  <c r="R686" i="1"/>
  <c r="T686" i="1" s="1"/>
  <c r="X684" i="1"/>
  <c r="Y684" i="1" s="1"/>
  <c r="X682" i="1"/>
  <c r="Y682" i="1" s="1"/>
  <c r="X681" i="1"/>
  <c r="Y681" i="1" s="1"/>
  <c r="X679" i="1"/>
  <c r="Y679" i="1" s="1"/>
  <c r="X678" i="1"/>
  <c r="Y678" i="1" s="1"/>
  <c r="Z678" i="1" s="1"/>
  <c r="R678" i="1"/>
  <c r="T678" i="1" s="1"/>
  <c r="X677" i="1"/>
  <c r="Y677" i="1" s="1"/>
  <c r="Z677" i="1" s="1"/>
  <c r="R677" i="1"/>
  <c r="T677" i="1" s="1"/>
  <c r="X676" i="1"/>
  <c r="Y676" i="1" s="1"/>
  <c r="Z676" i="1" s="1"/>
  <c r="R676" i="1"/>
  <c r="T676" i="1" s="1"/>
  <c r="X675" i="1"/>
  <c r="Y675" i="1" s="1"/>
  <c r="Z675" i="1" s="1"/>
  <c r="R675" i="1"/>
  <c r="T675" i="1" s="1"/>
  <c r="X674" i="1"/>
  <c r="Y674" i="1" s="1"/>
  <c r="Z674" i="1" s="1"/>
  <c r="R674" i="1"/>
  <c r="T674" i="1" s="1"/>
  <c r="X673" i="1"/>
  <c r="Y673" i="1" s="1"/>
  <c r="Z673" i="1" s="1"/>
  <c r="R673" i="1"/>
  <c r="T673" i="1" s="1"/>
  <c r="X672" i="1"/>
  <c r="Y672" i="1" s="1"/>
  <c r="Z672" i="1" s="1"/>
  <c r="R672" i="1"/>
  <c r="T672" i="1" s="1"/>
  <c r="X671" i="1"/>
  <c r="Y671" i="1" s="1"/>
  <c r="Z671" i="1" s="1"/>
  <c r="R671" i="1"/>
  <c r="T671" i="1" s="1"/>
  <c r="X670" i="1"/>
  <c r="Y670" i="1" s="1"/>
  <c r="Z670" i="1" s="1"/>
  <c r="R670" i="1"/>
  <c r="T670" i="1" s="1"/>
  <c r="X669" i="1"/>
  <c r="Y669" i="1" s="1"/>
  <c r="Z669" i="1" s="1"/>
  <c r="R669" i="1"/>
  <c r="T669" i="1" s="1"/>
  <c r="X668" i="1"/>
  <c r="Y668" i="1" s="1"/>
  <c r="Z668" i="1" s="1"/>
  <c r="R668" i="1"/>
  <c r="T668" i="1" s="1"/>
  <c r="X667" i="1"/>
  <c r="Y667" i="1" s="1"/>
  <c r="Z667" i="1" s="1"/>
  <c r="R667" i="1"/>
  <c r="T667" i="1" s="1"/>
  <c r="X666" i="1"/>
  <c r="Y666" i="1" s="1"/>
  <c r="Z666" i="1" s="1"/>
  <c r="R666" i="1"/>
  <c r="T666" i="1" s="1"/>
  <c r="X665" i="1"/>
  <c r="Y665" i="1" s="1"/>
  <c r="Z665" i="1" s="1"/>
  <c r="R665" i="1"/>
  <c r="T665" i="1" s="1"/>
  <c r="X664" i="1"/>
  <c r="Y664" i="1" s="1"/>
  <c r="Z664" i="1" s="1"/>
  <c r="R664" i="1"/>
  <c r="T664" i="1" s="1"/>
  <c r="X663" i="1"/>
  <c r="Y663" i="1" s="1"/>
  <c r="Z663" i="1" s="1"/>
  <c r="R663" i="1"/>
  <c r="T663" i="1" s="1"/>
  <c r="X662" i="1"/>
  <c r="Y662" i="1" s="1"/>
  <c r="Z662" i="1" s="1"/>
  <c r="R662" i="1"/>
  <c r="T662" i="1" s="1"/>
  <c r="X661" i="1"/>
  <c r="Y661" i="1" s="1"/>
  <c r="Z661" i="1" s="1"/>
  <c r="R661" i="1"/>
  <c r="T661" i="1" s="1"/>
  <c r="X660" i="1"/>
  <c r="Y660" i="1" s="1"/>
  <c r="Z660" i="1" s="1"/>
  <c r="R660" i="1"/>
  <c r="T660" i="1" s="1"/>
  <c r="X659" i="1"/>
  <c r="Y659" i="1" s="1"/>
  <c r="Z659" i="1" s="1"/>
  <c r="R659" i="1"/>
  <c r="T659" i="1" s="1"/>
  <c r="X658" i="1"/>
  <c r="Y658" i="1" s="1"/>
  <c r="Z658" i="1" s="1"/>
  <c r="R658" i="1"/>
  <c r="T658" i="1" s="1"/>
  <c r="X657" i="1"/>
  <c r="Y657" i="1" s="1"/>
  <c r="Z657" i="1" s="1"/>
  <c r="R657" i="1"/>
  <c r="T657" i="1" s="1"/>
  <c r="X656" i="1"/>
  <c r="Y656" i="1" s="1"/>
  <c r="Z656" i="1" s="1"/>
  <c r="R656" i="1"/>
  <c r="T656" i="1" s="1"/>
  <c r="X655" i="1"/>
  <c r="Y655" i="1" s="1"/>
  <c r="Z655" i="1" s="1"/>
  <c r="R655" i="1"/>
  <c r="T655" i="1" s="1"/>
  <c r="X654" i="1"/>
  <c r="Y654" i="1" s="1"/>
  <c r="Z654" i="1" s="1"/>
  <c r="R654" i="1"/>
  <c r="T654" i="1" s="1"/>
  <c r="X653" i="1"/>
  <c r="Y653" i="1" s="1"/>
  <c r="Z653" i="1" s="1"/>
  <c r="R653" i="1"/>
  <c r="T653" i="1" s="1"/>
  <c r="X652" i="1"/>
  <c r="Y652" i="1" s="1"/>
  <c r="Z652" i="1" s="1"/>
  <c r="R652" i="1"/>
  <c r="T652" i="1" s="1"/>
  <c r="X651" i="1"/>
  <c r="Y651" i="1" s="1"/>
  <c r="Z651" i="1" s="1"/>
  <c r="R651" i="1"/>
  <c r="T651" i="1" s="1"/>
  <c r="X650" i="1"/>
  <c r="Y650" i="1" s="1"/>
  <c r="Z650" i="1" s="1"/>
  <c r="R650" i="1"/>
  <c r="T650" i="1" s="1"/>
  <c r="X649" i="1"/>
  <c r="Y649" i="1" s="1"/>
  <c r="Z649" i="1" s="1"/>
  <c r="R649" i="1"/>
  <c r="T649" i="1" s="1"/>
  <c r="X648" i="1"/>
  <c r="Y648" i="1" s="1"/>
  <c r="Z648" i="1" s="1"/>
  <c r="R648" i="1"/>
  <c r="T648" i="1" s="1"/>
  <c r="X647" i="1"/>
  <c r="Y647" i="1" s="1"/>
  <c r="Z647" i="1" s="1"/>
  <c r="R647" i="1"/>
  <c r="T647" i="1" s="1"/>
  <c r="X646" i="1"/>
  <c r="Y646" i="1" s="1"/>
  <c r="Z646" i="1" s="1"/>
  <c r="R646" i="1"/>
  <c r="T646" i="1" s="1"/>
  <c r="X645" i="1"/>
  <c r="Y645" i="1" s="1"/>
  <c r="Z645" i="1" s="1"/>
  <c r="R645" i="1"/>
  <c r="T645" i="1" s="1"/>
  <c r="X644" i="1"/>
  <c r="Y644" i="1" s="1"/>
  <c r="Z644" i="1" s="1"/>
  <c r="R644" i="1"/>
  <c r="T644" i="1" s="1"/>
  <c r="X643" i="1"/>
  <c r="Y643" i="1" s="1"/>
  <c r="Z643" i="1" s="1"/>
  <c r="R643" i="1"/>
  <c r="T643" i="1" s="1"/>
  <c r="X642" i="1"/>
  <c r="Y642" i="1" s="1"/>
  <c r="Z642" i="1" s="1"/>
  <c r="R642" i="1"/>
  <c r="T642" i="1" s="1"/>
  <c r="X641" i="1"/>
  <c r="Y641" i="1" s="1"/>
  <c r="Z641" i="1" s="1"/>
  <c r="R641" i="1"/>
  <c r="T641" i="1" s="1"/>
  <c r="X640" i="1"/>
  <c r="Y640" i="1" s="1"/>
  <c r="Z640" i="1" s="1"/>
  <c r="R640" i="1"/>
  <c r="T640" i="1" s="1"/>
  <c r="X639" i="1"/>
  <c r="Y639" i="1" s="1"/>
  <c r="Z639" i="1" s="1"/>
  <c r="R639" i="1"/>
  <c r="T639" i="1" s="1"/>
  <c r="X637" i="1"/>
  <c r="Y637" i="1" s="1"/>
  <c r="X635" i="1"/>
  <c r="Y635" i="1" s="1"/>
  <c r="X634" i="1"/>
  <c r="Y634" i="1" s="1"/>
  <c r="X633" i="1"/>
  <c r="Y633" i="1" s="1"/>
  <c r="X631" i="1"/>
  <c r="Y631" i="1" s="1"/>
  <c r="X630" i="1"/>
  <c r="Y630" i="1" s="1"/>
  <c r="Z630" i="1" s="1"/>
  <c r="R630" i="1"/>
  <c r="T630" i="1" s="1"/>
  <c r="X629" i="1"/>
  <c r="Y629" i="1" s="1"/>
  <c r="Z629" i="1" s="1"/>
  <c r="R629" i="1"/>
  <c r="T629" i="1" s="1"/>
  <c r="X628" i="1"/>
  <c r="Y628" i="1" s="1"/>
  <c r="Z628" i="1" s="1"/>
  <c r="R628" i="1"/>
  <c r="T628" i="1" s="1"/>
  <c r="X627" i="1"/>
  <c r="Y627" i="1" s="1"/>
  <c r="Z627" i="1" s="1"/>
  <c r="R627" i="1"/>
  <c r="T627" i="1" s="1"/>
  <c r="X626" i="1"/>
  <c r="Y626" i="1" s="1"/>
  <c r="Z626" i="1" s="1"/>
  <c r="R626" i="1"/>
  <c r="T626" i="1" s="1"/>
  <c r="X625" i="1"/>
  <c r="Y625" i="1" s="1"/>
  <c r="Z625" i="1" s="1"/>
  <c r="R625" i="1"/>
  <c r="T625" i="1" s="1"/>
  <c r="X624" i="1"/>
  <c r="Y624" i="1" s="1"/>
  <c r="Z624" i="1" s="1"/>
  <c r="R624" i="1"/>
  <c r="T624" i="1" s="1"/>
  <c r="X623" i="1"/>
  <c r="Y623" i="1" s="1"/>
  <c r="Z623" i="1" s="1"/>
  <c r="R623" i="1"/>
  <c r="T623" i="1" s="1"/>
  <c r="X622" i="1"/>
  <c r="Y622" i="1" s="1"/>
  <c r="Z622" i="1" s="1"/>
  <c r="R622" i="1"/>
  <c r="T622" i="1" s="1"/>
  <c r="X621" i="1"/>
  <c r="Y621" i="1" s="1"/>
  <c r="Z621" i="1" s="1"/>
  <c r="R621" i="1"/>
  <c r="T621" i="1" s="1"/>
  <c r="X620" i="1"/>
  <c r="Y620" i="1" s="1"/>
  <c r="Z620" i="1" s="1"/>
  <c r="R620" i="1"/>
  <c r="T620" i="1" s="1"/>
  <c r="X619" i="1"/>
  <c r="Y619" i="1" s="1"/>
  <c r="Z619" i="1" s="1"/>
  <c r="R619" i="1"/>
  <c r="T619" i="1" s="1"/>
  <c r="X618" i="1"/>
  <c r="Y618" i="1" s="1"/>
  <c r="Z618" i="1" s="1"/>
  <c r="R618" i="1"/>
  <c r="T618" i="1" s="1"/>
  <c r="X617" i="1"/>
  <c r="Y617" i="1" s="1"/>
  <c r="Z617" i="1" s="1"/>
  <c r="R617" i="1"/>
  <c r="T617" i="1" s="1"/>
  <c r="X616" i="1"/>
  <c r="Y616" i="1" s="1"/>
  <c r="Z616" i="1" s="1"/>
  <c r="R616" i="1"/>
  <c r="T616" i="1" s="1"/>
  <c r="X615" i="1"/>
  <c r="Y615" i="1" s="1"/>
  <c r="Z615" i="1" s="1"/>
  <c r="R615" i="1"/>
  <c r="T615" i="1" s="1"/>
  <c r="X614" i="1"/>
  <c r="Y614" i="1" s="1"/>
  <c r="Z614" i="1" s="1"/>
  <c r="R614" i="1"/>
  <c r="T614" i="1" s="1"/>
  <c r="X613" i="1"/>
  <c r="Y613" i="1" s="1"/>
  <c r="Z613" i="1" s="1"/>
  <c r="R613" i="1"/>
  <c r="T613" i="1" s="1"/>
  <c r="X612" i="1"/>
  <c r="Y612" i="1" s="1"/>
  <c r="Z612" i="1" s="1"/>
  <c r="R612" i="1"/>
  <c r="T612" i="1" s="1"/>
  <c r="X611" i="1"/>
  <c r="Y611" i="1" s="1"/>
  <c r="Z611" i="1" s="1"/>
  <c r="R611" i="1"/>
  <c r="T611" i="1" s="1"/>
  <c r="X610" i="1"/>
  <c r="Y610" i="1" s="1"/>
  <c r="Z610" i="1" s="1"/>
  <c r="R610" i="1"/>
  <c r="T610" i="1" s="1"/>
  <c r="X609" i="1"/>
  <c r="Y609" i="1" s="1"/>
  <c r="Z609" i="1" s="1"/>
  <c r="R609" i="1"/>
  <c r="T609" i="1" s="1"/>
  <c r="X608" i="1"/>
  <c r="Y608" i="1" s="1"/>
  <c r="Z608" i="1" s="1"/>
  <c r="R608" i="1"/>
  <c r="T608" i="1" s="1"/>
  <c r="X607" i="1"/>
  <c r="Y607" i="1" s="1"/>
  <c r="Z607" i="1" s="1"/>
  <c r="R607" i="1"/>
  <c r="T607" i="1" s="1"/>
  <c r="X606" i="1"/>
  <c r="Y606" i="1" s="1"/>
  <c r="Z606" i="1" s="1"/>
  <c r="R606" i="1"/>
  <c r="T606" i="1" s="1"/>
  <c r="X605" i="1"/>
  <c r="Y605" i="1" s="1"/>
  <c r="Z605" i="1" s="1"/>
  <c r="R605" i="1"/>
  <c r="T605" i="1" s="1"/>
  <c r="X604" i="1"/>
  <c r="Y604" i="1" s="1"/>
  <c r="Z604" i="1" s="1"/>
  <c r="R604" i="1"/>
  <c r="T604" i="1" s="1"/>
  <c r="X603" i="1"/>
  <c r="Y603" i="1" s="1"/>
  <c r="Z603" i="1" s="1"/>
  <c r="R603" i="1"/>
  <c r="T603" i="1" s="1"/>
  <c r="X602" i="1"/>
  <c r="Y602" i="1" s="1"/>
  <c r="Z602" i="1" s="1"/>
  <c r="R602" i="1"/>
  <c r="T602" i="1" s="1"/>
  <c r="X601" i="1"/>
  <c r="Y601" i="1" s="1"/>
  <c r="Z601" i="1" s="1"/>
  <c r="R601" i="1"/>
  <c r="T601" i="1" s="1"/>
  <c r="X600" i="1"/>
  <c r="Y600" i="1" s="1"/>
  <c r="Z600" i="1" s="1"/>
  <c r="R600" i="1"/>
  <c r="T600" i="1" s="1"/>
  <c r="X599" i="1"/>
  <c r="Y599" i="1" s="1"/>
  <c r="Z599" i="1" s="1"/>
  <c r="R599" i="1"/>
  <c r="T599" i="1" s="1"/>
  <c r="X598" i="1"/>
  <c r="Y598" i="1" s="1"/>
  <c r="Z598" i="1" s="1"/>
  <c r="R598" i="1"/>
  <c r="T598" i="1" s="1"/>
  <c r="X597" i="1"/>
  <c r="Y597" i="1" s="1"/>
  <c r="Z597" i="1" s="1"/>
  <c r="R597" i="1"/>
  <c r="T597" i="1" s="1"/>
  <c r="X596" i="1"/>
  <c r="Y596" i="1" s="1"/>
  <c r="Z596" i="1" s="1"/>
  <c r="R596" i="1"/>
  <c r="T596" i="1" s="1"/>
  <c r="X595" i="1"/>
  <c r="Y595" i="1" s="1"/>
  <c r="Z595" i="1" s="1"/>
  <c r="R595" i="1"/>
  <c r="T595" i="1" s="1"/>
  <c r="X594" i="1"/>
  <c r="Y594" i="1" s="1"/>
  <c r="Z594" i="1" s="1"/>
  <c r="R594" i="1"/>
  <c r="T594" i="1" s="1"/>
  <c r="X593" i="1"/>
  <c r="Y593" i="1" s="1"/>
  <c r="Z593" i="1" s="1"/>
  <c r="R593" i="1"/>
  <c r="T593" i="1" s="1"/>
  <c r="X592" i="1"/>
  <c r="Y592" i="1" s="1"/>
  <c r="Z592" i="1" s="1"/>
  <c r="R592" i="1"/>
  <c r="T592" i="1" s="1"/>
  <c r="X591" i="1"/>
  <c r="Y591" i="1" s="1"/>
  <c r="Z591" i="1" s="1"/>
  <c r="R591" i="1"/>
  <c r="T591" i="1" s="1"/>
  <c r="I590" i="1"/>
  <c r="I632" i="1" s="1"/>
  <c r="I638" i="1" s="1"/>
  <c r="I680" i="1" s="1"/>
  <c r="I685" i="1" s="1"/>
  <c r="I727" i="1" s="1"/>
  <c r="I732" i="1" s="1"/>
  <c r="I774" i="1" s="1"/>
  <c r="I779" i="1" s="1"/>
  <c r="I790" i="1" s="1"/>
  <c r="H590" i="1"/>
  <c r="H632" i="1" s="1"/>
  <c r="H638" i="1" s="1"/>
  <c r="H680" i="1" s="1"/>
  <c r="H685" i="1" s="1"/>
  <c r="H727" i="1" s="1"/>
  <c r="H732" i="1" s="1"/>
  <c r="H774" i="1" s="1"/>
  <c r="H779" i="1" s="1"/>
  <c r="H790" i="1" s="1"/>
  <c r="X589" i="1"/>
  <c r="Y589" i="1" s="1"/>
  <c r="X587" i="1"/>
  <c r="Y587" i="1" s="1"/>
  <c r="X586" i="1"/>
  <c r="Y586" i="1" s="1"/>
  <c r="X585" i="1"/>
  <c r="Y585" i="1" s="1"/>
  <c r="X583" i="1"/>
  <c r="Y583" i="1" s="1"/>
  <c r="X582" i="1"/>
  <c r="Y582" i="1" s="1"/>
  <c r="Z582" i="1" s="1"/>
  <c r="R582" i="1"/>
  <c r="T582" i="1" s="1"/>
  <c r="X581" i="1"/>
  <c r="Y581" i="1" s="1"/>
  <c r="Z581" i="1" s="1"/>
  <c r="R581" i="1"/>
  <c r="T581" i="1" s="1"/>
  <c r="X580" i="1"/>
  <c r="Y580" i="1" s="1"/>
  <c r="Z580" i="1" s="1"/>
  <c r="R580" i="1"/>
  <c r="T580" i="1" s="1"/>
  <c r="X579" i="1"/>
  <c r="Y579" i="1" s="1"/>
  <c r="Z579" i="1" s="1"/>
  <c r="R579" i="1"/>
  <c r="T579" i="1" s="1"/>
  <c r="X578" i="1"/>
  <c r="Y578" i="1" s="1"/>
  <c r="Z578" i="1" s="1"/>
  <c r="R578" i="1"/>
  <c r="T578" i="1" s="1"/>
  <c r="X577" i="1"/>
  <c r="Y577" i="1" s="1"/>
  <c r="Z577" i="1" s="1"/>
  <c r="R577" i="1"/>
  <c r="T577" i="1" s="1"/>
  <c r="X576" i="1"/>
  <c r="Y576" i="1" s="1"/>
  <c r="Z576" i="1" s="1"/>
  <c r="R576" i="1"/>
  <c r="T576" i="1" s="1"/>
  <c r="X575" i="1"/>
  <c r="Y575" i="1" s="1"/>
  <c r="Z575" i="1" s="1"/>
  <c r="R575" i="1"/>
  <c r="T575" i="1" s="1"/>
  <c r="X574" i="1"/>
  <c r="Y574" i="1" s="1"/>
  <c r="Z574" i="1" s="1"/>
  <c r="R574" i="1"/>
  <c r="T574" i="1" s="1"/>
  <c r="X573" i="1"/>
  <c r="Y573" i="1" s="1"/>
  <c r="Z573" i="1" s="1"/>
  <c r="R573" i="1"/>
  <c r="T573" i="1" s="1"/>
  <c r="X572" i="1"/>
  <c r="Y572" i="1" s="1"/>
  <c r="Z572" i="1" s="1"/>
  <c r="R572" i="1"/>
  <c r="T572" i="1" s="1"/>
  <c r="X571" i="1"/>
  <c r="Y571" i="1" s="1"/>
  <c r="Z571" i="1" s="1"/>
  <c r="R571" i="1"/>
  <c r="T571" i="1" s="1"/>
  <c r="X570" i="1"/>
  <c r="Y570" i="1" s="1"/>
  <c r="Z570" i="1" s="1"/>
  <c r="R570" i="1"/>
  <c r="T570" i="1" s="1"/>
  <c r="X569" i="1"/>
  <c r="Y569" i="1" s="1"/>
  <c r="Z569" i="1" s="1"/>
  <c r="R569" i="1"/>
  <c r="T569" i="1" s="1"/>
  <c r="X568" i="1"/>
  <c r="Y568" i="1" s="1"/>
  <c r="Z568" i="1" s="1"/>
  <c r="R568" i="1"/>
  <c r="T568" i="1" s="1"/>
  <c r="X567" i="1"/>
  <c r="Y567" i="1" s="1"/>
  <c r="Z567" i="1" s="1"/>
  <c r="R567" i="1"/>
  <c r="T567" i="1" s="1"/>
  <c r="X566" i="1"/>
  <c r="Y566" i="1" s="1"/>
  <c r="Z566" i="1" s="1"/>
  <c r="R566" i="1"/>
  <c r="T566" i="1" s="1"/>
  <c r="X565" i="1"/>
  <c r="Y565" i="1" s="1"/>
  <c r="Z565" i="1" s="1"/>
  <c r="R565" i="1"/>
  <c r="T565" i="1" s="1"/>
  <c r="X564" i="1"/>
  <c r="Y564" i="1" s="1"/>
  <c r="Z564" i="1" s="1"/>
  <c r="R564" i="1"/>
  <c r="T564" i="1" s="1"/>
  <c r="X563" i="1"/>
  <c r="Y563" i="1" s="1"/>
  <c r="Z563" i="1" s="1"/>
  <c r="R563" i="1"/>
  <c r="T563" i="1" s="1"/>
  <c r="X562" i="1"/>
  <c r="Y562" i="1" s="1"/>
  <c r="Z562" i="1" s="1"/>
  <c r="R562" i="1"/>
  <c r="T562" i="1" s="1"/>
  <c r="X561" i="1"/>
  <c r="Y561" i="1" s="1"/>
  <c r="Z561" i="1" s="1"/>
  <c r="R561" i="1"/>
  <c r="T561" i="1" s="1"/>
  <c r="X560" i="1"/>
  <c r="Y560" i="1" s="1"/>
  <c r="Z560" i="1" s="1"/>
  <c r="R560" i="1"/>
  <c r="T560" i="1" s="1"/>
  <c r="X559" i="1"/>
  <c r="Y559" i="1" s="1"/>
  <c r="Z559" i="1" s="1"/>
  <c r="R559" i="1"/>
  <c r="T559" i="1" s="1"/>
  <c r="X558" i="1"/>
  <c r="Y558" i="1" s="1"/>
  <c r="Z558" i="1" s="1"/>
  <c r="R558" i="1"/>
  <c r="T558" i="1" s="1"/>
  <c r="X557" i="1"/>
  <c r="Y557" i="1" s="1"/>
  <c r="Z557" i="1" s="1"/>
  <c r="R557" i="1"/>
  <c r="T557" i="1" s="1"/>
  <c r="X556" i="1"/>
  <c r="Y556" i="1" s="1"/>
  <c r="Z556" i="1" s="1"/>
  <c r="R556" i="1"/>
  <c r="T556" i="1" s="1"/>
  <c r="X555" i="1"/>
  <c r="Y555" i="1" s="1"/>
  <c r="Z555" i="1" s="1"/>
  <c r="R555" i="1"/>
  <c r="T555" i="1" s="1"/>
  <c r="X554" i="1"/>
  <c r="Y554" i="1" s="1"/>
  <c r="Z554" i="1" s="1"/>
  <c r="R554" i="1"/>
  <c r="T554" i="1" s="1"/>
  <c r="X553" i="1"/>
  <c r="Y553" i="1" s="1"/>
  <c r="Z553" i="1" s="1"/>
  <c r="R553" i="1"/>
  <c r="T553" i="1" s="1"/>
  <c r="X552" i="1"/>
  <c r="Y552" i="1" s="1"/>
  <c r="Z552" i="1" s="1"/>
  <c r="R552" i="1"/>
  <c r="T552" i="1" s="1"/>
  <c r="X551" i="1"/>
  <c r="Y551" i="1" s="1"/>
  <c r="Z551" i="1" s="1"/>
  <c r="R551" i="1"/>
  <c r="T551" i="1" s="1"/>
  <c r="X550" i="1"/>
  <c r="Y550" i="1" s="1"/>
  <c r="Z550" i="1" s="1"/>
  <c r="R550" i="1"/>
  <c r="T550" i="1" s="1"/>
  <c r="X549" i="1"/>
  <c r="Y549" i="1" s="1"/>
  <c r="Z549" i="1" s="1"/>
  <c r="R549" i="1"/>
  <c r="T549" i="1" s="1"/>
  <c r="X548" i="1"/>
  <c r="Y548" i="1" s="1"/>
  <c r="Z548" i="1" s="1"/>
  <c r="R548" i="1"/>
  <c r="T548" i="1" s="1"/>
  <c r="X547" i="1"/>
  <c r="Y547" i="1" s="1"/>
  <c r="Z547" i="1" s="1"/>
  <c r="R547" i="1"/>
  <c r="T547" i="1" s="1"/>
  <c r="X546" i="1"/>
  <c r="Y546" i="1" s="1"/>
  <c r="Z546" i="1" s="1"/>
  <c r="R546" i="1"/>
  <c r="T546" i="1" s="1"/>
  <c r="X545" i="1"/>
  <c r="Y545" i="1" s="1"/>
  <c r="Z545" i="1" s="1"/>
  <c r="R545" i="1"/>
  <c r="T545" i="1" s="1"/>
  <c r="X544" i="1"/>
  <c r="Y544" i="1" s="1"/>
  <c r="Z544" i="1" s="1"/>
  <c r="R544" i="1"/>
  <c r="T544" i="1" s="1"/>
  <c r="X543" i="1"/>
  <c r="Y543" i="1" s="1"/>
  <c r="Z543" i="1" s="1"/>
  <c r="R543" i="1"/>
  <c r="T543" i="1" s="1"/>
  <c r="X541" i="1"/>
  <c r="Y541" i="1" s="1"/>
  <c r="X539" i="1"/>
  <c r="Y539" i="1" s="1"/>
  <c r="X538" i="1"/>
  <c r="Y538" i="1" s="1"/>
  <c r="X537" i="1"/>
  <c r="Y537" i="1" s="1"/>
  <c r="X535" i="1"/>
  <c r="Y535" i="1" s="1"/>
  <c r="X534" i="1"/>
  <c r="Y534" i="1" s="1"/>
  <c r="Z534" i="1" s="1"/>
  <c r="R534" i="1"/>
  <c r="T534" i="1" s="1"/>
  <c r="X533" i="1"/>
  <c r="Y533" i="1" s="1"/>
  <c r="Z533" i="1" s="1"/>
  <c r="R533" i="1"/>
  <c r="T533" i="1" s="1"/>
  <c r="X532" i="1"/>
  <c r="Y532" i="1" s="1"/>
  <c r="Z532" i="1" s="1"/>
  <c r="R532" i="1"/>
  <c r="T532" i="1" s="1"/>
  <c r="X531" i="1"/>
  <c r="Y531" i="1" s="1"/>
  <c r="Z531" i="1" s="1"/>
  <c r="R531" i="1"/>
  <c r="T531" i="1" s="1"/>
  <c r="X530" i="1"/>
  <c r="Y530" i="1" s="1"/>
  <c r="Z530" i="1" s="1"/>
  <c r="R530" i="1"/>
  <c r="T530" i="1" s="1"/>
  <c r="X529" i="1"/>
  <c r="Y529" i="1" s="1"/>
  <c r="Z529" i="1" s="1"/>
  <c r="R529" i="1"/>
  <c r="T529" i="1" s="1"/>
  <c r="X528" i="1"/>
  <c r="Y528" i="1" s="1"/>
  <c r="Z528" i="1" s="1"/>
  <c r="R528" i="1"/>
  <c r="T528" i="1" s="1"/>
  <c r="X527" i="1"/>
  <c r="Y527" i="1" s="1"/>
  <c r="Z527" i="1" s="1"/>
  <c r="R527" i="1"/>
  <c r="T527" i="1" s="1"/>
  <c r="X526" i="1"/>
  <c r="Y526" i="1" s="1"/>
  <c r="Z526" i="1" s="1"/>
  <c r="R526" i="1"/>
  <c r="T526" i="1" s="1"/>
  <c r="X525" i="1"/>
  <c r="Y525" i="1" s="1"/>
  <c r="Z525" i="1" s="1"/>
  <c r="R525" i="1"/>
  <c r="T525" i="1" s="1"/>
  <c r="X524" i="1"/>
  <c r="Y524" i="1" s="1"/>
  <c r="Z524" i="1" s="1"/>
  <c r="R524" i="1"/>
  <c r="T524" i="1" s="1"/>
  <c r="X523" i="1"/>
  <c r="Y523" i="1" s="1"/>
  <c r="Z523" i="1" s="1"/>
  <c r="R523" i="1"/>
  <c r="T523" i="1" s="1"/>
  <c r="X522" i="1"/>
  <c r="Y522" i="1" s="1"/>
  <c r="Z522" i="1" s="1"/>
  <c r="R522" i="1"/>
  <c r="T522" i="1" s="1"/>
  <c r="X521" i="1"/>
  <c r="Y521" i="1" s="1"/>
  <c r="Z521" i="1" s="1"/>
  <c r="R521" i="1"/>
  <c r="T521" i="1" s="1"/>
  <c r="X520" i="1"/>
  <c r="Y520" i="1" s="1"/>
  <c r="Z520" i="1" s="1"/>
  <c r="R520" i="1"/>
  <c r="T520" i="1" s="1"/>
  <c r="X519" i="1"/>
  <c r="Y519" i="1" s="1"/>
  <c r="Z519" i="1" s="1"/>
  <c r="R519" i="1"/>
  <c r="T519" i="1" s="1"/>
  <c r="X518" i="1"/>
  <c r="Y518" i="1" s="1"/>
  <c r="Z518" i="1" s="1"/>
  <c r="R518" i="1"/>
  <c r="T518" i="1" s="1"/>
  <c r="X517" i="1"/>
  <c r="Y517" i="1" s="1"/>
  <c r="Z517" i="1" s="1"/>
  <c r="R517" i="1"/>
  <c r="T517" i="1" s="1"/>
  <c r="X516" i="1"/>
  <c r="Y516" i="1" s="1"/>
  <c r="Z516" i="1" s="1"/>
  <c r="R516" i="1"/>
  <c r="T516" i="1" s="1"/>
  <c r="X515" i="1"/>
  <c r="Y515" i="1" s="1"/>
  <c r="Z515" i="1" s="1"/>
  <c r="R515" i="1"/>
  <c r="T515" i="1" s="1"/>
  <c r="X514" i="1"/>
  <c r="Y514" i="1" s="1"/>
  <c r="Z514" i="1" s="1"/>
  <c r="R514" i="1"/>
  <c r="T514" i="1" s="1"/>
  <c r="X513" i="1"/>
  <c r="Y513" i="1" s="1"/>
  <c r="Z513" i="1" s="1"/>
  <c r="R513" i="1"/>
  <c r="T513" i="1" s="1"/>
  <c r="X512" i="1"/>
  <c r="Y512" i="1" s="1"/>
  <c r="Z512" i="1" s="1"/>
  <c r="R512" i="1"/>
  <c r="T512" i="1" s="1"/>
  <c r="X511" i="1"/>
  <c r="Y511" i="1" s="1"/>
  <c r="Z511" i="1" s="1"/>
  <c r="R511" i="1"/>
  <c r="T511" i="1" s="1"/>
  <c r="X510" i="1"/>
  <c r="Y510" i="1" s="1"/>
  <c r="Z510" i="1" s="1"/>
  <c r="R510" i="1"/>
  <c r="T510" i="1" s="1"/>
  <c r="X509" i="1"/>
  <c r="Y509" i="1" s="1"/>
  <c r="Z509" i="1" s="1"/>
  <c r="R509" i="1"/>
  <c r="T509" i="1" s="1"/>
  <c r="X508" i="1"/>
  <c r="Y508" i="1" s="1"/>
  <c r="Z508" i="1" s="1"/>
  <c r="R508" i="1"/>
  <c r="T508" i="1" s="1"/>
  <c r="X507" i="1"/>
  <c r="Y507" i="1" s="1"/>
  <c r="Z507" i="1" s="1"/>
  <c r="R507" i="1"/>
  <c r="T507" i="1" s="1"/>
  <c r="X506" i="1"/>
  <c r="Y506" i="1" s="1"/>
  <c r="Z506" i="1" s="1"/>
  <c r="R506" i="1"/>
  <c r="T506" i="1" s="1"/>
  <c r="X505" i="1"/>
  <c r="Y505" i="1" s="1"/>
  <c r="Z505" i="1" s="1"/>
  <c r="R505" i="1"/>
  <c r="T505" i="1" s="1"/>
  <c r="X504" i="1"/>
  <c r="Y504" i="1" s="1"/>
  <c r="Z504" i="1" s="1"/>
  <c r="R504" i="1"/>
  <c r="T504" i="1" s="1"/>
  <c r="X503" i="1"/>
  <c r="Y503" i="1" s="1"/>
  <c r="Z503" i="1" s="1"/>
  <c r="R503" i="1"/>
  <c r="T503" i="1" s="1"/>
  <c r="X502" i="1"/>
  <c r="Y502" i="1" s="1"/>
  <c r="Z502" i="1" s="1"/>
  <c r="R502" i="1"/>
  <c r="T502" i="1" s="1"/>
  <c r="X501" i="1"/>
  <c r="Y501" i="1" s="1"/>
  <c r="Z501" i="1" s="1"/>
  <c r="R501" i="1"/>
  <c r="T501" i="1" s="1"/>
  <c r="X500" i="1"/>
  <c r="Y500" i="1" s="1"/>
  <c r="Z500" i="1" s="1"/>
  <c r="R500" i="1"/>
  <c r="T500" i="1" s="1"/>
  <c r="X499" i="1"/>
  <c r="Y499" i="1" s="1"/>
  <c r="Z499" i="1" s="1"/>
  <c r="R499" i="1"/>
  <c r="T499" i="1" s="1"/>
  <c r="X498" i="1"/>
  <c r="Y498" i="1" s="1"/>
  <c r="Z498" i="1" s="1"/>
  <c r="R498" i="1"/>
  <c r="T498" i="1" s="1"/>
  <c r="X497" i="1"/>
  <c r="Y497" i="1" s="1"/>
  <c r="Z497" i="1" s="1"/>
  <c r="R497" i="1"/>
  <c r="T497" i="1" s="1"/>
  <c r="X496" i="1"/>
  <c r="Y496" i="1" s="1"/>
  <c r="Z496" i="1" s="1"/>
  <c r="R496" i="1"/>
  <c r="T496" i="1" s="1"/>
  <c r="X495" i="1"/>
  <c r="Y495" i="1" s="1"/>
  <c r="Z495" i="1" s="1"/>
  <c r="R495" i="1"/>
  <c r="T495" i="1" s="1"/>
  <c r="X493" i="1"/>
  <c r="Y493" i="1" s="1"/>
  <c r="X491" i="1"/>
  <c r="Y491" i="1" s="1"/>
  <c r="X490" i="1"/>
  <c r="Y490" i="1" s="1"/>
  <c r="X489" i="1"/>
  <c r="Y489" i="1" s="1"/>
  <c r="X487" i="1"/>
  <c r="Y487" i="1" s="1"/>
  <c r="Z487" i="1" s="1"/>
  <c r="X486" i="1"/>
  <c r="Y486" i="1" s="1"/>
  <c r="Z486" i="1" s="1"/>
  <c r="R486" i="1"/>
  <c r="T486" i="1" s="1"/>
  <c r="X485" i="1"/>
  <c r="Y485" i="1" s="1"/>
  <c r="Z485" i="1" s="1"/>
  <c r="R485" i="1"/>
  <c r="T485" i="1" s="1"/>
  <c r="X484" i="1"/>
  <c r="Y484" i="1" s="1"/>
  <c r="Z484" i="1" s="1"/>
  <c r="R484" i="1"/>
  <c r="T484" i="1" s="1"/>
  <c r="X483" i="1"/>
  <c r="Y483" i="1" s="1"/>
  <c r="Z483" i="1" s="1"/>
  <c r="R483" i="1"/>
  <c r="T483" i="1" s="1"/>
  <c r="X482" i="1"/>
  <c r="Y482" i="1" s="1"/>
  <c r="Z482" i="1" s="1"/>
  <c r="R482" i="1"/>
  <c r="T482" i="1" s="1"/>
  <c r="X481" i="1"/>
  <c r="Y481" i="1" s="1"/>
  <c r="Z481" i="1" s="1"/>
  <c r="R481" i="1"/>
  <c r="T481" i="1" s="1"/>
  <c r="X480" i="1"/>
  <c r="Y480" i="1" s="1"/>
  <c r="Z480" i="1" s="1"/>
  <c r="R480" i="1"/>
  <c r="T480" i="1" s="1"/>
  <c r="X479" i="1"/>
  <c r="Y479" i="1" s="1"/>
  <c r="Z479" i="1" s="1"/>
  <c r="R479" i="1"/>
  <c r="T479" i="1" s="1"/>
  <c r="X478" i="1"/>
  <c r="Y478" i="1" s="1"/>
  <c r="Z478" i="1" s="1"/>
  <c r="R478" i="1"/>
  <c r="T478" i="1" s="1"/>
  <c r="X477" i="1"/>
  <c r="Y477" i="1" s="1"/>
  <c r="Z477" i="1" s="1"/>
  <c r="R477" i="1"/>
  <c r="T477" i="1" s="1"/>
  <c r="X476" i="1"/>
  <c r="Y476" i="1" s="1"/>
  <c r="Z476" i="1" s="1"/>
  <c r="R476" i="1"/>
  <c r="T476" i="1" s="1"/>
  <c r="X475" i="1"/>
  <c r="Y475" i="1" s="1"/>
  <c r="Z475" i="1" s="1"/>
  <c r="R475" i="1"/>
  <c r="T475" i="1" s="1"/>
  <c r="X474" i="1"/>
  <c r="Y474" i="1" s="1"/>
  <c r="Z474" i="1" s="1"/>
  <c r="R474" i="1"/>
  <c r="T474" i="1" s="1"/>
  <c r="X473" i="1"/>
  <c r="Y473" i="1" s="1"/>
  <c r="Z473" i="1" s="1"/>
  <c r="R473" i="1"/>
  <c r="T473" i="1" s="1"/>
  <c r="X472" i="1"/>
  <c r="Y472" i="1" s="1"/>
  <c r="Z472" i="1" s="1"/>
  <c r="R472" i="1"/>
  <c r="T472" i="1" s="1"/>
  <c r="X471" i="1"/>
  <c r="Y471" i="1" s="1"/>
  <c r="Z471" i="1" s="1"/>
  <c r="R471" i="1"/>
  <c r="T471" i="1" s="1"/>
  <c r="X470" i="1"/>
  <c r="Y470" i="1" s="1"/>
  <c r="Z470" i="1" s="1"/>
  <c r="R470" i="1"/>
  <c r="T470" i="1" s="1"/>
  <c r="X469" i="1"/>
  <c r="Y469" i="1" s="1"/>
  <c r="Z469" i="1" s="1"/>
  <c r="R469" i="1"/>
  <c r="T469" i="1" s="1"/>
  <c r="X468" i="1"/>
  <c r="Y468" i="1" s="1"/>
  <c r="Z468" i="1" s="1"/>
  <c r="R468" i="1"/>
  <c r="T468" i="1" s="1"/>
  <c r="X467" i="1"/>
  <c r="Y467" i="1" s="1"/>
  <c r="Z467" i="1" s="1"/>
  <c r="R467" i="1"/>
  <c r="T467" i="1" s="1"/>
  <c r="X466" i="1"/>
  <c r="Y466" i="1" s="1"/>
  <c r="Z466" i="1" s="1"/>
  <c r="R466" i="1"/>
  <c r="T466" i="1" s="1"/>
  <c r="X465" i="1"/>
  <c r="Y465" i="1" s="1"/>
  <c r="Z465" i="1" s="1"/>
  <c r="R465" i="1"/>
  <c r="T465" i="1" s="1"/>
  <c r="X464" i="1"/>
  <c r="Y464" i="1" s="1"/>
  <c r="Z464" i="1" s="1"/>
  <c r="R464" i="1"/>
  <c r="T464" i="1" s="1"/>
  <c r="X463" i="1"/>
  <c r="Y463" i="1" s="1"/>
  <c r="Z463" i="1" s="1"/>
  <c r="R463" i="1"/>
  <c r="T463" i="1" s="1"/>
  <c r="X462" i="1"/>
  <c r="Y462" i="1" s="1"/>
  <c r="Z462" i="1" s="1"/>
  <c r="R462" i="1"/>
  <c r="T462" i="1" s="1"/>
  <c r="X461" i="1"/>
  <c r="Y461" i="1" s="1"/>
  <c r="Z461" i="1" s="1"/>
  <c r="R461" i="1"/>
  <c r="T461" i="1" s="1"/>
  <c r="X460" i="1"/>
  <c r="Y460" i="1" s="1"/>
  <c r="Z460" i="1" s="1"/>
  <c r="R460" i="1"/>
  <c r="T460" i="1" s="1"/>
  <c r="X459" i="1"/>
  <c r="Y459" i="1" s="1"/>
  <c r="Z459" i="1" s="1"/>
  <c r="R459" i="1"/>
  <c r="T459" i="1" s="1"/>
  <c r="X458" i="1"/>
  <c r="Y458" i="1" s="1"/>
  <c r="Z458" i="1" s="1"/>
  <c r="R458" i="1"/>
  <c r="T458" i="1" s="1"/>
  <c r="X457" i="1"/>
  <c r="Y457" i="1" s="1"/>
  <c r="Z457" i="1" s="1"/>
  <c r="R457" i="1"/>
  <c r="T457" i="1" s="1"/>
  <c r="X456" i="1"/>
  <c r="Y456" i="1" s="1"/>
  <c r="Z456" i="1" s="1"/>
  <c r="R456" i="1"/>
  <c r="T456" i="1" s="1"/>
  <c r="X455" i="1"/>
  <c r="Y455" i="1" s="1"/>
  <c r="Z455" i="1" s="1"/>
  <c r="R455" i="1"/>
  <c r="T455" i="1" s="1"/>
  <c r="X454" i="1"/>
  <c r="Y454" i="1" s="1"/>
  <c r="Z454" i="1" s="1"/>
  <c r="R454" i="1"/>
  <c r="T454" i="1" s="1"/>
  <c r="X453" i="1"/>
  <c r="Y453" i="1" s="1"/>
  <c r="Z453" i="1" s="1"/>
  <c r="R453" i="1"/>
  <c r="T453" i="1" s="1"/>
  <c r="X452" i="1"/>
  <c r="Y452" i="1" s="1"/>
  <c r="Z452" i="1" s="1"/>
  <c r="R452" i="1"/>
  <c r="T452" i="1" s="1"/>
  <c r="X451" i="1"/>
  <c r="Y451" i="1" s="1"/>
  <c r="Z451" i="1" s="1"/>
  <c r="R451" i="1"/>
  <c r="T451" i="1" s="1"/>
  <c r="X450" i="1"/>
  <c r="Y450" i="1" s="1"/>
  <c r="Z450" i="1" s="1"/>
  <c r="R450" i="1"/>
  <c r="T450" i="1" s="1"/>
  <c r="X449" i="1"/>
  <c r="Y449" i="1" s="1"/>
  <c r="Z449" i="1" s="1"/>
  <c r="R449" i="1"/>
  <c r="T449" i="1" s="1"/>
  <c r="X448" i="1"/>
  <c r="Y448" i="1" s="1"/>
  <c r="Z448" i="1" s="1"/>
  <c r="R448" i="1"/>
  <c r="T448" i="1" s="1"/>
  <c r="X447" i="1"/>
  <c r="Y447" i="1" s="1"/>
  <c r="Z447" i="1" s="1"/>
  <c r="R447" i="1"/>
  <c r="T447" i="1" s="1"/>
  <c r="X445" i="1"/>
  <c r="Y445" i="1" s="1"/>
  <c r="X443" i="1"/>
  <c r="Y443" i="1" s="1"/>
  <c r="X442" i="1"/>
  <c r="Y442" i="1" s="1"/>
  <c r="X441" i="1"/>
  <c r="Y441" i="1" s="1"/>
  <c r="X440" i="1"/>
  <c r="Y440" i="1" s="1"/>
  <c r="X438" i="1"/>
  <c r="Y438" i="1" s="1"/>
  <c r="X437" i="1"/>
  <c r="Y437" i="1" s="1"/>
  <c r="Z437" i="1" s="1"/>
  <c r="R437" i="1"/>
  <c r="T437" i="1" s="1"/>
  <c r="X436" i="1"/>
  <c r="Y436" i="1" s="1"/>
  <c r="Z436" i="1" s="1"/>
  <c r="R436" i="1"/>
  <c r="T436" i="1" s="1"/>
  <c r="X435" i="1"/>
  <c r="Y435" i="1" s="1"/>
  <c r="Z435" i="1" s="1"/>
  <c r="R435" i="1"/>
  <c r="T435" i="1" s="1"/>
  <c r="X434" i="1"/>
  <c r="Y434" i="1" s="1"/>
  <c r="Z434" i="1" s="1"/>
  <c r="R434" i="1"/>
  <c r="T434" i="1" s="1"/>
  <c r="X433" i="1"/>
  <c r="Y433" i="1" s="1"/>
  <c r="Z433" i="1" s="1"/>
  <c r="R433" i="1"/>
  <c r="T433" i="1" s="1"/>
  <c r="X432" i="1"/>
  <c r="Y432" i="1" s="1"/>
  <c r="Z432" i="1" s="1"/>
  <c r="R432" i="1"/>
  <c r="T432" i="1" s="1"/>
  <c r="X431" i="1"/>
  <c r="Y431" i="1" s="1"/>
  <c r="Z431" i="1" s="1"/>
  <c r="R431" i="1"/>
  <c r="T431" i="1" s="1"/>
  <c r="X430" i="1"/>
  <c r="Y430" i="1" s="1"/>
  <c r="Z430" i="1" s="1"/>
  <c r="R430" i="1"/>
  <c r="T430" i="1" s="1"/>
  <c r="X429" i="1"/>
  <c r="Y429" i="1" s="1"/>
  <c r="Z429" i="1" s="1"/>
  <c r="R429" i="1"/>
  <c r="T429" i="1" s="1"/>
  <c r="X428" i="1"/>
  <c r="Y428" i="1" s="1"/>
  <c r="Z428" i="1" s="1"/>
  <c r="R428" i="1"/>
  <c r="T428" i="1" s="1"/>
  <c r="X427" i="1"/>
  <c r="Y427" i="1" s="1"/>
  <c r="Z427" i="1" s="1"/>
  <c r="R427" i="1"/>
  <c r="T427" i="1" s="1"/>
  <c r="X426" i="1"/>
  <c r="Y426" i="1" s="1"/>
  <c r="Z426" i="1" s="1"/>
  <c r="R426" i="1"/>
  <c r="T426" i="1" s="1"/>
  <c r="X425" i="1"/>
  <c r="Y425" i="1" s="1"/>
  <c r="Z425" i="1" s="1"/>
  <c r="R425" i="1"/>
  <c r="T425" i="1" s="1"/>
  <c r="X424" i="1"/>
  <c r="Y424" i="1" s="1"/>
  <c r="Z424" i="1" s="1"/>
  <c r="R424" i="1"/>
  <c r="T424" i="1" s="1"/>
  <c r="X423" i="1"/>
  <c r="Y423" i="1" s="1"/>
  <c r="Z423" i="1" s="1"/>
  <c r="R423" i="1"/>
  <c r="T423" i="1" s="1"/>
  <c r="X422" i="1"/>
  <c r="Y422" i="1" s="1"/>
  <c r="Z422" i="1" s="1"/>
  <c r="R422" i="1"/>
  <c r="T422" i="1" s="1"/>
  <c r="X421" i="1"/>
  <c r="Y421" i="1" s="1"/>
  <c r="Z421" i="1" s="1"/>
  <c r="R421" i="1"/>
  <c r="T421" i="1" s="1"/>
  <c r="X420" i="1"/>
  <c r="Y420" i="1" s="1"/>
  <c r="Z420" i="1" s="1"/>
  <c r="R420" i="1"/>
  <c r="T420" i="1" s="1"/>
  <c r="X419" i="1"/>
  <c r="Y419" i="1" s="1"/>
  <c r="Z419" i="1" s="1"/>
  <c r="R419" i="1"/>
  <c r="T419" i="1" s="1"/>
  <c r="X418" i="1"/>
  <c r="Y418" i="1" s="1"/>
  <c r="Z418" i="1" s="1"/>
  <c r="R418" i="1"/>
  <c r="T418" i="1" s="1"/>
  <c r="X417" i="1"/>
  <c r="Y417" i="1" s="1"/>
  <c r="Z417" i="1" s="1"/>
  <c r="R417" i="1"/>
  <c r="T417" i="1" s="1"/>
  <c r="X416" i="1"/>
  <c r="Y416" i="1" s="1"/>
  <c r="Z416" i="1" s="1"/>
  <c r="R416" i="1"/>
  <c r="T416" i="1" s="1"/>
  <c r="X415" i="1"/>
  <c r="Y415" i="1" s="1"/>
  <c r="Z415" i="1" s="1"/>
  <c r="R415" i="1"/>
  <c r="T415" i="1" s="1"/>
  <c r="X414" i="1"/>
  <c r="Y414" i="1" s="1"/>
  <c r="Z414" i="1" s="1"/>
  <c r="R414" i="1"/>
  <c r="T414" i="1" s="1"/>
  <c r="X413" i="1"/>
  <c r="Y413" i="1" s="1"/>
  <c r="Z413" i="1" s="1"/>
  <c r="R413" i="1"/>
  <c r="T413" i="1" s="1"/>
  <c r="X412" i="1"/>
  <c r="Y412" i="1" s="1"/>
  <c r="Z412" i="1" s="1"/>
  <c r="R412" i="1"/>
  <c r="T412" i="1" s="1"/>
  <c r="X411" i="1"/>
  <c r="Y411" i="1" s="1"/>
  <c r="Z411" i="1" s="1"/>
  <c r="R411" i="1"/>
  <c r="T411" i="1" s="1"/>
  <c r="X410" i="1"/>
  <c r="Y410" i="1" s="1"/>
  <c r="Z410" i="1" s="1"/>
  <c r="R410" i="1"/>
  <c r="T410" i="1" s="1"/>
  <c r="X409" i="1"/>
  <c r="Y409" i="1" s="1"/>
  <c r="Z409" i="1" s="1"/>
  <c r="R409" i="1"/>
  <c r="T409" i="1" s="1"/>
  <c r="X408" i="1"/>
  <c r="Y408" i="1" s="1"/>
  <c r="Z408" i="1" s="1"/>
  <c r="R408" i="1"/>
  <c r="T408" i="1" s="1"/>
  <c r="X407" i="1"/>
  <c r="Y407" i="1" s="1"/>
  <c r="Z407" i="1" s="1"/>
  <c r="R407" i="1"/>
  <c r="T407" i="1" s="1"/>
  <c r="X406" i="1"/>
  <c r="Y406" i="1" s="1"/>
  <c r="Z406" i="1" s="1"/>
  <c r="R406" i="1"/>
  <c r="T406" i="1" s="1"/>
  <c r="X405" i="1"/>
  <c r="Y405" i="1" s="1"/>
  <c r="Z405" i="1" s="1"/>
  <c r="R405" i="1"/>
  <c r="T405" i="1" s="1"/>
  <c r="X404" i="1"/>
  <c r="Y404" i="1" s="1"/>
  <c r="Z404" i="1" s="1"/>
  <c r="R404" i="1"/>
  <c r="T404" i="1" s="1"/>
  <c r="X403" i="1"/>
  <c r="Y403" i="1" s="1"/>
  <c r="Z403" i="1" s="1"/>
  <c r="R403" i="1"/>
  <c r="T403" i="1" s="1"/>
  <c r="X402" i="1"/>
  <c r="Y402" i="1" s="1"/>
  <c r="Z402" i="1" s="1"/>
  <c r="R402" i="1"/>
  <c r="T402" i="1" s="1"/>
  <c r="X401" i="1"/>
  <c r="Y401" i="1" s="1"/>
  <c r="Z401" i="1" s="1"/>
  <c r="R401" i="1"/>
  <c r="T401" i="1" s="1"/>
  <c r="X400" i="1"/>
  <c r="Y400" i="1" s="1"/>
  <c r="Z400" i="1" s="1"/>
  <c r="R400" i="1"/>
  <c r="T400" i="1" s="1"/>
  <c r="X399" i="1"/>
  <c r="Y399" i="1" s="1"/>
  <c r="Z399" i="1" s="1"/>
  <c r="R399" i="1"/>
  <c r="T399" i="1" s="1"/>
  <c r="X398" i="1"/>
  <c r="Y398" i="1" s="1"/>
  <c r="Z398" i="1" s="1"/>
  <c r="R398" i="1"/>
  <c r="T398" i="1" s="1"/>
  <c r="X396" i="1"/>
  <c r="Y396" i="1" s="1"/>
  <c r="X393" i="1"/>
  <c r="Y393" i="1" s="1"/>
  <c r="Q392" i="1"/>
  <c r="Q397" i="1" s="1"/>
  <c r="Q439" i="1" s="1"/>
  <c r="Q446" i="1" s="1"/>
  <c r="P392" i="1"/>
  <c r="P397" i="1" s="1"/>
  <c r="P439" i="1" s="1"/>
  <c r="P446" i="1" s="1"/>
  <c r="P488" i="1" s="1"/>
  <c r="P494" i="1" s="1"/>
  <c r="P536" i="1" s="1"/>
  <c r="P542" i="1" s="1"/>
  <c r="P584" i="1" s="1"/>
  <c r="P590" i="1" s="1"/>
  <c r="P632" i="1" s="1"/>
  <c r="P638" i="1" s="1"/>
  <c r="P680" i="1" s="1"/>
  <c r="P685" i="1" s="1"/>
  <c r="P727" i="1" s="1"/>
  <c r="P732" i="1" s="1"/>
  <c r="P774" i="1" s="1"/>
  <c r="P779" i="1" s="1"/>
  <c r="P790" i="1" s="1"/>
  <c r="O392" i="1"/>
  <c r="O397" i="1" s="1"/>
  <c r="O439" i="1" s="1"/>
  <c r="O446" i="1" s="1"/>
  <c r="O488" i="1" s="1"/>
  <c r="O494" i="1" s="1"/>
  <c r="O536" i="1" s="1"/>
  <c r="O542" i="1" s="1"/>
  <c r="O584" i="1" s="1"/>
  <c r="O590" i="1" s="1"/>
  <c r="O632" i="1" s="1"/>
  <c r="O638" i="1" s="1"/>
  <c r="O680" i="1" s="1"/>
  <c r="O685" i="1" s="1"/>
  <c r="O727" i="1" s="1"/>
  <c r="O732" i="1" s="1"/>
  <c r="O774" i="1" s="1"/>
  <c r="O779" i="1" s="1"/>
  <c r="O790" i="1" s="1"/>
  <c r="N392" i="1"/>
  <c r="N397" i="1" s="1"/>
  <c r="N439" i="1" s="1"/>
  <c r="N446" i="1" s="1"/>
  <c r="N488" i="1" s="1"/>
  <c r="N494" i="1" s="1"/>
  <c r="N536" i="1" s="1"/>
  <c r="N542" i="1" s="1"/>
  <c r="N584" i="1" s="1"/>
  <c r="N590" i="1" s="1"/>
  <c r="N632" i="1" s="1"/>
  <c r="N638" i="1" s="1"/>
  <c r="N680" i="1" s="1"/>
  <c r="N685" i="1" s="1"/>
  <c r="N727" i="1" s="1"/>
  <c r="N732" i="1" s="1"/>
  <c r="N774" i="1" s="1"/>
  <c r="N779" i="1" s="1"/>
  <c r="N790" i="1" s="1"/>
  <c r="M392" i="1"/>
  <c r="M397" i="1" s="1"/>
  <c r="L392" i="1"/>
  <c r="L397" i="1" s="1"/>
  <c r="L439" i="1" s="1"/>
  <c r="L446" i="1" s="1"/>
  <c r="L488" i="1" s="1"/>
  <c r="L494" i="1" s="1"/>
  <c r="L536" i="1" s="1"/>
  <c r="L542" i="1" s="1"/>
  <c r="L584" i="1" s="1"/>
  <c r="L590" i="1" s="1"/>
  <c r="L632" i="1" s="1"/>
  <c r="L638" i="1" s="1"/>
  <c r="L680" i="1" s="1"/>
  <c r="L685" i="1" s="1"/>
  <c r="L727" i="1" s="1"/>
  <c r="L732" i="1" s="1"/>
  <c r="L774" i="1" s="1"/>
  <c r="L779" i="1" s="1"/>
  <c r="L790" i="1" s="1"/>
  <c r="I392" i="1"/>
  <c r="I397" i="1" s="1"/>
  <c r="I439" i="1" s="1"/>
  <c r="I446" i="1" s="1"/>
  <c r="I488" i="1" s="1"/>
  <c r="I494" i="1" s="1"/>
  <c r="I536" i="1" s="1"/>
  <c r="I542" i="1" s="1"/>
  <c r="H392" i="1"/>
  <c r="H397" i="1" s="1"/>
  <c r="H439" i="1" s="1"/>
  <c r="H446" i="1" s="1"/>
  <c r="H488" i="1" s="1"/>
  <c r="H494" i="1" s="1"/>
  <c r="H536" i="1" s="1"/>
  <c r="H542" i="1" s="1"/>
  <c r="G392" i="1"/>
  <c r="G397" i="1" s="1"/>
  <c r="G439" i="1" s="1"/>
  <c r="G446" i="1" s="1"/>
  <c r="G488" i="1" s="1"/>
  <c r="G494" i="1" s="1"/>
  <c r="G536" i="1" s="1"/>
  <c r="G542" i="1" s="1"/>
  <c r="G584" i="1" s="1"/>
  <c r="G590" i="1" s="1"/>
  <c r="G632" i="1" s="1"/>
  <c r="G638" i="1" s="1"/>
  <c r="G680" i="1" s="1"/>
  <c r="G685" i="1" s="1"/>
  <c r="G727" i="1" s="1"/>
  <c r="G732" i="1" s="1"/>
  <c r="G774" i="1" s="1"/>
  <c r="G779" i="1" s="1"/>
  <c r="G790" i="1" s="1"/>
  <c r="F1335" i="1" s="1"/>
  <c r="X391" i="1"/>
  <c r="Y391" i="1" s="1"/>
  <c r="X390" i="1"/>
  <c r="Y390" i="1" s="1"/>
  <c r="Z390" i="1" s="1"/>
  <c r="R390" i="1"/>
  <c r="T390" i="1" s="1"/>
  <c r="X389" i="1"/>
  <c r="Y389" i="1" s="1"/>
  <c r="Z389" i="1" s="1"/>
  <c r="R389" i="1"/>
  <c r="T389" i="1" s="1"/>
  <c r="X388" i="1"/>
  <c r="Y388" i="1" s="1"/>
  <c r="Z388" i="1" s="1"/>
  <c r="R388" i="1"/>
  <c r="T388" i="1" s="1"/>
  <c r="X387" i="1"/>
  <c r="Y387" i="1" s="1"/>
  <c r="Z387" i="1" s="1"/>
  <c r="R387" i="1"/>
  <c r="T387" i="1" s="1"/>
  <c r="X386" i="1"/>
  <c r="Y386" i="1" s="1"/>
  <c r="Z386" i="1" s="1"/>
  <c r="R386" i="1"/>
  <c r="T386" i="1" s="1"/>
  <c r="X385" i="1"/>
  <c r="Y385" i="1" s="1"/>
  <c r="Z385" i="1" s="1"/>
  <c r="R385" i="1"/>
  <c r="T385" i="1" s="1"/>
  <c r="X384" i="1"/>
  <c r="Y384" i="1" s="1"/>
  <c r="Z384" i="1" s="1"/>
  <c r="R384" i="1"/>
  <c r="T384" i="1" s="1"/>
  <c r="X383" i="1"/>
  <c r="Y383" i="1" s="1"/>
  <c r="Z383" i="1" s="1"/>
  <c r="R383" i="1"/>
  <c r="T383" i="1" s="1"/>
  <c r="X382" i="1"/>
  <c r="Y382" i="1" s="1"/>
  <c r="Z382" i="1" s="1"/>
  <c r="R382" i="1"/>
  <c r="T382" i="1" s="1"/>
  <c r="X381" i="1"/>
  <c r="Y381" i="1" s="1"/>
  <c r="Z381" i="1" s="1"/>
  <c r="R381" i="1"/>
  <c r="T381" i="1" s="1"/>
  <c r="X380" i="1"/>
  <c r="Y380" i="1" s="1"/>
  <c r="Z380" i="1" s="1"/>
  <c r="R380" i="1"/>
  <c r="T380" i="1" s="1"/>
  <c r="X379" i="1"/>
  <c r="Y379" i="1" s="1"/>
  <c r="Z379" i="1" s="1"/>
  <c r="R379" i="1"/>
  <c r="T379" i="1" s="1"/>
  <c r="X378" i="1"/>
  <c r="Y378" i="1" s="1"/>
  <c r="Z378" i="1" s="1"/>
  <c r="R378" i="1"/>
  <c r="T378" i="1" s="1"/>
  <c r="X377" i="1"/>
  <c r="Y377" i="1" s="1"/>
  <c r="Z377" i="1" s="1"/>
  <c r="R377" i="1"/>
  <c r="T377" i="1" s="1"/>
  <c r="X376" i="1"/>
  <c r="Y376" i="1" s="1"/>
  <c r="Z376" i="1" s="1"/>
  <c r="R376" i="1"/>
  <c r="T376" i="1" s="1"/>
  <c r="X375" i="1"/>
  <c r="Y375" i="1" s="1"/>
  <c r="Z375" i="1" s="1"/>
  <c r="R375" i="1"/>
  <c r="T375" i="1" s="1"/>
  <c r="X374" i="1"/>
  <c r="Y374" i="1" s="1"/>
  <c r="Z374" i="1" s="1"/>
  <c r="R374" i="1"/>
  <c r="T374" i="1" s="1"/>
  <c r="X373" i="1"/>
  <c r="Y373" i="1" s="1"/>
  <c r="Z373" i="1" s="1"/>
  <c r="R373" i="1"/>
  <c r="T373" i="1" s="1"/>
  <c r="X372" i="1"/>
  <c r="Y372" i="1" s="1"/>
  <c r="Z372" i="1" s="1"/>
  <c r="R372" i="1"/>
  <c r="T372" i="1" s="1"/>
  <c r="X371" i="1"/>
  <c r="Y371" i="1" s="1"/>
  <c r="Z371" i="1" s="1"/>
  <c r="R371" i="1"/>
  <c r="T371" i="1" s="1"/>
  <c r="X370" i="1"/>
  <c r="Y370" i="1" s="1"/>
  <c r="Z370" i="1" s="1"/>
  <c r="R370" i="1"/>
  <c r="T370" i="1" s="1"/>
  <c r="X369" i="1"/>
  <c r="Y369" i="1" s="1"/>
  <c r="Z369" i="1" s="1"/>
  <c r="R369" i="1"/>
  <c r="T369" i="1" s="1"/>
  <c r="X368" i="1"/>
  <c r="Y368" i="1" s="1"/>
  <c r="Z368" i="1" s="1"/>
  <c r="R368" i="1"/>
  <c r="T368" i="1" s="1"/>
  <c r="X367" i="1"/>
  <c r="Y367" i="1" s="1"/>
  <c r="Z367" i="1" s="1"/>
  <c r="R367" i="1"/>
  <c r="T367" i="1" s="1"/>
  <c r="X366" i="1"/>
  <c r="Y366" i="1" s="1"/>
  <c r="Z366" i="1" s="1"/>
  <c r="R366" i="1"/>
  <c r="T366" i="1" s="1"/>
  <c r="X365" i="1"/>
  <c r="Y365" i="1" s="1"/>
  <c r="Z365" i="1" s="1"/>
  <c r="R365" i="1"/>
  <c r="T365" i="1" s="1"/>
  <c r="X364" i="1"/>
  <c r="Y364" i="1" s="1"/>
  <c r="Z364" i="1" s="1"/>
  <c r="R364" i="1"/>
  <c r="T364" i="1" s="1"/>
  <c r="X363" i="1"/>
  <c r="Y363" i="1" s="1"/>
  <c r="Z363" i="1" s="1"/>
  <c r="R363" i="1"/>
  <c r="T363" i="1" s="1"/>
  <c r="X362" i="1"/>
  <c r="Y362" i="1" s="1"/>
  <c r="Z362" i="1" s="1"/>
  <c r="R362" i="1"/>
  <c r="T362" i="1" s="1"/>
  <c r="X361" i="1"/>
  <c r="Y361" i="1" s="1"/>
  <c r="Z361" i="1" s="1"/>
  <c r="R361" i="1"/>
  <c r="T361" i="1" s="1"/>
  <c r="X360" i="1"/>
  <c r="Y360" i="1" s="1"/>
  <c r="Z360" i="1" s="1"/>
  <c r="R360" i="1"/>
  <c r="T360" i="1" s="1"/>
  <c r="X359" i="1"/>
  <c r="Y359" i="1" s="1"/>
  <c r="Z359" i="1" s="1"/>
  <c r="R359" i="1"/>
  <c r="T359" i="1" s="1"/>
  <c r="X358" i="1"/>
  <c r="Y358" i="1" s="1"/>
  <c r="Z358" i="1" s="1"/>
  <c r="R358" i="1"/>
  <c r="T358" i="1" s="1"/>
  <c r="X357" i="1"/>
  <c r="Y357" i="1" s="1"/>
  <c r="Z357" i="1" s="1"/>
  <c r="R357" i="1"/>
  <c r="T357" i="1" s="1"/>
  <c r="X356" i="1"/>
  <c r="Y356" i="1" s="1"/>
  <c r="Z356" i="1" s="1"/>
  <c r="R356" i="1"/>
  <c r="T356" i="1" s="1"/>
  <c r="X355" i="1"/>
  <c r="Y355" i="1" s="1"/>
  <c r="Z355" i="1" s="1"/>
  <c r="R355" i="1"/>
  <c r="T355" i="1" s="1"/>
  <c r="X354" i="1"/>
  <c r="Y354" i="1" s="1"/>
  <c r="Z354" i="1" s="1"/>
  <c r="R354" i="1"/>
  <c r="T354" i="1" s="1"/>
  <c r="X353" i="1"/>
  <c r="Y353" i="1" s="1"/>
  <c r="Z353" i="1" s="1"/>
  <c r="R353" i="1"/>
  <c r="T353" i="1" s="1"/>
  <c r="X352" i="1"/>
  <c r="Y352" i="1" s="1"/>
  <c r="Z352" i="1" s="1"/>
  <c r="R352" i="1"/>
  <c r="T352" i="1" s="1"/>
  <c r="X351" i="1"/>
  <c r="Y351" i="1" s="1"/>
  <c r="Z351" i="1" s="1"/>
  <c r="R351" i="1"/>
  <c r="T351" i="1" s="1"/>
  <c r="X350" i="1"/>
  <c r="Y350" i="1" s="1"/>
  <c r="L350" i="1"/>
  <c r="X348" i="1"/>
  <c r="Y348" i="1" s="1"/>
  <c r="X346" i="1"/>
  <c r="Y346" i="1" s="1"/>
  <c r="X344" i="1"/>
  <c r="Y344" i="1" s="1"/>
  <c r="R343" i="1"/>
  <c r="T343" i="1" s="1"/>
  <c r="R342" i="1"/>
  <c r="T342" i="1" s="1"/>
  <c r="R341" i="1"/>
  <c r="T341" i="1" s="1"/>
  <c r="R340" i="1"/>
  <c r="T340" i="1" s="1"/>
  <c r="R339" i="1"/>
  <c r="T339" i="1" s="1"/>
  <c r="R338" i="1"/>
  <c r="T338" i="1" s="1"/>
  <c r="R337" i="1"/>
  <c r="T337" i="1" s="1"/>
  <c r="R336" i="1"/>
  <c r="T336" i="1" s="1"/>
  <c r="R335" i="1"/>
  <c r="T335" i="1" s="1"/>
  <c r="R334" i="1"/>
  <c r="T334" i="1" s="1"/>
  <c r="R333" i="1"/>
  <c r="T333" i="1" s="1"/>
  <c r="I332" i="1"/>
  <c r="H332" i="1"/>
  <c r="X331" i="1"/>
  <c r="Y331" i="1" s="1"/>
  <c r="X328" i="1"/>
  <c r="Y328" i="1" s="1"/>
  <c r="Q327" i="1"/>
  <c r="Q332" i="1" s="1"/>
  <c r="Q345" i="1" s="1"/>
  <c r="P327" i="1"/>
  <c r="P332" i="1" s="1"/>
  <c r="P345" i="1" s="1"/>
  <c r="O327" i="1"/>
  <c r="O332" i="1" s="1"/>
  <c r="O345" i="1" s="1"/>
  <c r="N327" i="1"/>
  <c r="N332" i="1" s="1"/>
  <c r="N345" i="1" s="1"/>
  <c r="M327" i="1"/>
  <c r="M332" i="1" s="1"/>
  <c r="L327" i="1"/>
  <c r="L332" i="1" s="1"/>
  <c r="L345" i="1" s="1"/>
  <c r="G327" i="1"/>
  <c r="G332" i="1" s="1"/>
  <c r="G345" i="1" s="1"/>
  <c r="F1334" i="1" s="1"/>
  <c r="X326" i="1"/>
  <c r="Y326" i="1" s="1"/>
  <c r="R325" i="1"/>
  <c r="T325" i="1" s="1"/>
  <c r="R324" i="1"/>
  <c r="T324" i="1" s="1"/>
  <c r="R323" i="1"/>
  <c r="T323" i="1" s="1"/>
  <c r="R322" i="1"/>
  <c r="T322" i="1" s="1"/>
  <c r="R321" i="1"/>
  <c r="T321" i="1" s="1"/>
  <c r="R320" i="1"/>
  <c r="T320" i="1" s="1"/>
  <c r="R319" i="1"/>
  <c r="T319" i="1" s="1"/>
  <c r="R318" i="1"/>
  <c r="T318" i="1" s="1"/>
  <c r="R317" i="1"/>
  <c r="T317" i="1" s="1"/>
  <c r="R316" i="1"/>
  <c r="T316" i="1" s="1"/>
  <c r="R315" i="1"/>
  <c r="T315" i="1" s="1"/>
  <c r="R314" i="1"/>
  <c r="T314" i="1" s="1"/>
  <c r="R313" i="1"/>
  <c r="T313" i="1" s="1"/>
  <c r="R312" i="1"/>
  <c r="T312" i="1" s="1"/>
  <c r="R311" i="1"/>
  <c r="T311" i="1" s="1"/>
  <c r="R310" i="1"/>
  <c r="T310" i="1" s="1"/>
  <c r="R309" i="1"/>
  <c r="T309" i="1" s="1"/>
  <c r="R308" i="1"/>
  <c r="T308" i="1" s="1"/>
  <c r="R307" i="1"/>
  <c r="T307" i="1" s="1"/>
  <c r="R306" i="1"/>
  <c r="T306" i="1" s="1"/>
  <c r="R305" i="1"/>
  <c r="T305" i="1" s="1"/>
  <c r="R304" i="1"/>
  <c r="T304" i="1" s="1"/>
  <c r="R303" i="1"/>
  <c r="T303" i="1" s="1"/>
  <c r="R302" i="1"/>
  <c r="T302" i="1" s="1"/>
  <c r="R301" i="1"/>
  <c r="T301" i="1" s="1"/>
  <c r="R300" i="1"/>
  <c r="T300" i="1" s="1"/>
  <c r="R299" i="1"/>
  <c r="T299" i="1" s="1"/>
  <c r="R298" i="1"/>
  <c r="T298" i="1" s="1"/>
  <c r="R297" i="1"/>
  <c r="T297" i="1" s="1"/>
  <c r="R296" i="1"/>
  <c r="T296" i="1" s="1"/>
  <c r="R295" i="1"/>
  <c r="T295" i="1" s="1"/>
  <c r="R294" i="1"/>
  <c r="T294" i="1" s="1"/>
  <c r="R293" i="1"/>
  <c r="T293" i="1" s="1"/>
  <c r="R292" i="1"/>
  <c r="T292" i="1" s="1"/>
  <c r="R291" i="1"/>
  <c r="T291" i="1" s="1"/>
  <c r="R290" i="1"/>
  <c r="T290" i="1" s="1"/>
  <c r="R289" i="1"/>
  <c r="T289" i="1" s="1"/>
  <c r="R288" i="1"/>
  <c r="T288" i="1" s="1"/>
  <c r="R287" i="1"/>
  <c r="T287" i="1" s="1"/>
  <c r="X286" i="1"/>
  <c r="Y286" i="1" s="1"/>
  <c r="R286" i="1"/>
  <c r="T286" i="1" s="1"/>
  <c r="X284" i="1"/>
  <c r="Y284" i="1" s="1"/>
  <c r="X283" i="1"/>
  <c r="Y283" i="1" s="1"/>
  <c r="X282" i="1"/>
  <c r="Y282" i="1" s="1"/>
  <c r="X280" i="1"/>
  <c r="Y280" i="1" s="1"/>
  <c r="Z280" i="1" s="1"/>
  <c r="X279" i="1"/>
  <c r="Y279" i="1" s="1"/>
  <c r="Z279" i="1" s="1"/>
  <c r="R279" i="1"/>
  <c r="T279" i="1" s="1"/>
  <c r="X278" i="1"/>
  <c r="Y278" i="1" s="1"/>
  <c r="Z278" i="1" s="1"/>
  <c r="R278" i="1"/>
  <c r="T278" i="1" s="1"/>
  <c r="X277" i="1"/>
  <c r="Y277" i="1" s="1"/>
  <c r="Z277" i="1" s="1"/>
  <c r="R277" i="1"/>
  <c r="T277" i="1" s="1"/>
  <c r="X276" i="1"/>
  <c r="Y276" i="1" s="1"/>
  <c r="Z276" i="1" s="1"/>
  <c r="R276" i="1"/>
  <c r="T276" i="1" s="1"/>
  <c r="X275" i="1"/>
  <c r="Y275" i="1" s="1"/>
  <c r="Z275" i="1" s="1"/>
  <c r="R275" i="1"/>
  <c r="T275" i="1" s="1"/>
  <c r="X274" i="1"/>
  <c r="Y274" i="1" s="1"/>
  <c r="Z274" i="1" s="1"/>
  <c r="R274" i="1"/>
  <c r="T274" i="1" s="1"/>
  <c r="X273" i="1"/>
  <c r="Y273" i="1" s="1"/>
  <c r="Z273" i="1" s="1"/>
  <c r="R273" i="1"/>
  <c r="T273" i="1" s="1"/>
  <c r="X272" i="1"/>
  <c r="Y272" i="1" s="1"/>
  <c r="Z272" i="1" s="1"/>
  <c r="R272" i="1"/>
  <c r="T272" i="1" s="1"/>
  <c r="X271" i="1"/>
  <c r="Y271" i="1" s="1"/>
  <c r="Z271" i="1" s="1"/>
  <c r="R271" i="1"/>
  <c r="T271" i="1" s="1"/>
  <c r="X270" i="1"/>
  <c r="Y270" i="1" s="1"/>
  <c r="Z270" i="1" s="1"/>
  <c r="R270" i="1"/>
  <c r="T270" i="1" s="1"/>
  <c r="X269" i="1"/>
  <c r="Y269" i="1" s="1"/>
  <c r="Z269" i="1" s="1"/>
  <c r="R269" i="1"/>
  <c r="T269" i="1" s="1"/>
  <c r="X268" i="1"/>
  <c r="Y268" i="1" s="1"/>
  <c r="Z268" i="1" s="1"/>
  <c r="R268" i="1"/>
  <c r="T268" i="1" s="1"/>
  <c r="X267" i="1"/>
  <c r="Y267" i="1" s="1"/>
  <c r="Z267" i="1" s="1"/>
  <c r="R267" i="1"/>
  <c r="T267" i="1" s="1"/>
  <c r="X266" i="1"/>
  <c r="Y266" i="1" s="1"/>
  <c r="Z266" i="1" s="1"/>
  <c r="R266" i="1"/>
  <c r="T266" i="1" s="1"/>
  <c r="X265" i="1"/>
  <c r="Y265" i="1" s="1"/>
  <c r="Z265" i="1" s="1"/>
  <c r="R265" i="1"/>
  <c r="T265" i="1" s="1"/>
  <c r="X264" i="1"/>
  <c r="Y264" i="1" s="1"/>
  <c r="Z264" i="1" s="1"/>
  <c r="R264" i="1"/>
  <c r="T264" i="1" s="1"/>
  <c r="X263" i="1"/>
  <c r="Y263" i="1" s="1"/>
  <c r="Z263" i="1" s="1"/>
  <c r="R263" i="1"/>
  <c r="T263" i="1" s="1"/>
  <c r="X262" i="1"/>
  <c r="Y262" i="1" s="1"/>
  <c r="Z262" i="1" s="1"/>
  <c r="R262" i="1"/>
  <c r="T262" i="1" s="1"/>
  <c r="X261" i="1"/>
  <c r="Y261" i="1" s="1"/>
  <c r="Z261" i="1" s="1"/>
  <c r="R261" i="1"/>
  <c r="T261" i="1" s="1"/>
  <c r="X260" i="1"/>
  <c r="Y260" i="1" s="1"/>
  <c r="Z260" i="1" s="1"/>
  <c r="R260" i="1"/>
  <c r="T260" i="1" s="1"/>
  <c r="X259" i="1"/>
  <c r="Y259" i="1" s="1"/>
  <c r="Z259" i="1" s="1"/>
  <c r="R259" i="1"/>
  <c r="T259" i="1" s="1"/>
  <c r="X258" i="1"/>
  <c r="Y258" i="1" s="1"/>
  <c r="Z258" i="1" s="1"/>
  <c r="R258" i="1"/>
  <c r="T258" i="1" s="1"/>
  <c r="X257" i="1"/>
  <c r="Y257" i="1" s="1"/>
  <c r="Z257" i="1" s="1"/>
  <c r="R257" i="1"/>
  <c r="T257" i="1" s="1"/>
  <c r="X256" i="1"/>
  <c r="Y256" i="1" s="1"/>
  <c r="Z256" i="1" s="1"/>
  <c r="R256" i="1"/>
  <c r="T256" i="1" s="1"/>
  <c r="X255" i="1"/>
  <c r="Y255" i="1" s="1"/>
  <c r="Z255" i="1" s="1"/>
  <c r="R255" i="1"/>
  <c r="T255" i="1" s="1"/>
  <c r="X254" i="1"/>
  <c r="Y254" i="1" s="1"/>
  <c r="Z254" i="1" s="1"/>
  <c r="R254" i="1"/>
  <c r="T254" i="1" s="1"/>
  <c r="X253" i="1"/>
  <c r="Y253" i="1" s="1"/>
  <c r="Z253" i="1" s="1"/>
  <c r="R253" i="1"/>
  <c r="T253" i="1" s="1"/>
  <c r="X252" i="1"/>
  <c r="Y252" i="1" s="1"/>
  <c r="Z252" i="1" s="1"/>
  <c r="R252" i="1"/>
  <c r="T252" i="1" s="1"/>
  <c r="X251" i="1"/>
  <c r="Y251" i="1" s="1"/>
  <c r="Z251" i="1" s="1"/>
  <c r="R251" i="1"/>
  <c r="T251" i="1" s="1"/>
  <c r="X250" i="1"/>
  <c r="Y250" i="1" s="1"/>
  <c r="Z250" i="1" s="1"/>
  <c r="R250" i="1"/>
  <c r="T250" i="1" s="1"/>
  <c r="X249" i="1"/>
  <c r="Y249" i="1" s="1"/>
  <c r="Z249" i="1" s="1"/>
  <c r="R249" i="1"/>
  <c r="T249" i="1" s="1"/>
  <c r="X248" i="1"/>
  <c r="Y248" i="1" s="1"/>
  <c r="Z248" i="1" s="1"/>
  <c r="R248" i="1"/>
  <c r="T248" i="1" s="1"/>
  <c r="X246" i="1"/>
  <c r="Y246" i="1" s="1"/>
  <c r="X243" i="1"/>
  <c r="Y243" i="1" s="1"/>
  <c r="X241" i="1"/>
  <c r="Y241" i="1" s="1"/>
  <c r="Z241" i="1" s="1"/>
  <c r="X240" i="1"/>
  <c r="Y240" i="1" s="1"/>
  <c r="Z240" i="1" s="1"/>
  <c r="R240" i="1"/>
  <c r="T240" i="1" s="1"/>
  <c r="X239" i="1"/>
  <c r="Y239" i="1" s="1"/>
  <c r="Z239" i="1" s="1"/>
  <c r="R239" i="1"/>
  <c r="T239" i="1" s="1"/>
  <c r="X238" i="1"/>
  <c r="Y238" i="1" s="1"/>
  <c r="Z238" i="1" s="1"/>
  <c r="R238" i="1"/>
  <c r="T238" i="1" s="1"/>
  <c r="X237" i="1"/>
  <c r="Y237" i="1" s="1"/>
  <c r="Z237" i="1" s="1"/>
  <c r="R237" i="1"/>
  <c r="T237" i="1" s="1"/>
  <c r="X236" i="1"/>
  <c r="Y236" i="1" s="1"/>
  <c r="Z236" i="1" s="1"/>
  <c r="R236" i="1"/>
  <c r="T236" i="1" s="1"/>
  <c r="X235" i="1"/>
  <c r="Y235" i="1" s="1"/>
  <c r="Z235" i="1" s="1"/>
  <c r="R235" i="1"/>
  <c r="T235" i="1" s="1"/>
  <c r="X234" i="1"/>
  <c r="Y234" i="1" s="1"/>
  <c r="Z234" i="1" s="1"/>
  <c r="R234" i="1"/>
  <c r="T234" i="1" s="1"/>
  <c r="X233" i="1"/>
  <c r="Y233" i="1" s="1"/>
  <c r="Z233" i="1" s="1"/>
  <c r="R233" i="1"/>
  <c r="T233" i="1" s="1"/>
  <c r="X232" i="1"/>
  <c r="Y232" i="1" s="1"/>
  <c r="Z232" i="1" s="1"/>
  <c r="R232" i="1"/>
  <c r="T232" i="1" s="1"/>
  <c r="X231" i="1"/>
  <c r="Y231" i="1" s="1"/>
  <c r="Z231" i="1" s="1"/>
  <c r="R231" i="1"/>
  <c r="T231" i="1" s="1"/>
  <c r="X230" i="1"/>
  <c r="Y230" i="1" s="1"/>
  <c r="Z230" i="1" s="1"/>
  <c r="R230" i="1"/>
  <c r="T230" i="1" s="1"/>
  <c r="X229" i="1"/>
  <c r="Y229" i="1" s="1"/>
  <c r="Z229" i="1" s="1"/>
  <c r="R229" i="1"/>
  <c r="T229" i="1" s="1"/>
  <c r="X228" i="1"/>
  <c r="Y228" i="1" s="1"/>
  <c r="Z228" i="1" s="1"/>
  <c r="R228" i="1"/>
  <c r="T228" i="1" s="1"/>
  <c r="X227" i="1"/>
  <c r="Y227" i="1" s="1"/>
  <c r="Z227" i="1" s="1"/>
  <c r="R227" i="1"/>
  <c r="T227" i="1" s="1"/>
  <c r="X226" i="1"/>
  <c r="Y226" i="1" s="1"/>
  <c r="Z226" i="1" s="1"/>
  <c r="R226" i="1"/>
  <c r="T226" i="1" s="1"/>
  <c r="X225" i="1"/>
  <c r="Y225" i="1" s="1"/>
  <c r="Z225" i="1" s="1"/>
  <c r="R225" i="1"/>
  <c r="T225" i="1" s="1"/>
  <c r="X224" i="1"/>
  <c r="Y224" i="1" s="1"/>
  <c r="Z224" i="1" s="1"/>
  <c r="R224" i="1"/>
  <c r="T224" i="1" s="1"/>
  <c r="X223" i="1"/>
  <c r="Y223" i="1" s="1"/>
  <c r="Z223" i="1" s="1"/>
  <c r="R223" i="1"/>
  <c r="T223" i="1" s="1"/>
  <c r="X222" i="1"/>
  <c r="Y222" i="1" s="1"/>
  <c r="Z222" i="1" s="1"/>
  <c r="R222" i="1"/>
  <c r="T222" i="1" s="1"/>
  <c r="X221" i="1"/>
  <c r="Y221" i="1" s="1"/>
  <c r="Z221" i="1" s="1"/>
  <c r="R221" i="1"/>
  <c r="T221" i="1" s="1"/>
  <c r="X220" i="1"/>
  <c r="Y220" i="1" s="1"/>
  <c r="Z220" i="1" s="1"/>
  <c r="R220" i="1"/>
  <c r="T220" i="1" s="1"/>
  <c r="X219" i="1"/>
  <c r="Y219" i="1" s="1"/>
  <c r="Z219" i="1" s="1"/>
  <c r="R219" i="1"/>
  <c r="T219" i="1" s="1"/>
  <c r="X218" i="1"/>
  <c r="Y218" i="1" s="1"/>
  <c r="Z218" i="1" s="1"/>
  <c r="R218" i="1"/>
  <c r="T218" i="1" s="1"/>
  <c r="X217" i="1"/>
  <c r="Y217" i="1" s="1"/>
  <c r="Z217" i="1" s="1"/>
  <c r="R217" i="1"/>
  <c r="T217" i="1" s="1"/>
  <c r="X216" i="1"/>
  <c r="Y216" i="1" s="1"/>
  <c r="Z216" i="1" s="1"/>
  <c r="R216" i="1"/>
  <c r="T216" i="1" s="1"/>
  <c r="X215" i="1"/>
  <c r="Y215" i="1" s="1"/>
  <c r="Z215" i="1" s="1"/>
  <c r="R215" i="1"/>
  <c r="T215" i="1" s="1"/>
  <c r="X214" i="1"/>
  <c r="Y214" i="1" s="1"/>
  <c r="Z214" i="1" s="1"/>
  <c r="R214" i="1"/>
  <c r="T214" i="1" s="1"/>
  <c r="X213" i="1"/>
  <c r="Y213" i="1" s="1"/>
  <c r="Z213" i="1" s="1"/>
  <c r="R213" i="1"/>
  <c r="T213" i="1" s="1"/>
  <c r="X212" i="1"/>
  <c r="Y212" i="1" s="1"/>
  <c r="Z212" i="1" s="1"/>
  <c r="R212" i="1"/>
  <c r="T212" i="1" s="1"/>
  <c r="X211" i="1"/>
  <c r="Y211" i="1" s="1"/>
  <c r="Z211" i="1" s="1"/>
  <c r="R211" i="1"/>
  <c r="T211" i="1" s="1"/>
  <c r="X210" i="1"/>
  <c r="Y210" i="1" s="1"/>
  <c r="Z210" i="1" s="1"/>
  <c r="R210" i="1"/>
  <c r="T210" i="1" s="1"/>
  <c r="X209" i="1"/>
  <c r="Y209" i="1" s="1"/>
  <c r="Z209" i="1" s="1"/>
  <c r="R209" i="1"/>
  <c r="T209" i="1" s="1"/>
  <c r="X208" i="1"/>
  <c r="Y208" i="1" s="1"/>
  <c r="Z208" i="1" s="1"/>
  <c r="R208" i="1"/>
  <c r="T208" i="1" s="1"/>
  <c r="X207" i="1"/>
  <c r="Y207" i="1" s="1"/>
  <c r="Z207" i="1" s="1"/>
  <c r="R207" i="1"/>
  <c r="T207" i="1" s="1"/>
  <c r="X206" i="1"/>
  <c r="Y206" i="1" s="1"/>
  <c r="Z206" i="1" s="1"/>
  <c r="R206" i="1"/>
  <c r="T206" i="1" s="1"/>
  <c r="X205" i="1"/>
  <c r="Y205" i="1" s="1"/>
  <c r="Z205" i="1" s="1"/>
  <c r="R205" i="1"/>
  <c r="T205" i="1" s="1"/>
  <c r="X204" i="1"/>
  <c r="Y204" i="1" s="1"/>
  <c r="Z204" i="1" s="1"/>
  <c r="R204" i="1"/>
  <c r="T204" i="1" s="1"/>
  <c r="X203" i="1"/>
  <c r="Y203" i="1" s="1"/>
  <c r="Z203" i="1" s="1"/>
  <c r="R203" i="1"/>
  <c r="T203" i="1" s="1"/>
  <c r="X202" i="1"/>
  <c r="Y202" i="1" s="1"/>
  <c r="Z202" i="1" s="1"/>
  <c r="R202" i="1"/>
  <c r="T202" i="1" s="1"/>
  <c r="X201" i="1"/>
  <c r="Y201" i="1" s="1"/>
  <c r="Z201" i="1" s="1"/>
  <c r="R201" i="1"/>
  <c r="T201" i="1" s="1"/>
  <c r="X199" i="1"/>
  <c r="Y199" i="1" s="1"/>
  <c r="X196" i="1"/>
  <c r="Y196" i="1" s="1"/>
  <c r="X193" i="1"/>
  <c r="Y193" i="1" s="1"/>
  <c r="Z193" i="1" s="1"/>
  <c r="R193" i="1"/>
  <c r="T193" i="1" s="1"/>
  <c r="X192" i="1"/>
  <c r="Y192" i="1" s="1"/>
  <c r="Z192" i="1" s="1"/>
  <c r="R192" i="1"/>
  <c r="T192" i="1" s="1"/>
  <c r="X191" i="1"/>
  <c r="Y191" i="1" s="1"/>
  <c r="Z191" i="1" s="1"/>
  <c r="R191" i="1"/>
  <c r="T191" i="1" s="1"/>
  <c r="X190" i="1"/>
  <c r="Y190" i="1" s="1"/>
  <c r="Z190" i="1" s="1"/>
  <c r="R190" i="1"/>
  <c r="T190" i="1" s="1"/>
  <c r="X189" i="1"/>
  <c r="Y189" i="1" s="1"/>
  <c r="Z189" i="1" s="1"/>
  <c r="R189" i="1"/>
  <c r="T189" i="1" s="1"/>
  <c r="X188" i="1"/>
  <c r="Y188" i="1" s="1"/>
  <c r="Z188" i="1" s="1"/>
  <c r="R188" i="1"/>
  <c r="T188" i="1" s="1"/>
  <c r="X187" i="1"/>
  <c r="Y187" i="1" s="1"/>
  <c r="Z187" i="1" s="1"/>
  <c r="R187" i="1"/>
  <c r="T187" i="1" s="1"/>
  <c r="X186" i="1"/>
  <c r="Y186" i="1" s="1"/>
  <c r="Z186" i="1" s="1"/>
  <c r="R186" i="1"/>
  <c r="T186" i="1" s="1"/>
  <c r="X185" i="1"/>
  <c r="Y185" i="1" s="1"/>
  <c r="Z185" i="1" s="1"/>
  <c r="R185" i="1"/>
  <c r="T185" i="1" s="1"/>
  <c r="X184" i="1"/>
  <c r="Y184" i="1" s="1"/>
  <c r="Z184" i="1" s="1"/>
  <c r="R184" i="1"/>
  <c r="T184" i="1" s="1"/>
  <c r="X183" i="1"/>
  <c r="Y183" i="1" s="1"/>
  <c r="Z183" i="1" s="1"/>
  <c r="R183" i="1"/>
  <c r="T183" i="1" s="1"/>
  <c r="X182" i="1"/>
  <c r="Y182" i="1" s="1"/>
  <c r="Z182" i="1" s="1"/>
  <c r="R182" i="1"/>
  <c r="T182" i="1" s="1"/>
  <c r="X181" i="1"/>
  <c r="Y181" i="1" s="1"/>
  <c r="Z181" i="1" s="1"/>
  <c r="R181" i="1"/>
  <c r="T181" i="1" s="1"/>
  <c r="X180" i="1"/>
  <c r="Y180" i="1" s="1"/>
  <c r="Z180" i="1" s="1"/>
  <c r="R180" i="1"/>
  <c r="T180" i="1" s="1"/>
  <c r="X179" i="1"/>
  <c r="Y179" i="1" s="1"/>
  <c r="Z179" i="1" s="1"/>
  <c r="R179" i="1"/>
  <c r="T179" i="1" s="1"/>
  <c r="X178" i="1"/>
  <c r="Y178" i="1" s="1"/>
  <c r="Z178" i="1" s="1"/>
  <c r="R178" i="1"/>
  <c r="T178" i="1" s="1"/>
  <c r="X177" i="1"/>
  <c r="Y177" i="1" s="1"/>
  <c r="Z177" i="1" s="1"/>
  <c r="R177" i="1"/>
  <c r="T177" i="1" s="1"/>
  <c r="X176" i="1"/>
  <c r="Y176" i="1" s="1"/>
  <c r="Z176" i="1" s="1"/>
  <c r="R176" i="1"/>
  <c r="T176" i="1" s="1"/>
  <c r="X175" i="1"/>
  <c r="Y175" i="1" s="1"/>
  <c r="Z175" i="1" s="1"/>
  <c r="R175" i="1"/>
  <c r="T175" i="1" s="1"/>
  <c r="X174" i="1"/>
  <c r="Y174" i="1" s="1"/>
  <c r="Z174" i="1" s="1"/>
  <c r="R174" i="1"/>
  <c r="T174" i="1" s="1"/>
  <c r="X173" i="1"/>
  <c r="Y173" i="1" s="1"/>
  <c r="Z173" i="1" s="1"/>
  <c r="R173" i="1"/>
  <c r="T173" i="1" s="1"/>
  <c r="X172" i="1"/>
  <c r="Y172" i="1" s="1"/>
  <c r="Z172" i="1" s="1"/>
  <c r="R172" i="1"/>
  <c r="T172" i="1" s="1"/>
  <c r="X171" i="1"/>
  <c r="Y171" i="1" s="1"/>
  <c r="Z171" i="1" s="1"/>
  <c r="R171" i="1"/>
  <c r="T171" i="1" s="1"/>
  <c r="X170" i="1"/>
  <c r="Y170" i="1" s="1"/>
  <c r="Z170" i="1" s="1"/>
  <c r="R170" i="1"/>
  <c r="T170" i="1" s="1"/>
  <c r="X169" i="1"/>
  <c r="Y169" i="1" s="1"/>
  <c r="Z169" i="1" s="1"/>
  <c r="R169" i="1"/>
  <c r="T169" i="1" s="1"/>
  <c r="X168" i="1"/>
  <c r="Y168" i="1" s="1"/>
  <c r="Z168" i="1" s="1"/>
  <c r="R168" i="1"/>
  <c r="T168" i="1" s="1"/>
  <c r="X167" i="1"/>
  <c r="Y167" i="1" s="1"/>
  <c r="Z167" i="1" s="1"/>
  <c r="R167" i="1"/>
  <c r="T167" i="1" s="1"/>
  <c r="X166" i="1"/>
  <c r="Y166" i="1" s="1"/>
  <c r="Z166" i="1" s="1"/>
  <c r="R166" i="1"/>
  <c r="T166" i="1" s="1"/>
  <c r="X165" i="1"/>
  <c r="Y165" i="1" s="1"/>
  <c r="Z165" i="1" s="1"/>
  <c r="R165" i="1"/>
  <c r="T165" i="1" s="1"/>
  <c r="X164" i="1"/>
  <c r="Y164" i="1" s="1"/>
  <c r="Z164" i="1" s="1"/>
  <c r="R164" i="1"/>
  <c r="T164" i="1" s="1"/>
  <c r="X163" i="1"/>
  <c r="Y163" i="1" s="1"/>
  <c r="Z163" i="1" s="1"/>
  <c r="R163" i="1"/>
  <c r="T163" i="1" s="1"/>
  <c r="X162" i="1"/>
  <c r="Y162" i="1" s="1"/>
  <c r="Z162" i="1" s="1"/>
  <c r="R162" i="1"/>
  <c r="T162" i="1" s="1"/>
  <c r="X161" i="1"/>
  <c r="Y161" i="1" s="1"/>
  <c r="Z161" i="1" s="1"/>
  <c r="R161" i="1"/>
  <c r="T161" i="1" s="1"/>
  <c r="X160" i="1"/>
  <c r="Y160" i="1" s="1"/>
  <c r="Z160" i="1" s="1"/>
  <c r="R160" i="1"/>
  <c r="T160" i="1" s="1"/>
  <c r="X159" i="1"/>
  <c r="Y159" i="1" s="1"/>
  <c r="Z159" i="1" s="1"/>
  <c r="R159" i="1"/>
  <c r="T159" i="1" s="1"/>
  <c r="X158" i="1"/>
  <c r="Y158" i="1" s="1"/>
  <c r="Z158" i="1" s="1"/>
  <c r="R158" i="1"/>
  <c r="T158" i="1" s="1"/>
  <c r="X157" i="1"/>
  <c r="Y157" i="1" s="1"/>
  <c r="Z157" i="1" s="1"/>
  <c r="R157" i="1"/>
  <c r="T157" i="1" s="1"/>
  <c r="X156" i="1"/>
  <c r="Y156" i="1" s="1"/>
  <c r="Z156" i="1" s="1"/>
  <c r="R156" i="1"/>
  <c r="T156" i="1" s="1"/>
  <c r="X155" i="1"/>
  <c r="Y155" i="1" s="1"/>
  <c r="Z155" i="1" s="1"/>
  <c r="R155" i="1"/>
  <c r="T155" i="1" s="1"/>
  <c r="X154" i="1"/>
  <c r="Y154" i="1" s="1"/>
  <c r="Z154" i="1" s="1"/>
  <c r="R154" i="1"/>
  <c r="T154" i="1" s="1"/>
  <c r="H153" i="1"/>
  <c r="H195" i="1" s="1"/>
  <c r="H200" i="1" s="1"/>
  <c r="H242" i="1" s="1"/>
  <c r="H247" i="1" s="1"/>
  <c r="H281" i="1" s="1"/>
  <c r="X152" i="1"/>
  <c r="Y152" i="1" s="1"/>
  <c r="X149" i="1"/>
  <c r="Y149" i="1" s="1"/>
  <c r="X146" i="1"/>
  <c r="Y146" i="1" s="1"/>
  <c r="Z146" i="1" s="1"/>
  <c r="R146" i="1"/>
  <c r="T146" i="1" s="1"/>
  <c r="X145" i="1"/>
  <c r="Y145" i="1" s="1"/>
  <c r="Z145" i="1" s="1"/>
  <c r="R145" i="1"/>
  <c r="T145" i="1" s="1"/>
  <c r="X144" i="1"/>
  <c r="Y144" i="1" s="1"/>
  <c r="Z144" i="1" s="1"/>
  <c r="R144" i="1"/>
  <c r="T144" i="1" s="1"/>
  <c r="X143" i="1"/>
  <c r="Y143" i="1" s="1"/>
  <c r="Z143" i="1" s="1"/>
  <c r="R143" i="1"/>
  <c r="T143" i="1" s="1"/>
  <c r="X142" i="1"/>
  <c r="Y142" i="1" s="1"/>
  <c r="Z142" i="1" s="1"/>
  <c r="R142" i="1"/>
  <c r="T142" i="1" s="1"/>
  <c r="X141" i="1"/>
  <c r="Y141" i="1" s="1"/>
  <c r="Z141" i="1" s="1"/>
  <c r="R141" i="1"/>
  <c r="T141" i="1" s="1"/>
  <c r="X140" i="1"/>
  <c r="Y140" i="1" s="1"/>
  <c r="Z140" i="1" s="1"/>
  <c r="R140" i="1"/>
  <c r="T140" i="1" s="1"/>
  <c r="X139" i="1"/>
  <c r="Y139" i="1" s="1"/>
  <c r="Z139" i="1" s="1"/>
  <c r="R139" i="1"/>
  <c r="T139" i="1" s="1"/>
  <c r="X138" i="1"/>
  <c r="Y138" i="1" s="1"/>
  <c r="Z138" i="1" s="1"/>
  <c r="R138" i="1"/>
  <c r="T138" i="1" s="1"/>
  <c r="X137" i="1"/>
  <c r="Y137" i="1" s="1"/>
  <c r="Z137" i="1" s="1"/>
  <c r="R137" i="1"/>
  <c r="T137" i="1" s="1"/>
  <c r="X136" i="1"/>
  <c r="Y136" i="1" s="1"/>
  <c r="Z136" i="1" s="1"/>
  <c r="R136" i="1"/>
  <c r="T136" i="1" s="1"/>
  <c r="X135" i="1"/>
  <c r="Y135" i="1" s="1"/>
  <c r="Z135" i="1" s="1"/>
  <c r="R135" i="1"/>
  <c r="T135" i="1" s="1"/>
  <c r="X134" i="1"/>
  <c r="Y134" i="1" s="1"/>
  <c r="Z134" i="1" s="1"/>
  <c r="R134" i="1"/>
  <c r="T134" i="1" s="1"/>
  <c r="X133" i="1"/>
  <c r="Y133" i="1" s="1"/>
  <c r="Z133" i="1" s="1"/>
  <c r="R133" i="1"/>
  <c r="T133" i="1" s="1"/>
  <c r="X132" i="1"/>
  <c r="Y132" i="1" s="1"/>
  <c r="Z132" i="1" s="1"/>
  <c r="R132" i="1"/>
  <c r="T132" i="1" s="1"/>
  <c r="X131" i="1"/>
  <c r="Y131" i="1" s="1"/>
  <c r="Z131" i="1" s="1"/>
  <c r="R131" i="1"/>
  <c r="T131" i="1" s="1"/>
  <c r="X130" i="1"/>
  <c r="Y130" i="1" s="1"/>
  <c r="Z130" i="1" s="1"/>
  <c r="R130" i="1"/>
  <c r="T130" i="1" s="1"/>
  <c r="X129" i="1"/>
  <c r="Y129" i="1" s="1"/>
  <c r="Z129" i="1" s="1"/>
  <c r="R129" i="1"/>
  <c r="T129" i="1" s="1"/>
  <c r="X128" i="1"/>
  <c r="Y128" i="1" s="1"/>
  <c r="Z128" i="1" s="1"/>
  <c r="R128" i="1"/>
  <c r="T128" i="1" s="1"/>
  <c r="X127" i="1"/>
  <c r="Y127" i="1" s="1"/>
  <c r="Z127" i="1" s="1"/>
  <c r="R127" i="1"/>
  <c r="T127" i="1" s="1"/>
  <c r="X126" i="1"/>
  <c r="Y126" i="1" s="1"/>
  <c r="Z126" i="1" s="1"/>
  <c r="R126" i="1"/>
  <c r="T126" i="1" s="1"/>
  <c r="X125" i="1"/>
  <c r="Y125" i="1" s="1"/>
  <c r="Z125" i="1" s="1"/>
  <c r="R125" i="1"/>
  <c r="T125" i="1" s="1"/>
  <c r="X124" i="1"/>
  <c r="Y124" i="1" s="1"/>
  <c r="Z124" i="1" s="1"/>
  <c r="R124" i="1"/>
  <c r="T124" i="1" s="1"/>
  <c r="X123" i="1"/>
  <c r="Y123" i="1" s="1"/>
  <c r="Z123" i="1" s="1"/>
  <c r="R123" i="1"/>
  <c r="T123" i="1" s="1"/>
  <c r="X122" i="1"/>
  <c r="Y122" i="1" s="1"/>
  <c r="Z122" i="1" s="1"/>
  <c r="R122" i="1"/>
  <c r="T122" i="1" s="1"/>
  <c r="X121" i="1"/>
  <c r="Y121" i="1" s="1"/>
  <c r="Z121" i="1" s="1"/>
  <c r="R121" i="1"/>
  <c r="T121" i="1" s="1"/>
  <c r="X120" i="1"/>
  <c r="Y120" i="1" s="1"/>
  <c r="Z120" i="1" s="1"/>
  <c r="R120" i="1"/>
  <c r="T120" i="1" s="1"/>
  <c r="X119" i="1"/>
  <c r="Y119" i="1" s="1"/>
  <c r="Z119" i="1" s="1"/>
  <c r="R119" i="1"/>
  <c r="T119" i="1" s="1"/>
  <c r="X118" i="1"/>
  <c r="Y118" i="1" s="1"/>
  <c r="Z118" i="1" s="1"/>
  <c r="R118" i="1"/>
  <c r="T118" i="1" s="1"/>
  <c r="X117" i="1"/>
  <c r="Y117" i="1" s="1"/>
  <c r="Z117" i="1" s="1"/>
  <c r="R117" i="1"/>
  <c r="T117" i="1" s="1"/>
  <c r="X116" i="1"/>
  <c r="Y116" i="1" s="1"/>
  <c r="Z116" i="1" s="1"/>
  <c r="R116" i="1"/>
  <c r="T116" i="1" s="1"/>
  <c r="X115" i="1"/>
  <c r="Y115" i="1" s="1"/>
  <c r="Z115" i="1" s="1"/>
  <c r="R115" i="1"/>
  <c r="T115" i="1" s="1"/>
  <c r="X114" i="1"/>
  <c r="Y114" i="1" s="1"/>
  <c r="Z114" i="1" s="1"/>
  <c r="R114" i="1"/>
  <c r="T114" i="1" s="1"/>
  <c r="X113" i="1"/>
  <c r="Y113" i="1" s="1"/>
  <c r="Z113" i="1" s="1"/>
  <c r="R113" i="1"/>
  <c r="T113" i="1" s="1"/>
  <c r="X112" i="1"/>
  <c r="Y112" i="1" s="1"/>
  <c r="Z112" i="1" s="1"/>
  <c r="R112" i="1"/>
  <c r="T112" i="1" s="1"/>
  <c r="X111" i="1"/>
  <c r="Y111" i="1" s="1"/>
  <c r="Z111" i="1" s="1"/>
  <c r="R111" i="1"/>
  <c r="T111" i="1" s="1"/>
  <c r="X110" i="1"/>
  <c r="Y110" i="1" s="1"/>
  <c r="Z110" i="1" s="1"/>
  <c r="R110" i="1"/>
  <c r="T110" i="1" s="1"/>
  <c r="X109" i="1"/>
  <c r="Y109" i="1" s="1"/>
  <c r="Z109" i="1" s="1"/>
  <c r="R109" i="1"/>
  <c r="T109" i="1" s="1"/>
  <c r="X108" i="1"/>
  <c r="Y108" i="1" s="1"/>
  <c r="Z108" i="1" s="1"/>
  <c r="R108" i="1"/>
  <c r="T108" i="1" s="1"/>
  <c r="X107" i="1"/>
  <c r="Y107" i="1" s="1"/>
  <c r="Z107" i="1" s="1"/>
  <c r="R107" i="1"/>
  <c r="T107" i="1" s="1"/>
  <c r="I106" i="1"/>
  <c r="I148" i="1" s="1"/>
  <c r="I153" i="1" s="1"/>
  <c r="I195" i="1" s="1"/>
  <c r="I200" i="1" s="1"/>
  <c r="I242" i="1" s="1"/>
  <c r="I247" i="1" s="1"/>
  <c r="I281" i="1" s="1"/>
  <c r="H106" i="1"/>
  <c r="X105" i="1"/>
  <c r="Y105" i="1" s="1"/>
  <c r="X103" i="1"/>
  <c r="Y103" i="1" s="1"/>
  <c r="X102" i="1"/>
  <c r="Y102" i="1" s="1"/>
  <c r="X99" i="1"/>
  <c r="Y99" i="1" s="1"/>
  <c r="Z99" i="1" s="1"/>
  <c r="R99" i="1"/>
  <c r="T99" i="1" s="1"/>
  <c r="X98" i="1"/>
  <c r="Y98" i="1" s="1"/>
  <c r="Z98" i="1" s="1"/>
  <c r="R98" i="1"/>
  <c r="T98" i="1" s="1"/>
  <c r="X97" i="1"/>
  <c r="Y97" i="1" s="1"/>
  <c r="Z97" i="1" s="1"/>
  <c r="R97" i="1"/>
  <c r="T97" i="1" s="1"/>
  <c r="X96" i="1"/>
  <c r="Y96" i="1" s="1"/>
  <c r="Z96" i="1" s="1"/>
  <c r="R96" i="1"/>
  <c r="T96" i="1" s="1"/>
  <c r="X95" i="1"/>
  <c r="Y95" i="1" s="1"/>
  <c r="Z95" i="1" s="1"/>
  <c r="R95" i="1"/>
  <c r="T95" i="1" s="1"/>
  <c r="X94" i="1"/>
  <c r="Y94" i="1" s="1"/>
  <c r="Z94" i="1" s="1"/>
  <c r="R94" i="1"/>
  <c r="T94" i="1" s="1"/>
  <c r="X93" i="1"/>
  <c r="Y93" i="1" s="1"/>
  <c r="Z93" i="1" s="1"/>
  <c r="R93" i="1"/>
  <c r="T93" i="1" s="1"/>
  <c r="X92" i="1"/>
  <c r="Y92" i="1" s="1"/>
  <c r="Z92" i="1" s="1"/>
  <c r="R92" i="1"/>
  <c r="T92" i="1" s="1"/>
  <c r="X91" i="1"/>
  <c r="Y91" i="1" s="1"/>
  <c r="Z91" i="1" s="1"/>
  <c r="R91" i="1"/>
  <c r="T91" i="1" s="1"/>
  <c r="X90" i="1"/>
  <c r="Y90" i="1" s="1"/>
  <c r="Z90" i="1" s="1"/>
  <c r="R90" i="1"/>
  <c r="T90" i="1" s="1"/>
  <c r="X89" i="1"/>
  <c r="Y89" i="1" s="1"/>
  <c r="Z89" i="1" s="1"/>
  <c r="R89" i="1"/>
  <c r="T89" i="1" s="1"/>
  <c r="X88" i="1"/>
  <c r="Y88" i="1" s="1"/>
  <c r="Z88" i="1" s="1"/>
  <c r="R88" i="1"/>
  <c r="T88" i="1" s="1"/>
  <c r="X87" i="1"/>
  <c r="Y87" i="1" s="1"/>
  <c r="Z87" i="1" s="1"/>
  <c r="R87" i="1"/>
  <c r="T87" i="1" s="1"/>
  <c r="X86" i="1"/>
  <c r="Y86" i="1" s="1"/>
  <c r="Z86" i="1" s="1"/>
  <c r="R86" i="1"/>
  <c r="T86" i="1" s="1"/>
  <c r="X85" i="1"/>
  <c r="Y85" i="1" s="1"/>
  <c r="Z85" i="1" s="1"/>
  <c r="R85" i="1"/>
  <c r="T85" i="1" s="1"/>
  <c r="X84" i="1"/>
  <c r="Y84" i="1" s="1"/>
  <c r="Z84" i="1" s="1"/>
  <c r="R84" i="1"/>
  <c r="T84" i="1" s="1"/>
  <c r="X83" i="1"/>
  <c r="Y83" i="1" s="1"/>
  <c r="Z83" i="1" s="1"/>
  <c r="R83" i="1"/>
  <c r="T83" i="1" s="1"/>
  <c r="X82" i="1"/>
  <c r="Y82" i="1" s="1"/>
  <c r="Z82" i="1" s="1"/>
  <c r="R82" i="1"/>
  <c r="T82" i="1" s="1"/>
  <c r="X81" i="1"/>
  <c r="Y81" i="1" s="1"/>
  <c r="Z81" i="1" s="1"/>
  <c r="R81" i="1"/>
  <c r="T81" i="1" s="1"/>
  <c r="X80" i="1"/>
  <c r="Y80" i="1" s="1"/>
  <c r="Z80" i="1" s="1"/>
  <c r="R80" i="1"/>
  <c r="T80" i="1" s="1"/>
  <c r="X79" i="1"/>
  <c r="Y79" i="1" s="1"/>
  <c r="Z79" i="1" s="1"/>
  <c r="R79" i="1"/>
  <c r="T79" i="1" s="1"/>
  <c r="X78" i="1"/>
  <c r="Y78" i="1" s="1"/>
  <c r="Z78" i="1" s="1"/>
  <c r="R78" i="1"/>
  <c r="T78" i="1" s="1"/>
  <c r="X77" i="1"/>
  <c r="Y77" i="1" s="1"/>
  <c r="Z77" i="1" s="1"/>
  <c r="R77" i="1"/>
  <c r="T77" i="1" s="1"/>
  <c r="X76" i="1"/>
  <c r="Y76" i="1" s="1"/>
  <c r="Z76" i="1" s="1"/>
  <c r="R76" i="1"/>
  <c r="T76" i="1" s="1"/>
  <c r="X75" i="1"/>
  <c r="Y75" i="1" s="1"/>
  <c r="Z75" i="1" s="1"/>
  <c r="R75" i="1"/>
  <c r="T75" i="1" s="1"/>
  <c r="X74" i="1"/>
  <c r="Y74" i="1" s="1"/>
  <c r="Z74" i="1" s="1"/>
  <c r="R74" i="1"/>
  <c r="T74" i="1" s="1"/>
  <c r="X73" i="1"/>
  <c r="Y73" i="1" s="1"/>
  <c r="Z73" i="1" s="1"/>
  <c r="R73" i="1"/>
  <c r="T73" i="1" s="1"/>
  <c r="X72" i="1"/>
  <c r="Y72" i="1" s="1"/>
  <c r="Z72" i="1" s="1"/>
  <c r="R72" i="1"/>
  <c r="T72" i="1" s="1"/>
  <c r="X71" i="1"/>
  <c r="Y71" i="1" s="1"/>
  <c r="Z71" i="1" s="1"/>
  <c r="R71" i="1"/>
  <c r="T71" i="1" s="1"/>
  <c r="X70" i="1"/>
  <c r="Y70" i="1" s="1"/>
  <c r="Z70" i="1" s="1"/>
  <c r="R70" i="1"/>
  <c r="T70" i="1" s="1"/>
  <c r="X69" i="1"/>
  <c r="Y69" i="1" s="1"/>
  <c r="Z69" i="1" s="1"/>
  <c r="R69" i="1"/>
  <c r="T69" i="1" s="1"/>
  <c r="X68" i="1"/>
  <c r="Y68" i="1" s="1"/>
  <c r="Z68" i="1" s="1"/>
  <c r="R68" i="1"/>
  <c r="T68" i="1" s="1"/>
  <c r="X67" i="1"/>
  <c r="Y67" i="1" s="1"/>
  <c r="Z67" i="1" s="1"/>
  <c r="R67" i="1"/>
  <c r="T67" i="1" s="1"/>
  <c r="X66" i="1"/>
  <c r="Y66" i="1" s="1"/>
  <c r="Z66" i="1" s="1"/>
  <c r="R66" i="1"/>
  <c r="T66" i="1" s="1"/>
  <c r="X65" i="1"/>
  <c r="Y65" i="1" s="1"/>
  <c r="Z65" i="1" s="1"/>
  <c r="R65" i="1"/>
  <c r="T65" i="1" s="1"/>
  <c r="X64" i="1"/>
  <c r="Y64" i="1" s="1"/>
  <c r="Z64" i="1" s="1"/>
  <c r="R64" i="1"/>
  <c r="T64" i="1" s="1"/>
  <c r="X63" i="1"/>
  <c r="Y63" i="1" s="1"/>
  <c r="Z63" i="1" s="1"/>
  <c r="R63" i="1"/>
  <c r="T63" i="1" s="1"/>
  <c r="X62" i="1"/>
  <c r="Y62" i="1" s="1"/>
  <c r="Z62" i="1" s="1"/>
  <c r="R62" i="1"/>
  <c r="T62" i="1" s="1"/>
  <c r="X61" i="1"/>
  <c r="Y61" i="1" s="1"/>
  <c r="Z61" i="1" s="1"/>
  <c r="R61" i="1"/>
  <c r="T61" i="1" s="1"/>
  <c r="X60" i="1"/>
  <c r="Y60" i="1" s="1"/>
  <c r="Z60" i="1" s="1"/>
  <c r="R60" i="1"/>
  <c r="T60" i="1" s="1"/>
  <c r="X58" i="1"/>
  <c r="Y58" i="1" s="1"/>
  <c r="X56" i="1"/>
  <c r="Y56" i="1" s="1"/>
  <c r="X55" i="1"/>
  <c r="Y55" i="1" s="1"/>
  <c r="Q54" i="1"/>
  <c r="Q59" i="1" s="1"/>
  <c r="Q101" i="1" s="1"/>
  <c r="Q106" i="1" s="1"/>
  <c r="Q148" i="1" s="1"/>
  <c r="Q153" i="1" s="1"/>
  <c r="Q195" i="1" s="1"/>
  <c r="Q200" i="1" s="1"/>
  <c r="Q242" i="1" s="1"/>
  <c r="Q247" i="1" s="1"/>
  <c r="Q281" i="1" s="1"/>
  <c r="P54" i="1"/>
  <c r="P59" i="1" s="1"/>
  <c r="P101" i="1" s="1"/>
  <c r="P106" i="1" s="1"/>
  <c r="P148" i="1" s="1"/>
  <c r="P153" i="1" s="1"/>
  <c r="P195" i="1" s="1"/>
  <c r="P200" i="1" s="1"/>
  <c r="P242" i="1" s="1"/>
  <c r="P247" i="1" s="1"/>
  <c r="P281" i="1" s="1"/>
  <c r="O54" i="1"/>
  <c r="O59" i="1" s="1"/>
  <c r="O101" i="1" s="1"/>
  <c r="O106" i="1" s="1"/>
  <c r="O148" i="1" s="1"/>
  <c r="O153" i="1" s="1"/>
  <c r="O195" i="1" s="1"/>
  <c r="O200" i="1" s="1"/>
  <c r="O242" i="1" s="1"/>
  <c r="O247" i="1" s="1"/>
  <c r="O281" i="1" s="1"/>
  <c r="N54" i="1"/>
  <c r="N59" i="1" s="1"/>
  <c r="N101" i="1" s="1"/>
  <c r="N106" i="1" s="1"/>
  <c r="N148" i="1" s="1"/>
  <c r="N153" i="1" s="1"/>
  <c r="N195" i="1" s="1"/>
  <c r="N200" i="1" s="1"/>
  <c r="N242" i="1" s="1"/>
  <c r="N247" i="1" s="1"/>
  <c r="N281" i="1" s="1"/>
  <c r="M54" i="1"/>
  <c r="L54" i="1"/>
  <c r="L59" i="1" s="1"/>
  <c r="L101" i="1" s="1"/>
  <c r="L106" i="1" s="1"/>
  <c r="L148" i="1" s="1"/>
  <c r="L153" i="1" s="1"/>
  <c r="L195" i="1" s="1"/>
  <c r="L200" i="1" s="1"/>
  <c r="L242" i="1" s="1"/>
  <c r="L247" i="1" s="1"/>
  <c r="L281" i="1" s="1"/>
  <c r="I54" i="1"/>
  <c r="I59" i="1" s="1"/>
  <c r="H54" i="1"/>
  <c r="H59" i="1" s="1"/>
  <c r="G54" i="1"/>
  <c r="G59" i="1" s="1"/>
  <c r="G101" i="1" s="1"/>
  <c r="G106" i="1" s="1"/>
  <c r="G148" i="1" s="1"/>
  <c r="G153" i="1" s="1"/>
  <c r="G195" i="1" s="1"/>
  <c r="G200" i="1" s="1"/>
  <c r="G242" i="1" s="1"/>
  <c r="G247" i="1" s="1"/>
  <c r="G281" i="1" s="1"/>
  <c r="F1333" i="1" s="1"/>
  <c r="X53" i="1"/>
  <c r="Y53" i="1" s="1"/>
  <c r="Z53" i="1" s="1"/>
  <c r="R53" i="1"/>
  <c r="X52" i="1"/>
  <c r="Y52" i="1" s="1"/>
  <c r="Z52" i="1" s="1"/>
  <c r="R52" i="1"/>
  <c r="T52" i="1" s="1"/>
  <c r="X51" i="1"/>
  <c r="Y51" i="1" s="1"/>
  <c r="Z51" i="1" s="1"/>
  <c r="R51" i="1"/>
  <c r="T51" i="1" s="1"/>
  <c r="X50" i="1"/>
  <c r="Y50" i="1" s="1"/>
  <c r="Z50" i="1" s="1"/>
  <c r="R50" i="1"/>
  <c r="T50" i="1" s="1"/>
  <c r="X49" i="1"/>
  <c r="Y49" i="1" s="1"/>
  <c r="Z49" i="1" s="1"/>
  <c r="R49" i="1"/>
  <c r="T49" i="1" s="1"/>
  <c r="X48" i="1"/>
  <c r="Y48" i="1" s="1"/>
  <c r="Z48" i="1" s="1"/>
  <c r="R48" i="1"/>
  <c r="T48" i="1" s="1"/>
  <c r="X47" i="1"/>
  <c r="Y47" i="1" s="1"/>
  <c r="Z47" i="1" s="1"/>
  <c r="R47" i="1"/>
  <c r="T47" i="1" s="1"/>
  <c r="X46" i="1"/>
  <c r="Y46" i="1" s="1"/>
  <c r="Z46" i="1" s="1"/>
  <c r="R46" i="1"/>
  <c r="T46" i="1" s="1"/>
  <c r="X45" i="1"/>
  <c r="Y45" i="1" s="1"/>
  <c r="Z45" i="1" s="1"/>
  <c r="R45" i="1"/>
  <c r="T45" i="1" s="1"/>
  <c r="X44" i="1"/>
  <c r="Y44" i="1" s="1"/>
  <c r="Z44" i="1" s="1"/>
  <c r="R44" i="1"/>
  <c r="T44" i="1" s="1"/>
  <c r="X43" i="1"/>
  <c r="Y43" i="1" s="1"/>
  <c r="Z43" i="1" s="1"/>
  <c r="R43" i="1"/>
  <c r="T43" i="1" s="1"/>
  <c r="X42" i="1"/>
  <c r="Y42" i="1" s="1"/>
  <c r="Z42" i="1" s="1"/>
  <c r="R42" i="1"/>
  <c r="T42" i="1" s="1"/>
  <c r="X41" i="1"/>
  <c r="Y41" i="1" s="1"/>
  <c r="Z41" i="1" s="1"/>
  <c r="R41" i="1"/>
  <c r="T41" i="1" s="1"/>
  <c r="X40" i="1"/>
  <c r="Y40" i="1" s="1"/>
  <c r="Z40" i="1" s="1"/>
  <c r="R40" i="1"/>
  <c r="T40" i="1" s="1"/>
  <c r="X39" i="1"/>
  <c r="Y39" i="1" s="1"/>
  <c r="Z39" i="1" s="1"/>
  <c r="R39" i="1"/>
  <c r="T39" i="1" s="1"/>
  <c r="X38" i="1"/>
  <c r="Y38" i="1" s="1"/>
  <c r="Z38" i="1" s="1"/>
  <c r="R38" i="1"/>
  <c r="T38" i="1" s="1"/>
  <c r="X37" i="1"/>
  <c r="Y37" i="1" s="1"/>
  <c r="Z37" i="1" s="1"/>
  <c r="R37" i="1"/>
  <c r="T37" i="1" s="1"/>
  <c r="X36" i="1"/>
  <c r="Y36" i="1" s="1"/>
  <c r="Z36" i="1" s="1"/>
  <c r="R36" i="1"/>
  <c r="T36" i="1" s="1"/>
  <c r="X35" i="1"/>
  <c r="Y35" i="1" s="1"/>
  <c r="Z35" i="1" s="1"/>
  <c r="R35" i="1"/>
  <c r="T35" i="1" s="1"/>
  <c r="X34" i="1"/>
  <c r="Y34" i="1" s="1"/>
  <c r="Z34" i="1" s="1"/>
  <c r="R34" i="1"/>
  <c r="T34" i="1" s="1"/>
  <c r="X33" i="1"/>
  <c r="Y33" i="1" s="1"/>
  <c r="Z33" i="1" s="1"/>
  <c r="R33" i="1"/>
  <c r="T33" i="1" s="1"/>
  <c r="X32" i="1"/>
  <c r="Y32" i="1" s="1"/>
  <c r="Z32" i="1" s="1"/>
  <c r="R32" i="1"/>
  <c r="T32" i="1" s="1"/>
  <c r="X31" i="1"/>
  <c r="Y31" i="1" s="1"/>
  <c r="Z31" i="1" s="1"/>
  <c r="R31" i="1"/>
  <c r="T31" i="1" s="1"/>
  <c r="X30" i="1"/>
  <c r="Y30" i="1" s="1"/>
  <c r="Z30" i="1" s="1"/>
  <c r="R30" i="1"/>
  <c r="T30" i="1" s="1"/>
  <c r="X29" i="1"/>
  <c r="Y29" i="1" s="1"/>
  <c r="Z29" i="1" s="1"/>
  <c r="R29" i="1"/>
  <c r="T29" i="1" s="1"/>
  <c r="X28" i="1"/>
  <c r="Y28" i="1" s="1"/>
  <c r="Z28" i="1" s="1"/>
  <c r="R28" i="1"/>
  <c r="T28" i="1" s="1"/>
  <c r="X27" i="1"/>
  <c r="Y27" i="1" s="1"/>
  <c r="Z27" i="1" s="1"/>
  <c r="R27" i="1"/>
  <c r="T27" i="1" s="1"/>
  <c r="X26" i="1"/>
  <c r="Y26" i="1" s="1"/>
  <c r="Z26" i="1" s="1"/>
  <c r="R26" i="1"/>
  <c r="T26" i="1" s="1"/>
  <c r="X25" i="1"/>
  <c r="Y25" i="1" s="1"/>
  <c r="Z25" i="1" s="1"/>
  <c r="R25" i="1"/>
  <c r="T25" i="1" s="1"/>
  <c r="X24" i="1"/>
  <c r="Y24" i="1" s="1"/>
  <c r="Z24" i="1" s="1"/>
  <c r="R24" i="1"/>
  <c r="T24" i="1" s="1"/>
  <c r="X23" i="1"/>
  <c r="Y23" i="1" s="1"/>
  <c r="Z23" i="1" s="1"/>
  <c r="R23" i="1"/>
  <c r="T23" i="1" s="1"/>
  <c r="X22" i="1"/>
  <c r="Y22" i="1" s="1"/>
  <c r="Z22" i="1" s="1"/>
  <c r="R22" i="1"/>
  <c r="T22" i="1" s="1"/>
  <c r="X21" i="1"/>
  <c r="Y21" i="1" s="1"/>
  <c r="Z21" i="1" s="1"/>
  <c r="R21" i="1"/>
  <c r="T21" i="1" s="1"/>
  <c r="X20" i="1"/>
  <c r="Y20" i="1" s="1"/>
  <c r="Z20" i="1" s="1"/>
  <c r="R20" i="1"/>
  <c r="T20" i="1" s="1"/>
  <c r="X19" i="1"/>
  <c r="Y19" i="1" s="1"/>
  <c r="Z19" i="1" s="1"/>
  <c r="R19" i="1"/>
  <c r="T19" i="1" s="1"/>
  <c r="X18" i="1"/>
  <c r="Y18" i="1" s="1"/>
  <c r="Z18" i="1" s="1"/>
  <c r="R18" i="1"/>
  <c r="T18" i="1" s="1"/>
  <c r="X17" i="1"/>
  <c r="Y17" i="1" s="1"/>
  <c r="Z17" i="1" s="1"/>
  <c r="R17" i="1"/>
  <c r="T17" i="1" s="1"/>
  <c r="X16" i="1"/>
  <c r="Y16" i="1" s="1"/>
  <c r="Z16" i="1" s="1"/>
  <c r="R16" i="1"/>
  <c r="T16" i="1" s="1"/>
  <c r="X15" i="1"/>
  <c r="Y15" i="1" s="1"/>
  <c r="Z15" i="1" s="1"/>
  <c r="R15" i="1"/>
  <c r="T15" i="1" s="1"/>
  <c r="X14" i="1"/>
  <c r="Y14" i="1" s="1"/>
  <c r="Z14" i="1" s="1"/>
  <c r="R14" i="1"/>
  <c r="T14" i="1" s="1"/>
  <c r="X13" i="1"/>
  <c r="Y13" i="1" s="1"/>
  <c r="Z13" i="1" s="1"/>
  <c r="R13" i="1"/>
  <c r="T13" i="1" s="1"/>
  <c r="A9" i="1"/>
  <c r="T1067" i="1" l="1"/>
  <c r="T1072" i="1" s="1"/>
  <c r="T1114" i="1" s="1"/>
  <c r="T1119" i="1" s="1"/>
  <c r="T1161" i="1" s="1"/>
  <c r="T1166" i="1" s="1"/>
  <c r="T1208" i="1" s="1"/>
  <c r="T1214" i="1" s="1"/>
  <c r="T1256" i="1" s="1"/>
  <c r="T1262" i="1" s="1"/>
  <c r="T1289" i="1" s="1"/>
  <c r="T837" i="1"/>
  <c r="T842" i="1" s="1"/>
  <c r="T884" i="1" s="1"/>
  <c r="T889" i="1" s="1"/>
  <c r="T931" i="1" s="1"/>
  <c r="T936" i="1" s="1"/>
  <c r="T978" i="1" s="1"/>
  <c r="T983" i="1" s="1"/>
  <c r="T1020" i="1" s="1"/>
  <c r="T392" i="1"/>
  <c r="T397" i="1" s="1"/>
  <c r="T439" i="1" s="1"/>
  <c r="T446" i="1" s="1"/>
  <c r="T488" i="1" s="1"/>
  <c r="T494" i="1" s="1"/>
  <c r="T536" i="1" s="1"/>
  <c r="T542" i="1" s="1"/>
  <c r="T584" i="1" s="1"/>
  <c r="T590" i="1" s="1"/>
  <c r="T632" i="1" s="1"/>
  <c r="T638" i="1" s="1"/>
  <c r="T680" i="1" s="1"/>
  <c r="T685" i="1" s="1"/>
  <c r="T727" i="1" s="1"/>
  <c r="T732" i="1" s="1"/>
  <c r="T774" i="1" s="1"/>
  <c r="T779" i="1" s="1"/>
  <c r="T790" i="1" s="1"/>
  <c r="T327" i="1"/>
  <c r="T332" i="1" s="1"/>
  <c r="T345" i="1" s="1"/>
  <c r="T54" i="1"/>
  <c r="T59" i="1" s="1"/>
  <c r="T101" i="1" s="1"/>
  <c r="T106" i="1" s="1"/>
  <c r="T148" i="1" s="1"/>
  <c r="T153" i="1" s="1"/>
  <c r="T195" i="1" s="1"/>
  <c r="T200" i="1" s="1"/>
  <c r="T242" i="1" s="1"/>
  <c r="T247" i="1" s="1"/>
  <c r="T281" i="1" s="1"/>
  <c r="R1067" i="1"/>
  <c r="R1072" i="1" s="1"/>
  <c r="R1114" i="1" s="1"/>
  <c r="R1119" i="1" s="1"/>
  <c r="R1161" i="1" s="1"/>
  <c r="R1166" i="1" s="1"/>
  <c r="R1208" i="1" s="1"/>
  <c r="R1214" i="1" s="1"/>
  <c r="R1256" i="1" s="1"/>
  <c r="R1262" i="1" s="1"/>
  <c r="R1289" i="1" s="1"/>
  <c r="E1337" i="1" s="1"/>
  <c r="R327" i="1"/>
  <c r="R332" i="1" s="1"/>
  <c r="R345" i="1" s="1"/>
  <c r="W345" i="1" s="1"/>
  <c r="R1328" i="1"/>
  <c r="E1339" i="1" s="1"/>
  <c r="X392" i="1"/>
  <c r="Y392" i="1" s="1"/>
  <c r="W1317" i="1"/>
  <c r="F1340" i="1"/>
  <c r="R54" i="1"/>
  <c r="R59" i="1" s="1"/>
  <c r="R101" i="1" s="1"/>
  <c r="R106" i="1" s="1"/>
  <c r="R148" i="1" s="1"/>
  <c r="R153" i="1" s="1"/>
  <c r="R195" i="1" s="1"/>
  <c r="R200" i="1" s="1"/>
  <c r="R242" i="1" s="1"/>
  <c r="R247" i="1" s="1"/>
  <c r="R281" i="1" s="1"/>
  <c r="W281" i="1" s="1"/>
  <c r="X54" i="1"/>
  <c r="Y54" i="1" s="1"/>
  <c r="R392" i="1"/>
  <c r="R397" i="1" s="1"/>
  <c r="R439" i="1" s="1"/>
  <c r="R446" i="1" s="1"/>
  <c r="R488" i="1" s="1"/>
  <c r="R494" i="1" s="1"/>
  <c r="R536" i="1" s="1"/>
  <c r="R542" i="1" s="1"/>
  <c r="R584" i="1" s="1"/>
  <c r="R590" i="1" s="1"/>
  <c r="R632" i="1" s="1"/>
  <c r="W632" i="1" s="1"/>
  <c r="X1317" i="1"/>
  <c r="Y1317" i="1" s="1"/>
  <c r="Q488" i="1"/>
  <c r="Q494" i="1" s="1"/>
  <c r="Q536" i="1" s="1"/>
  <c r="Q542" i="1" s="1"/>
  <c r="Q584" i="1" s="1"/>
  <c r="Q590" i="1" s="1"/>
  <c r="Q632" i="1" s="1"/>
  <c r="Q638" i="1" s="1"/>
  <c r="Q680" i="1" s="1"/>
  <c r="Q685" i="1" s="1"/>
  <c r="Q727" i="1" s="1"/>
  <c r="Q732" i="1" s="1"/>
  <c r="Q774" i="1" s="1"/>
  <c r="Q779" i="1" s="1"/>
  <c r="Q790" i="1" s="1"/>
  <c r="M59" i="1"/>
  <c r="M345" i="1"/>
  <c r="X345" i="1" s="1"/>
  <c r="Y345" i="1" s="1"/>
  <c r="X332" i="1"/>
  <c r="Y332" i="1" s="1"/>
  <c r="M439" i="1"/>
  <c r="X397" i="1"/>
  <c r="Y397" i="1" s="1"/>
  <c r="R837" i="1"/>
  <c r="X842" i="1"/>
  <c r="Y842" i="1" s="1"/>
  <c r="M884" i="1"/>
  <c r="X327" i="1"/>
  <c r="Y327" i="1" s="1"/>
  <c r="X837" i="1"/>
  <c r="Y837" i="1" s="1"/>
  <c r="X1067" i="1"/>
  <c r="Y1067" i="1" s="1"/>
  <c r="M1072" i="1"/>
  <c r="D1340" i="1"/>
  <c r="X1328" i="1"/>
  <c r="W1289" i="1" l="1"/>
  <c r="E1334" i="1"/>
  <c r="W1328" i="1"/>
  <c r="E1333" i="1"/>
  <c r="R638" i="1"/>
  <c r="R680" i="1" s="1"/>
  <c r="R685" i="1" s="1"/>
  <c r="R727" i="1" s="1"/>
  <c r="W727" i="1" s="1"/>
  <c r="M889" i="1"/>
  <c r="X884" i="1"/>
  <c r="Y884" i="1" s="1"/>
  <c r="M101" i="1"/>
  <c r="X59" i="1"/>
  <c r="Y59" i="1" s="1"/>
  <c r="M446" i="1"/>
  <c r="X439" i="1"/>
  <c r="Y439" i="1" s="1"/>
  <c r="M1114" i="1"/>
  <c r="X1072" i="1"/>
  <c r="Y1072" i="1" s="1"/>
  <c r="R842" i="1"/>
  <c r="R884" i="1" s="1"/>
  <c r="W837" i="1"/>
  <c r="R732" i="1" l="1"/>
  <c r="R774" i="1" s="1"/>
  <c r="R779" i="1" s="1"/>
  <c r="R790" i="1" s="1"/>
  <c r="E1335" i="1" s="1"/>
  <c r="R889" i="1"/>
  <c r="R931" i="1" s="1"/>
  <c r="W884" i="1"/>
  <c r="M488" i="1"/>
  <c r="X446" i="1"/>
  <c r="Y446" i="1" s="1"/>
  <c r="Z446" i="1" s="1"/>
  <c r="M1119" i="1"/>
  <c r="X1114" i="1"/>
  <c r="Y1114" i="1" s="1"/>
  <c r="M106" i="1"/>
  <c r="X101" i="1"/>
  <c r="Y101" i="1" s="1"/>
  <c r="M931" i="1"/>
  <c r="X889" i="1"/>
  <c r="Y889" i="1" s="1"/>
  <c r="W790" i="1" l="1"/>
  <c r="X790" i="1" s="1"/>
  <c r="Y790" i="1" s="1"/>
  <c r="M936" i="1"/>
  <c r="X931" i="1"/>
  <c r="Y931" i="1" s="1"/>
  <c r="M1161" i="1"/>
  <c r="X1119" i="1"/>
  <c r="Y1119" i="1" s="1"/>
  <c r="R936" i="1"/>
  <c r="R978" i="1" s="1"/>
  <c r="W931" i="1"/>
  <c r="M148" i="1"/>
  <c r="X106" i="1"/>
  <c r="Y106" i="1" s="1"/>
  <c r="M494" i="1"/>
  <c r="X488" i="1"/>
  <c r="Y488" i="1" s="1"/>
  <c r="M153" i="1" l="1"/>
  <c r="X148" i="1"/>
  <c r="Y148" i="1" s="1"/>
  <c r="X1161" i="1"/>
  <c r="Y1161" i="1" s="1"/>
  <c r="M1166" i="1"/>
  <c r="M536" i="1"/>
  <c r="X494" i="1"/>
  <c r="Y494" i="1" s="1"/>
  <c r="R983" i="1"/>
  <c r="R1020" i="1" s="1"/>
  <c r="W978" i="1"/>
  <c r="M978" i="1"/>
  <c r="X936" i="1"/>
  <c r="Y936" i="1" s="1"/>
  <c r="E1336" i="1" l="1"/>
  <c r="W1020" i="1"/>
  <c r="M1208" i="1"/>
  <c r="X1166" i="1"/>
  <c r="Y1166" i="1" s="1"/>
  <c r="X978" i="1"/>
  <c r="Y978" i="1" s="1"/>
  <c r="M983" i="1"/>
  <c r="M542" i="1"/>
  <c r="X536" i="1"/>
  <c r="Y536" i="1" s="1"/>
  <c r="X153" i="1"/>
  <c r="Y153" i="1" s="1"/>
  <c r="M195" i="1"/>
  <c r="C1355" i="1"/>
  <c r="M584" i="1" l="1"/>
  <c r="X542" i="1"/>
  <c r="Y542" i="1" s="1"/>
  <c r="M1214" i="1"/>
  <c r="X1208" i="1"/>
  <c r="Y1208" i="1" s="1"/>
  <c r="M200" i="1"/>
  <c r="X195" i="1"/>
  <c r="Y195" i="1" s="1"/>
  <c r="M1020" i="1"/>
  <c r="X1020" i="1" s="1"/>
  <c r="Y1020" i="1" s="1"/>
  <c r="X983" i="1"/>
  <c r="Y983" i="1" s="1"/>
  <c r="M1256" i="1" l="1"/>
  <c r="X1214" i="1"/>
  <c r="Y1214" i="1" s="1"/>
  <c r="X200" i="1"/>
  <c r="Y200" i="1" s="1"/>
  <c r="M242" i="1"/>
  <c r="M590" i="1"/>
  <c r="X584" i="1"/>
  <c r="Y584" i="1" s="1"/>
  <c r="M247" i="1" l="1"/>
  <c r="X242" i="1"/>
  <c r="Y242" i="1" s="1"/>
  <c r="M632" i="1"/>
  <c r="X590" i="1"/>
  <c r="Y590" i="1" s="1"/>
  <c r="X1256" i="1"/>
  <c r="Y1256" i="1" s="1"/>
  <c r="M1262" i="1"/>
  <c r="M638" i="1" l="1"/>
  <c r="X632" i="1"/>
  <c r="Y632" i="1" s="1"/>
  <c r="M1289" i="1"/>
  <c r="X1289" i="1" s="1"/>
  <c r="Y1289" i="1" s="1"/>
  <c r="X1262" i="1"/>
  <c r="Y1262" i="1" s="1"/>
  <c r="M281" i="1"/>
  <c r="X281" i="1" s="1"/>
  <c r="Y281" i="1" s="1"/>
  <c r="X247" i="1"/>
  <c r="Y247" i="1" s="1"/>
  <c r="M680" i="1" l="1"/>
  <c r="X638" i="1"/>
  <c r="Y638" i="1" s="1"/>
  <c r="X680" i="1" l="1"/>
  <c r="Y680" i="1" s="1"/>
  <c r="M685" i="1"/>
  <c r="M727" i="1" l="1"/>
  <c r="X685" i="1"/>
  <c r="Y685" i="1" s="1"/>
  <c r="M732" i="1" l="1"/>
  <c r="X727" i="1"/>
  <c r="Y727" i="1" s="1"/>
  <c r="X732" i="1" l="1"/>
  <c r="Y732" i="1" s="1"/>
  <c r="M774" i="1"/>
  <c r="X774" i="1" l="1"/>
  <c r="Y774" i="1" s="1"/>
  <c r="M779" i="1"/>
  <c r="M790" i="1" l="1"/>
  <c r="X779" i="1"/>
  <c r="Y77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<sst xmlns="http://schemas.openxmlformats.org/spreadsheetml/2006/main" count="7907" uniqueCount="3487">
  <si>
    <t xml:space="preserve"> </t>
  </si>
  <si>
    <t>PLN</t>
  </si>
  <si>
    <t>DAFTAR TAGIHAN REKENING LISTRIK PENERANGAN JALAN UMUM</t>
  </si>
  <si>
    <t>WILAYAH ULP  KEDIRI KOTA</t>
  </si>
  <si>
    <t>NO.</t>
  </si>
  <si>
    <t>IDPEL</t>
  </si>
  <si>
    <t>N  A  M  A</t>
  </si>
  <si>
    <t>A L A M A T</t>
  </si>
  <si>
    <t xml:space="preserve"> TARIF</t>
  </si>
  <si>
    <t>D A Y A</t>
  </si>
  <si>
    <t>BLTH</t>
  </si>
  <si>
    <t>NOREK</t>
  </si>
  <si>
    <t>STAND AWAL</t>
  </si>
  <si>
    <t>STAND AKHIR</t>
  </si>
  <si>
    <t>KWH</t>
  </si>
  <si>
    <t>PTL</t>
  </si>
  <si>
    <t>ANGSURAN</t>
  </si>
  <si>
    <t>PPN</t>
  </si>
  <si>
    <t>PPJ</t>
  </si>
  <si>
    <t>MATERAI</t>
  </si>
  <si>
    <t>TAGIHAN</t>
  </si>
  <si>
    <t>KNT.KABUPATEN KEDIRI</t>
  </si>
  <si>
    <t>DN</t>
  </si>
  <si>
    <t>MORANGAN</t>
  </si>
  <si>
    <t>P3</t>
  </si>
  <si>
    <t>202505</t>
  </si>
  <si>
    <t>045060</t>
  </si>
  <si>
    <t>PJ GURAH</t>
  </si>
  <si>
    <t>DS</t>
  </si>
  <si>
    <t>GURAH</t>
  </si>
  <si>
    <t>044911</t>
  </si>
  <si>
    <t>PJU PUTIH (512)</t>
  </si>
  <si>
    <t>GAMPENGREJO</t>
  </si>
  <si>
    <t>044889</t>
  </si>
  <si>
    <t>PJU PAGU (218)</t>
  </si>
  <si>
    <t>PAGU</t>
  </si>
  <si>
    <t>044690</t>
  </si>
  <si>
    <t>PJU WISMA KATANG (204)</t>
  </si>
  <si>
    <t>044798</t>
  </si>
  <si>
    <t>PEN.JALAN PAPAR (051)</t>
  </si>
  <si>
    <t>PAPAR</t>
  </si>
  <si>
    <t>044944</t>
  </si>
  <si>
    <t>PJU DS NGEBRAK</t>
  </si>
  <si>
    <t>NGEBRAK</t>
  </si>
  <si>
    <t>044955</t>
  </si>
  <si>
    <t>PJU</t>
  </si>
  <si>
    <t>WANENGPATEN</t>
  </si>
  <si>
    <t>044762</t>
  </si>
  <si>
    <t>PJU DS MENANG</t>
  </si>
  <si>
    <t>MENANG</t>
  </si>
  <si>
    <t>044681</t>
  </si>
  <si>
    <t>PJU NGEBRAK (325)</t>
  </si>
  <si>
    <t>044985</t>
  </si>
  <si>
    <t>PJU KLANDERAN (428)</t>
  </si>
  <si>
    <t>KLANDERAN</t>
  </si>
  <si>
    <t>045042</t>
  </si>
  <si>
    <t>PJU DOKO</t>
  </si>
  <si>
    <t>DOKO</t>
  </si>
  <si>
    <t>044819</t>
  </si>
  <si>
    <t>PJU SIMPANG GEMPOLAN</t>
  </si>
  <si>
    <t>GEMPOLAN</t>
  </si>
  <si>
    <t>044689</t>
  </si>
  <si>
    <t>PJU SIMPANG WONOSARI</t>
  </si>
  <si>
    <t>WONOSARI PAGU</t>
  </si>
  <si>
    <t>044703</t>
  </si>
  <si>
    <t>PJU KAPUREJO</t>
  </si>
  <si>
    <t>KAPUREJO PAGU</t>
  </si>
  <si>
    <t>044896</t>
  </si>
  <si>
    <t>JL</t>
  </si>
  <si>
    <t>044894</t>
  </si>
  <si>
    <t>PJU PAGU (094)</t>
  </si>
  <si>
    <t>044666</t>
  </si>
  <si>
    <t>PJU TIRU KIDUL</t>
  </si>
  <si>
    <t>TIRU KIDUL</t>
  </si>
  <si>
    <t>044674</t>
  </si>
  <si>
    <t>PJU TAMBAKREJO (227)</t>
  </si>
  <si>
    <t>TAMBAKREJO GURAH</t>
  </si>
  <si>
    <t>044882</t>
  </si>
  <si>
    <t>PJU NGASEM</t>
  </si>
  <si>
    <t>NGASEM GAMPENGREJ</t>
  </si>
  <si>
    <t>045127</t>
  </si>
  <si>
    <t>PJU KREKEP GURAH</t>
  </si>
  <si>
    <t>KREKEP GURAH</t>
  </si>
  <si>
    <t>044799</t>
  </si>
  <si>
    <t>PJU DS. JAGUNG</t>
  </si>
  <si>
    <t>JAGUNG</t>
  </si>
  <si>
    <t>044907</t>
  </si>
  <si>
    <t>PJU DS. TANJUNG</t>
  </si>
  <si>
    <t>TANJUNG</t>
  </si>
  <si>
    <t>044887</t>
  </si>
  <si>
    <t>PJU DS. WONOJOYO TENGAH</t>
  </si>
  <si>
    <t>WONOJOYO</t>
  </si>
  <si>
    <t>044895</t>
  </si>
  <si>
    <t>PJU DS. GABRU</t>
  </si>
  <si>
    <t>GABRU</t>
  </si>
  <si>
    <t>044702</t>
  </si>
  <si>
    <t>PJU DS. DADAPAN</t>
  </si>
  <si>
    <t>DADAPAN</t>
  </si>
  <si>
    <t>044837</t>
  </si>
  <si>
    <t>PJU DS. GURAH</t>
  </si>
  <si>
    <t>045136</t>
  </si>
  <si>
    <t>PJ DS. WONOJOYO (223)</t>
  </si>
  <si>
    <t>044668</t>
  </si>
  <si>
    <t>P J U SUMBERCABGKRING</t>
  </si>
  <si>
    <t>SB CANGKRING</t>
  </si>
  <si>
    <t>045048</t>
  </si>
  <si>
    <t>P J U SUMUR (601)</t>
  </si>
  <si>
    <t>SUMUR</t>
  </si>
  <si>
    <t>045054</t>
  </si>
  <si>
    <t>P J U TENGGER PAGU</t>
  </si>
  <si>
    <t>TENGGER KIDUL</t>
  </si>
  <si>
    <t>045017</t>
  </si>
  <si>
    <t>P J U PERUM DOKO</t>
  </si>
  <si>
    <t>DOKO SRAGI</t>
  </si>
  <si>
    <t>044874</t>
  </si>
  <si>
    <t>P J U PEHWETAN (390)</t>
  </si>
  <si>
    <t>PEH WETAN</t>
  </si>
  <si>
    <t>044743</t>
  </si>
  <si>
    <t>P J U GEMPOLAN</t>
  </si>
  <si>
    <t>BAYE</t>
  </si>
  <si>
    <t>045045</t>
  </si>
  <si>
    <t>P J U BIBIS (579)</t>
  </si>
  <si>
    <t>BIBIS</t>
  </si>
  <si>
    <t>044831</t>
  </si>
  <si>
    <t>PJU GONDANG (460)</t>
  </si>
  <si>
    <t>GONDANG</t>
  </si>
  <si>
    <t>044971</t>
  </si>
  <si>
    <t>P J U JANTI (413)</t>
  </si>
  <si>
    <t>PLOSOREJO</t>
  </si>
  <si>
    <t>044731</t>
  </si>
  <si>
    <t>P J U KERGAN (347)</t>
  </si>
  <si>
    <t>DAWUHAN KIDUL</t>
  </si>
  <si>
    <t>044771</t>
  </si>
  <si>
    <t>P J U KERGAN (346)</t>
  </si>
  <si>
    <t>KERGAN</t>
  </si>
  <si>
    <t>044781</t>
  </si>
  <si>
    <t>P J U JANTI (221)</t>
  </si>
  <si>
    <t>JANTI</t>
  </si>
  <si>
    <t>045023</t>
  </si>
  <si>
    <t>Dipindahkan</t>
  </si>
  <si>
    <t/>
  </si>
  <si>
    <t>Pindahan</t>
  </si>
  <si>
    <t>P J U SAMBIREJO</t>
  </si>
  <si>
    <t>SAMBIREJO</t>
  </si>
  <si>
    <t>045095</t>
  </si>
  <si>
    <t>P J U PULOSARI</t>
  </si>
  <si>
    <t>PULOSARI</t>
  </si>
  <si>
    <t>045090</t>
  </si>
  <si>
    <t>P J U MADURETNO (230)</t>
  </si>
  <si>
    <t>SLAMBUR KIDUL</t>
  </si>
  <si>
    <t>044856</t>
  </si>
  <si>
    <t>P J U BOGEM</t>
  </si>
  <si>
    <t>BOGEM</t>
  </si>
  <si>
    <t>044722</t>
  </si>
  <si>
    <t>P J U KEMUNING</t>
  </si>
  <si>
    <t>KEMUNING</t>
  </si>
  <si>
    <t>044829</t>
  </si>
  <si>
    <t>PJU DS. GOGORANTE</t>
  </si>
  <si>
    <t>GOGORANTE</t>
  </si>
  <si>
    <t>044750</t>
  </si>
  <si>
    <t>P J U SIDORAWUH (470)</t>
  </si>
  <si>
    <t>SIDORAWUH</t>
  </si>
  <si>
    <t>044888</t>
  </si>
  <si>
    <t>P J U BOGANGIN</t>
  </si>
  <si>
    <t>BOGANGIN KIDUL</t>
  </si>
  <si>
    <t>044862</t>
  </si>
  <si>
    <t>P J U PADANGAN (538)</t>
  </si>
  <si>
    <t>PADANGAN</t>
  </si>
  <si>
    <t>044927</t>
  </si>
  <si>
    <t>P J U NGAMPEL (461)</t>
  </si>
  <si>
    <t>NGEMPLAK</t>
  </si>
  <si>
    <t>045035</t>
  </si>
  <si>
    <t>PJU NAMBAAN ( 191 )</t>
  </si>
  <si>
    <t>NAMBAAN</t>
  </si>
  <si>
    <t>045106</t>
  </si>
  <si>
    <t>PJU SOBO NAMBAAN ( 584 )</t>
  </si>
  <si>
    <t>SOBO</t>
  </si>
  <si>
    <t>045051</t>
  </si>
  <si>
    <t>PJU JENGGOLO INDAH (500)</t>
  </si>
  <si>
    <t>044820</t>
  </si>
  <si>
    <t>PJU PR DOKO SRAGI (630)</t>
  </si>
  <si>
    <t>BESUK</t>
  </si>
  <si>
    <t>044816</t>
  </si>
  <si>
    <t>PJU SAMBIRESIK (484)</t>
  </si>
  <si>
    <t>SAMBIRESIK</t>
  </si>
  <si>
    <t>045040</t>
  </si>
  <si>
    <t>PJU SUMBEREJO (398)</t>
  </si>
  <si>
    <t>SUMBEREJO</t>
  </si>
  <si>
    <t>044670</t>
  </si>
  <si>
    <t>PJU GUMUL ( 211 )</t>
  </si>
  <si>
    <t>GUMUL</t>
  </si>
  <si>
    <t>044696</t>
  </si>
  <si>
    <t>PJU DLOPO JOYOBOYO (72)</t>
  </si>
  <si>
    <t>DLOPO</t>
  </si>
  <si>
    <t>044757</t>
  </si>
  <si>
    <t>PJU PARON (369)</t>
  </si>
  <si>
    <t>PARON</t>
  </si>
  <si>
    <t>045028</t>
  </si>
  <si>
    <t>PJU PR KATANG ( 105 )</t>
  </si>
  <si>
    <t>PERUMNAS KATANG</t>
  </si>
  <si>
    <t>044728</t>
  </si>
  <si>
    <t>PJU AIRLANGGA ( 106 )</t>
  </si>
  <si>
    <t>AIRLANGGA</t>
  </si>
  <si>
    <t>044808</t>
  </si>
  <si>
    <t>PJU SUKARNO HATTA (146)</t>
  </si>
  <si>
    <t>SUKARNO HATTA</t>
  </si>
  <si>
    <t>045029</t>
  </si>
  <si>
    <t>PJU SUKARNO HATTA (516)</t>
  </si>
  <si>
    <t>044721</t>
  </si>
  <si>
    <t>PJU PR SUKOREJO (671)</t>
  </si>
  <si>
    <t>SUKOREJO</t>
  </si>
  <si>
    <t>044942</t>
  </si>
  <si>
    <t>PJU SUKOREJO INDAH (378)</t>
  </si>
  <si>
    <t>S. REJO INDAH</t>
  </si>
  <si>
    <t>044745</t>
  </si>
  <si>
    <t>PJU GOGORANTE ( 203 )</t>
  </si>
  <si>
    <t>044892</t>
  </si>
  <si>
    <t>PJU JERUK TUGUREJO (404)</t>
  </si>
  <si>
    <t>JERUK</t>
  </si>
  <si>
    <t>044657</t>
  </si>
  <si>
    <t>PJU DLOPO JOYOBOYO (157)</t>
  </si>
  <si>
    <t>044983</t>
  </si>
  <si>
    <t>PJU JONG BIRU (2)</t>
  </si>
  <si>
    <t>JONGBIRU</t>
  </si>
  <si>
    <t>044959</t>
  </si>
  <si>
    <t>PJU JONG BIRU (558)</t>
  </si>
  <si>
    <t>044953</t>
  </si>
  <si>
    <t>PJU SAMBIROBYONG (219)</t>
  </si>
  <si>
    <t>SAMBIROBYONG</t>
  </si>
  <si>
    <t>044966</t>
  </si>
  <si>
    <t>PJU PUTIH PERMAI (205)</t>
  </si>
  <si>
    <t>PUTIHPERMAI BLOK G</t>
  </si>
  <si>
    <t>044936</t>
  </si>
  <si>
    <t>PJU BOGEM (393)</t>
  </si>
  <si>
    <t>044679</t>
  </si>
  <si>
    <t>PJU BESUK (090)</t>
  </si>
  <si>
    <t>044838</t>
  </si>
  <si>
    <t>PJU BABADAB SBCANGK (466)</t>
  </si>
  <si>
    <t>044760</t>
  </si>
  <si>
    <t>PJU WONOJOYO (223)</t>
  </si>
  <si>
    <t>PR</t>
  </si>
  <si>
    <t>045063</t>
  </si>
  <si>
    <t>PJU BESUK (450)</t>
  </si>
  <si>
    <t>044813</t>
  </si>
  <si>
    <t>PJU SUKOREJO (167)</t>
  </si>
  <si>
    <t>045008</t>
  </si>
  <si>
    <t>PJU DADAPAN (114)</t>
  </si>
  <si>
    <t>045113</t>
  </si>
  <si>
    <t>PJU GAYAM (226)</t>
  </si>
  <si>
    <t>GAYAM</t>
  </si>
  <si>
    <t>044747</t>
  </si>
  <si>
    <t>PJU PURWOTENGAH (383)</t>
  </si>
  <si>
    <t>PURWOTENGAH</t>
  </si>
  <si>
    <t>045091</t>
  </si>
  <si>
    <t>PJU JAMBANGAN (297)</t>
  </si>
  <si>
    <t>PLOSOKUNING</t>
  </si>
  <si>
    <t>045100</t>
  </si>
  <si>
    <t>PJU PEHKULON (389)</t>
  </si>
  <si>
    <t>PEH KULON</t>
  </si>
  <si>
    <t>044742</t>
  </si>
  <si>
    <t>PJU BANGSONGAN (087)</t>
  </si>
  <si>
    <t>BANGSONGAN</t>
  </si>
  <si>
    <t>044772</t>
  </si>
  <si>
    <t>PJU MINGGIRAN (569)</t>
  </si>
  <si>
    <t>REJOWINANGUN</t>
  </si>
  <si>
    <t>044727</t>
  </si>
  <si>
    <t>PJU MENANG</t>
  </si>
  <si>
    <t>045079</t>
  </si>
  <si>
    <t>PJU TENGGER</t>
  </si>
  <si>
    <t>044783</t>
  </si>
  <si>
    <t>PJU DS WONOREJO</t>
  </si>
  <si>
    <t>WONOREJO</t>
  </si>
  <si>
    <t>044684</t>
  </si>
  <si>
    <t>PJU SENDEN</t>
  </si>
  <si>
    <t>SENDEN</t>
  </si>
  <si>
    <t>045016</t>
  </si>
  <si>
    <t>PJU BANYUANYAR</t>
  </si>
  <si>
    <t>BANYUANYAR</t>
  </si>
  <si>
    <t>044790</t>
  </si>
  <si>
    <t>PJU MANGUNREJO</t>
  </si>
  <si>
    <t>MANGUNREJO</t>
  </si>
  <si>
    <t>044989</t>
  </si>
  <si>
    <t>PJU TIRU LOR</t>
  </si>
  <si>
    <t>TIRU LOR</t>
  </si>
  <si>
    <t>045013</t>
  </si>
  <si>
    <t>PJU TAMBAKREJO</t>
  </si>
  <si>
    <t>TAMBAKREJO</t>
  </si>
  <si>
    <t>044939</t>
  </si>
  <si>
    <t>PJU KLANDERAN</t>
  </si>
  <si>
    <t>044979</t>
  </si>
  <si>
    <t>PJU MADURETNO (229)</t>
  </si>
  <si>
    <t>MADURETNO</t>
  </si>
  <si>
    <t>045062</t>
  </si>
  <si>
    <t>PJU GABRU</t>
  </si>
  <si>
    <t>044858</t>
  </si>
  <si>
    <t>PJU GAYAM</t>
  </si>
  <si>
    <t>044778</t>
  </si>
  <si>
    <t>PJU GONDANG - BANGKOK</t>
  </si>
  <si>
    <t>044699</t>
  </si>
  <si>
    <t>PJU KEMUNING - TIRU KIDUL</t>
  </si>
  <si>
    <t>044885</t>
  </si>
  <si>
    <t>PJU TURUS</t>
  </si>
  <si>
    <t>TURUS</t>
  </si>
  <si>
    <t>045067</t>
  </si>
  <si>
    <t>PJU WONOJOYO</t>
  </si>
  <si>
    <t>044945</t>
  </si>
  <si>
    <t>PJU BENDO</t>
  </si>
  <si>
    <t>BENDO</t>
  </si>
  <si>
    <t>045000</t>
  </si>
  <si>
    <t>PJU BUNGKAL (452)</t>
  </si>
  <si>
    <t>BUNGKAL</t>
  </si>
  <si>
    <t>045076</t>
  </si>
  <si>
    <t>PJU BOGANGIN</t>
  </si>
  <si>
    <t>044795</t>
  </si>
  <si>
    <t>PJU BRINGIN</t>
  </si>
  <si>
    <t>BRINGIN</t>
  </si>
  <si>
    <t>044769</t>
  </si>
  <si>
    <t>PJU BULU (380)</t>
  </si>
  <si>
    <t>BULU</t>
  </si>
  <si>
    <t>044776</t>
  </si>
  <si>
    <t>PJU GERDU (234)</t>
  </si>
  <si>
    <t>GERDU</t>
  </si>
  <si>
    <t>044991</t>
  </si>
  <si>
    <t>PJU JAGUNG</t>
  </si>
  <si>
    <t>044897</t>
  </si>
  <si>
    <t>PJU JATIWARINGIN (471)</t>
  </si>
  <si>
    <t>JATIWARINGIN</t>
  </si>
  <si>
    <t>045081</t>
  </si>
  <si>
    <t>PJU KAMBINGAN</t>
  </si>
  <si>
    <t>KAMBINGAN</t>
  </si>
  <si>
    <t>044997</t>
  </si>
  <si>
    <t>PJU GENUK WATU (459)</t>
  </si>
  <si>
    <t>GENUK WATU</t>
  </si>
  <si>
    <t>044980</t>
  </si>
  <si>
    <t>PJU MUKUH</t>
  </si>
  <si>
    <t>MUKUH</t>
  </si>
  <si>
    <t>044787</t>
  </si>
  <si>
    <t>PJU SAMBIROTO (220)</t>
  </si>
  <si>
    <t>SAMBIROTO</t>
  </si>
  <si>
    <t>044695</t>
  </si>
  <si>
    <t>PJU SANTREN (352)</t>
  </si>
  <si>
    <t>SANTREN</t>
  </si>
  <si>
    <t>044957</t>
  </si>
  <si>
    <t>PJU SEMAMBUNG</t>
  </si>
  <si>
    <t>SEMAMBUNG</t>
  </si>
  <si>
    <t>044950</t>
  </si>
  <si>
    <t>PJU SEMANDING</t>
  </si>
  <si>
    <t>SEMANDING</t>
  </si>
  <si>
    <t>044861</t>
  </si>
  <si>
    <t>PJU SITIMERTO</t>
  </si>
  <si>
    <t>SITIMERTO</t>
  </si>
  <si>
    <t>044903</t>
  </si>
  <si>
    <t>PJU WATES</t>
  </si>
  <si>
    <t>WATES - PAGU</t>
  </si>
  <si>
    <t>045031</t>
  </si>
  <si>
    <t>PJU BULU PASAR</t>
  </si>
  <si>
    <t>BULU PASAR</t>
  </si>
  <si>
    <t>044682</t>
  </si>
  <si>
    <t>PJU NGANDONG (410)</t>
  </si>
  <si>
    <t>NGANDONG</t>
  </si>
  <si>
    <t>044678</t>
  </si>
  <si>
    <t>PJU BALONG</t>
  </si>
  <si>
    <t>BALONG</t>
  </si>
  <si>
    <t>044706</t>
  </si>
  <si>
    <t>044766</t>
  </si>
  <si>
    <t>PJU JONGBIRU</t>
  </si>
  <si>
    <t>045058</t>
  </si>
  <si>
    <t>PJU KALIBELO</t>
  </si>
  <si>
    <t>KALIBELO</t>
  </si>
  <si>
    <t>045134</t>
  </si>
  <si>
    <t>PJU KEPUHREJO</t>
  </si>
  <si>
    <t>POJOK</t>
  </si>
  <si>
    <t>044994</t>
  </si>
  <si>
    <t>PJU KWADUNGAN</t>
  </si>
  <si>
    <t>KWADUNGAN</t>
  </si>
  <si>
    <t>045128</t>
  </si>
  <si>
    <t>PJU KWEDEN</t>
  </si>
  <si>
    <t>KWEDEN</t>
  </si>
  <si>
    <t>044780</t>
  </si>
  <si>
    <t>PJU NAMBAAN (191)</t>
  </si>
  <si>
    <t>044986</t>
  </si>
  <si>
    <t>NGASEM</t>
  </si>
  <si>
    <t>044919</t>
  </si>
  <si>
    <t>PJU CANDA BHIRAWA</t>
  </si>
  <si>
    <t>CANDA BHIRAWA ASRI</t>
  </si>
  <si>
    <t>044998</t>
  </si>
  <si>
    <t>PJU PUTIH</t>
  </si>
  <si>
    <t>PUTIH</t>
  </si>
  <si>
    <t>045078</t>
  </si>
  <si>
    <t>PJU NAMBAAN</t>
  </si>
  <si>
    <t>044886</t>
  </si>
  <si>
    <t>PJU SAMBIRESIK</t>
  </si>
  <si>
    <t>045101</t>
  </si>
  <si>
    <t>PJU PERUM BUDAYA CIPTA</t>
  </si>
  <si>
    <t>TEPUS</t>
  </si>
  <si>
    <t>044741</t>
  </si>
  <si>
    <t>PJU TOYORESMI</t>
  </si>
  <si>
    <t>TOYORESMI</t>
  </si>
  <si>
    <t>044910</t>
  </si>
  <si>
    <t>PJU WONOCATUR</t>
  </si>
  <si>
    <t>WONOCATUR</t>
  </si>
  <si>
    <t>044960</t>
  </si>
  <si>
    <t>PJU TUNDAN (234)</t>
  </si>
  <si>
    <t>TUNDAN</t>
  </si>
  <si>
    <t>044873</t>
  </si>
  <si>
    <t>PJU KORIPAN (308)</t>
  </si>
  <si>
    <t>KORIPAN</t>
  </si>
  <si>
    <t>044654</t>
  </si>
  <si>
    <t>PJU KAYEN KIDUL (135)</t>
  </si>
  <si>
    <t>KAYEN KIDUL</t>
  </si>
  <si>
    <t>045032</t>
  </si>
  <si>
    <t>PJU NGLEREP (633)</t>
  </si>
  <si>
    <t>NGLEREP WETAN</t>
  </si>
  <si>
    <t>045015</t>
  </si>
  <si>
    <t>PJU PAPAR (553)</t>
  </si>
  <si>
    <t>044908</t>
  </si>
  <si>
    <t>PJU KEPUH (391)</t>
  </si>
  <si>
    <t>SONO</t>
  </si>
  <si>
    <t>045026</t>
  </si>
  <si>
    <t>PJU PESING</t>
  </si>
  <si>
    <t>PESING</t>
  </si>
  <si>
    <t>044777</t>
  </si>
  <si>
    <t>PJU GRD. 52</t>
  </si>
  <si>
    <t>RAYA GURAH</t>
  </si>
  <si>
    <t>044938</t>
  </si>
  <si>
    <t>PJU GRD. 240</t>
  </si>
  <si>
    <t>044872</t>
  </si>
  <si>
    <t>PJU GRD. 106</t>
  </si>
  <si>
    <t>045005</t>
  </si>
  <si>
    <t>PJU GRD. 25</t>
  </si>
  <si>
    <t>044859</t>
  </si>
  <si>
    <t>PJU GRD. 167</t>
  </si>
  <si>
    <t>044770</t>
  </si>
  <si>
    <t>044786</t>
  </si>
  <si>
    <t>PJU SENDEN T 88</t>
  </si>
  <si>
    <t>044870</t>
  </si>
  <si>
    <t>LAMPU GAPURO PERBATASAN</t>
  </si>
  <si>
    <t>AHMAD YANI</t>
  </si>
  <si>
    <t>044774</t>
  </si>
  <si>
    <t>PJU A SIMPANG LIMA</t>
  </si>
  <si>
    <t>PROLIMAN</t>
  </si>
  <si>
    <t>044902</t>
  </si>
  <si>
    <t>PJU E SIMPANG LIMA</t>
  </si>
  <si>
    <t>JOHO SUMBEREJO</t>
  </si>
  <si>
    <t>044708</t>
  </si>
  <si>
    <t>PJU F SIMPANG LIMA</t>
  </si>
  <si>
    <t>044988</t>
  </si>
  <si>
    <t>PJU SLG JUR PESANTREN</t>
  </si>
  <si>
    <t>RAYA PESANTREN</t>
  </si>
  <si>
    <t>044661</t>
  </si>
  <si>
    <t>PJU JL MATARAM</t>
  </si>
  <si>
    <t>TAWANGSARI</t>
  </si>
  <si>
    <t>044867</t>
  </si>
  <si>
    <t>044718</t>
  </si>
  <si>
    <t>PJU JONGBIRU (069)</t>
  </si>
  <si>
    <t>044738</t>
  </si>
  <si>
    <t>PJU GURAH (240)</t>
  </si>
  <si>
    <t>GURAH I</t>
  </si>
  <si>
    <t>045087</t>
  </si>
  <si>
    <t>044765</t>
  </si>
  <si>
    <t>044817</t>
  </si>
  <si>
    <t>PJU BULUPASAR</t>
  </si>
  <si>
    <t>KUNIR</t>
  </si>
  <si>
    <t>045047</t>
  </si>
  <si>
    <t>PJU SEMANDING (396)</t>
  </si>
  <si>
    <t>044732</t>
  </si>
  <si>
    <t>PJU SEMEN</t>
  </si>
  <si>
    <t>SEMEN</t>
  </si>
  <si>
    <t>044815</t>
  </si>
  <si>
    <t>PJU BESUK ( 326 )</t>
  </si>
  <si>
    <t>044899</t>
  </si>
  <si>
    <t>PJU KRANGGAN 222</t>
  </si>
  <si>
    <t>044881</t>
  </si>
  <si>
    <t>PJU TAMBAKREJO ( 228 )</t>
  </si>
  <si>
    <t>045094</t>
  </si>
  <si>
    <t>PJU WANENGPATEN</t>
  </si>
  <si>
    <t>044842</t>
  </si>
  <si>
    <t>PJU TUGUREJO SLG (369)</t>
  </si>
  <si>
    <t>044878</t>
  </si>
  <si>
    <t>PJU GURAH (070)</t>
  </si>
  <si>
    <t>045071</t>
  </si>
  <si>
    <t>PJU PLOSOREJO (373)</t>
  </si>
  <si>
    <t>045030</t>
  </si>
  <si>
    <t>PJU GILANG (371)</t>
  </si>
  <si>
    <t>GILANG</t>
  </si>
  <si>
    <t>044863</t>
  </si>
  <si>
    <t>PJU GAMPENG (193)</t>
  </si>
  <si>
    <t>GAMPENG</t>
  </si>
  <si>
    <t>044719</t>
  </si>
  <si>
    <t>PJU SUKOHARJO 408</t>
  </si>
  <si>
    <t>SUKOHARJO</t>
  </si>
  <si>
    <t>044843</t>
  </si>
  <si>
    <t>PJU NGAMPEL 473</t>
  </si>
  <si>
    <t>TLANAK</t>
  </si>
  <si>
    <t>045006</t>
  </si>
  <si>
    <t>PJU PAPAR 492</t>
  </si>
  <si>
    <t>044656</t>
  </si>
  <si>
    <t>PJU PAPAR ( 553 )</t>
  </si>
  <si>
    <t>RAYA PAPAR</t>
  </si>
  <si>
    <t>044951</t>
  </si>
  <si>
    <t>PJU SRIKATON 465</t>
  </si>
  <si>
    <t>SLAMBUR LOR</t>
  </si>
  <si>
    <t>044707</t>
  </si>
  <si>
    <t>PJU PURWOTENGAH 632</t>
  </si>
  <si>
    <t>WONOSARI</t>
  </si>
  <si>
    <t>044923</t>
  </si>
  <si>
    <t>PJU JENGGOTAN 625</t>
  </si>
  <si>
    <t>JENGGOTAN</t>
  </si>
  <si>
    <t>045098</t>
  </si>
  <si>
    <t>PJU PUTIH (037)</t>
  </si>
  <si>
    <t>044932</t>
  </si>
  <si>
    <t>PJU TURUS (356)</t>
  </si>
  <si>
    <t>045039</t>
  </si>
  <si>
    <t>PJU DAWUHAN KIDUL 040</t>
  </si>
  <si>
    <t>DAWUHAN</t>
  </si>
  <si>
    <t>045135</t>
  </si>
  <si>
    <t>PJU PERUM GRAND SURYA ASR</t>
  </si>
  <si>
    <t>GRAND SURYA ASRI</t>
  </si>
  <si>
    <t>049473</t>
  </si>
  <si>
    <t>PJU MINGGIRAN</t>
  </si>
  <si>
    <t>MINGGIRAN</t>
  </si>
  <si>
    <t>045116</t>
  </si>
  <si>
    <t>PJU DS TANON TIMUR</t>
  </si>
  <si>
    <t>TANON</t>
  </si>
  <si>
    <t>044720</t>
  </si>
  <si>
    <t>PJU DSN GEMPOLAN</t>
  </si>
  <si>
    <t>GEMPOLAN DS BAYE</t>
  </si>
  <si>
    <t>045073</t>
  </si>
  <si>
    <t>PJU JL RAYA SALAM</t>
  </si>
  <si>
    <t>SALAM DS MRANGGEN</t>
  </si>
  <si>
    <t>044804</t>
  </si>
  <si>
    <t>PJU DS PESING</t>
  </si>
  <si>
    <t>PESING DS PESING</t>
  </si>
  <si>
    <t>044891</t>
  </si>
  <si>
    <t>PJU NGAMPEL</t>
  </si>
  <si>
    <t>NGAMPEL</t>
  </si>
  <si>
    <t>045105</t>
  </si>
  <si>
    <t>PJU GEMPOLAN</t>
  </si>
  <si>
    <t>044669</t>
  </si>
  <si>
    <t>PJU TUGUREJO</t>
  </si>
  <si>
    <t>TUGUREJO</t>
  </si>
  <si>
    <t>044756</t>
  </si>
  <si>
    <t>PJU WANENGPATEN 354</t>
  </si>
  <si>
    <t>WANENGWATEN</t>
  </si>
  <si>
    <t>045102</t>
  </si>
  <si>
    <t>PJU WANENGPATEN 382</t>
  </si>
  <si>
    <t>045012</t>
  </si>
  <si>
    <t>PJU SEMEN ( 530 )</t>
  </si>
  <si>
    <t>044710</t>
  </si>
  <si>
    <t>PJU PAPAR</t>
  </si>
  <si>
    <t>044992</t>
  </si>
  <si>
    <t>PJU KORIPAN ( 308 )</t>
  </si>
  <si>
    <t>045082</t>
  </si>
  <si>
    <t>PJU TANJUNG ( 53 )</t>
  </si>
  <si>
    <t>044672</t>
  </si>
  <si>
    <t>PJU TANON ( 59 )</t>
  </si>
  <si>
    <t>044850</t>
  </si>
  <si>
    <t>PJU TANJUNG ( 217 )</t>
  </si>
  <si>
    <t>044993</t>
  </si>
  <si>
    <t>PJU DS PARON ( 207 )</t>
  </si>
  <si>
    <t>045022</t>
  </si>
  <si>
    <t>PJU KAYEN KIDUL ( 136 )</t>
  </si>
  <si>
    <t>044729</t>
  </si>
  <si>
    <t>PJU BESUK ( 450 )</t>
  </si>
  <si>
    <t>044949</t>
  </si>
  <si>
    <t>PJU TANGKILAN ( 411 )</t>
  </si>
  <si>
    <t>TANGKILAN</t>
  </si>
  <si>
    <t>044969</t>
  </si>
  <si>
    <t>PJU TIRU ( 29 )</t>
  </si>
  <si>
    <t>TIRU</t>
  </si>
  <si>
    <t>044688</t>
  </si>
  <si>
    <t>PJU SUKOREJO EA385</t>
  </si>
  <si>
    <t>044686</t>
  </si>
  <si>
    <t>044926</t>
  </si>
  <si>
    <t>PJU BOLOREJO</t>
  </si>
  <si>
    <t>BOLOREJO</t>
  </si>
  <si>
    <t>044922</t>
  </si>
  <si>
    <t>044929</t>
  </si>
  <si>
    <t>PJU WATES PAGU</t>
  </si>
  <si>
    <t>WATES</t>
  </si>
  <si>
    <t>044984</t>
  </si>
  <si>
    <t>PJU SAMBIROBYONG</t>
  </si>
  <si>
    <t>044860</t>
  </si>
  <si>
    <t>BULUPASAR</t>
  </si>
  <si>
    <t>044916</t>
  </si>
  <si>
    <t>PJU PERUM BELLA MANSION</t>
  </si>
  <si>
    <t>SOBO DESA NGASEM</t>
  </si>
  <si>
    <t>044933</t>
  </si>
  <si>
    <t>PJU 3 DS SENDEN</t>
  </si>
  <si>
    <t>MARON DS SENDEN</t>
  </si>
  <si>
    <t>064118</t>
  </si>
  <si>
    <t>PJU PR WANENGPATEN INDAH</t>
  </si>
  <si>
    <t>WANENGPATEN INDAH</t>
  </si>
  <si>
    <t>004030</t>
  </si>
  <si>
    <t>PJU GRIYA TANJUNG INDAH</t>
  </si>
  <si>
    <t>GRIYA TANJUNG INDAH</t>
  </si>
  <si>
    <t>044724</t>
  </si>
  <si>
    <t>PJU PERUM KADIRI PALACE</t>
  </si>
  <si>
    <t>KADIRI PALACE</t>
  </si>
  <si>
    <t>045041</t>
  </si>
  <si>
    <t>PJU PERUM NGASEM VIEW</t>
  </si>
  <si>
    <t>NGASEM VIEW</t>
  </si>
  <si>
    <t>036121</t>
  </si>
  <si>
    <t>PJU PERUM WONOJOYO</t>
  </si>
  <si>
    <t>057801</t>
  </si>
  <si>
    <t>PJU KALIBELO RT 2 RW 1</t>
  </si>
  <si>
    <t>045108</t>
  </si>
  <si>
    <t>PJU SUKOREJO</t>
  </si>
  <si>
    <t>044734</t>
  </si>
  <si>
    <t>PJU PERUM GRIYA MENTARI</t>
  </si>
  <si>
    <t>GRIYA MENTARI SAMBIREJO</t>
  </si>
  <si>
    <t>044665</t>
  </si>
  <si>
    <t>PJU PERUM AIRLANGGA</t>
  </si>
  <si>
    <t>PERUM AIRLANGGA ROYAL RESIDENC</t>
  </si>
  <si>
    <t>044746</t>
  </si>
  <si>
    <t>PJU PERUM SURURI ESTATE</t>
  </si>
  <si>
    <t>PAMENANG SURURI ESTATE</t>
  </si>
  <si>
    <t>044967</t>
  </si>
  <si>
    <t>PJU PERUM PAGU HASANAH</t>
  </si>
  <si>
    <t>PERUM PAGU HASANAH</t>
  </si>
  <si>
    <t>044736</t>
  </si>
  <si>
    <t>PJU PERUM TANON VIEW</t>
  </si>
  <si>
    <t>TANON VIEW</t>
  </si>
  <si>
    <t>044875</t>
  </si>
  <si>
    <t>PJU PERUMAHAN GRAHA KITA</t>
  </si>
  <si>
    <t>GRAHA KITA</t>
  </si>
  <si>
    <t>044752</t>
  </si>
  <si>
    <t>LPJU RUAS JONGBIRU-KWADUN</t>
  </si>
  <si>
    <t>009936</t>
  </si>
  <si>
    <t>PJU PR KEBUN MAS REGENCY</t>
  </si>
  <si>
    <t>PERUM KEBUN MAS REGENCY</t>
  </si>
  <si>
    <t>057784</t>
  </si>
  <si>
    <t>PJU DESA NGASEM 3</t>
  </si>
  <si>
    <t>DS NGASEM</t>
  </si>
  <si>
    <t>058395</t>
  </si>
  <si>
    <t>PJU DESA PAGU 2</t>
  </si>
  <si>
    <t>DS PAGU</t>
  </si>
  <si>
    <t>046000</t>
  </si>
  <si>
    <t>PJU JEMBATAN JONGBIRU</t>
  </si>
  <si>
    <t>JONGBIRU - DS JONGBIRU RT 6 RW</t>
  </si>
  <si>
    <t>065417</t>
  </si>
  <si>
    <t>JUMLAH ULP KEDIRI KOTA</t>
  </si>
  <si>
    <t>WILAYAH ULP TULUNGAGUNG</t>
  </si>
  <si>
    <t>KRAS</t>
  </si>
  <si>
    <t>000174</t>
  </si>
  <si>
    <t>KRANDANG</t>
  </si>
  <si>
    <t>000391</t>
  </si>
  <si>
    <t>000426</t>
  </si>
  <si>
    <t>BENDOSARI</t>
  </si>
  <si>
    <t>000327</t>
  </si>
  <si>
    <t>KROMASAN</t>
  </si>
  <si>
    <t>000078</t>
  </si>
  <si>
    <t>KANIGORO</t>
  </si>
  <si>
    <t>000371</t>
  </si>
  <si>
    <t>JABANG</t>
  </si>
  <si>
    <t>000206</t>
  </si>
  <si>
    <t>JEMEKAN</t>
  </si>
  <si>
    <t>000505</t>
  </si>
  <si>
    <t>000370</t>
  </si>
  <si>
    <t>000484</t>
  </si>
  <si>
    <t>000518</t>
  </si>
  <si>
    <t>MOJOSARI</t>
  </si>
  <si>
    <t>000515</t>
  </si>
  <si>
    <t>000067</t>
  </si>
  <si>
    <t>000210</t>
  </si>
  <si>
    <t>BUTUH</t>
  </si>
  <si>
    <t>000523</t>
  </si>
  <si>
    <t>KARANGTALUN</t>
  </si>
  <si>
    <t>000492</t>
  </si>
  <si>
    <t>PURWODADI</t>
  </si>
  <si>
    <t>000315</t>
  </si>
  <si>
    <t>000219</t>
  </si>
  <si>
    <t>000250</t>
  </si>
  <si>
    <t>000418</t>
  </si>
  <si>
    <t>000459</t>
  </si>
  <si>
    <t>000248</t>
  </si>
  <si>
    <t>SRIKATON</t>
  </si>
  <si>
    <t>000074</t>
  </si>
  <si>
    <t>000361</t>
  </si>
  <si>
    <t>000065</t>
  </si>
  <si>
    <t>000090</t>
  </si>
  <si>
    <t>KR TALUN</t>
  </si>
  <si>
    <t>000626</t>
  </si>
  <si>
    <t>000665</t>
  </si>
  <si>
    <t>000007</t>
  </si>
  <si>
    <t>000321</t>
  </si>
  <si>
    <t>CANGAK</t>
  </si>
  <si>
    <t>000381</t>
  </si>
  <si>
    <t>NYAWANGAN</t>
  </si>
  <si>
    <t>000105</t>
  </si>
  <si>
    <t>TEJO</t>
  </si>
  <si>
    <t>000262</t>
  </si>
  <si>
    <t>000499</t>
  </si>
  <si>
    <t>SENTONOREJO</t>
  </si>
  <si>
    <t>000010</t>
  </si>
  <si>
    <t>000670</t>
  </si>
  <si>
    <t>000311</t>
  </si>
  <si>
    <t>000645</t>
  </si>
  <si>
    <t>SETONOREJO</t>
  </si>
  <si>
    <t>000287</t>
  </si>
  <si>
    <t>000472</t>
  </si>
  <si>
    <t>BULUR</t>
  </si>
  <si>
    <t>000328</t>
  </si>
  <si>
    <t>000491</t>
  </si>
  <si>
    <t>000320</t>
  </si>
  <si>
    <t>000622</t>
  </si>
  <si>
    <t>000394</t>
  </si>
  <si>
    <t>000435</t>
  </si>
  <si>
    <t>000343</t>
  </si>
  <si>
    <t>000226</t>
  </si>
  <si>
    <t>PJU KARANGTALUN KRAS</t>
  </si>
  <si>
    <t>000122</t>
  </si>
  <si>
    <t>PJU DESA JABANG KEC KRAS</t>
  </si>
  <si>
    <t>004551</t>
  </si>
  <si>
    <t>PJU KR TALUN KRAS</t>
  </si>
  <si>
    <t>000356</t>
  </si>
  <si>
    <t>JUMLAH ULP TULUNGAGUNG</t>
  </si>
  <si>
    <t>WILAYAH ULP PARE</t>
  </si>
  <si>
    <t>514060009800</t>
  </si>
  <si>
    <t>T.M.P.</t>
  </si>
  <si>
    <t>KEDIRI NO   0 PARE</t>
  </si>
  <si>
    <t>074770</t>
  </si>
  <si>
    <t>514060041617</t>
  </si>
  <si>
    <t>PENERANGAN JALAN EF021</t>
  </si>
  <si>
    <t>SIMPANG 4 ANNUR NO   0 PARE</t>
  </si>
  <si>
    <t>074799</t>
  </si>
  <si>
    <t>514060109306</t>
  </si>
  <si>
    <t>WONOKERTO NO   0 WONOKERTO</t>
  </si>
  <si>
    <t>074702</t>
  </si>
  <si>
    <t>514060176519</t>
  </si>
  <si>
    <t>PJ PUNJUL</t>
  </si>
  <si>
    <t>PUNJUL NO   0 PUNJUL</t>
  </si>
  <si>
    <t>074704</t>
  </si>
  <si>
    <t>514060176535</t>
  </si>
  <si>
    <t>PJ WATES</t>
  </si>
  <si>
    <t>WATES NO   0 WATES</t>
  </si>
  <si>
    <t>074662</t>
  </si>
  <si>
    <t>514060307203</t>
  </si>
  <si>
    <t>PJ</t>
  </si>
  <si>
    <t>KK</t>
  </si>
  <si>
    <t>TERMINAL BUS NO   0 PARE</t>
  </si>
  <si>
    <t>074804</t>
  </si>
  <si>
    <t>514060348824</t>
  </si>
  <si>
    <t>NURWAKIT NO   0 BENDO</t>
  </si>
  <si>
    <t>074660</t>
  </si>
  <si>
    <t>514060382174</t>
  </si>
  <si>
    <t>MASTRIP NO   0 PARE</t>
  </si>
  <si>
    <t>075009</t>
  </si>
  <si>
    <t>514060382182</t>
  </si>
  <si>
    <t>PJU EF010</t>
  </si>
  <si>
    <t>WR SUPRATMAN NO   0 PARE</t>
  </si>
  <si>
    <t>074903</t>
  </si>
  <si>
    <t>514060382190</t>
  </si>
  <si>
    <t>AHMAD YANI NO   0 PARE</t>
  </si>
  <si>
    <t>074931</t>
  </si>
  <si>
    <t>514060397054</t>
  </si>
  <si>
    <t>PJU PK 5 PARE</t>
  </si>
  <si>
    <t>PANGLIMA S NO   0 PARE</t>
  </si>
  <si>
    <t>074703</t>
  </si>
  <si>
    <t>514060528784</t>
  </si>
  <si>
    <t>HOS COKRO AMINOTO NO   0 PARE</t>
  </si>
  <si>
    <t>075040</t>
  </si>
  <si>
    <t>514060528792</t>
  </si>
  <si>
    <t>HOS COKROAMINOTO NO   0 PARE</t>
  </si>
  <si>
    <t>074677</t>
  </si>
  <si>
    <t>514060528805</t>
  </si>
  <si>
    <t>074862</t>
  </si>
  <si>
    <t>514060581782</t>
  </si>
  <si>
    <t>DR WAHIDIN S NO   0 TULUNGREJO</t>
  </si>
  <si>
    <t>074696</t>
  </si>
  <si>
    <t>514060581790</t>
  </si>
  <si>
    <t>GAJAHMADA NO   0 PARE</t>
  </si>
  <si>
    <t>075059</t>
  </si>
  <si>
    <t>514060595317</t>
  </si>
  <si>
    <t>LAMPU HIAS EF077</t>
  </si>
  <si>
    <t>PB SUDIRMAN NO   0 PARE</t>
  </si>
  <si>
    <t>074944</t>
  </si>
  <si>
    <t>514060595325</t>
  </si>
  <si>
    <t>LAMPU HIAS</t>
  </si>
  <si>
    <t>KUSUMA BANGSA NO   0 PARE</t>
  </si>
  <si>
    <t>074839</t>
  </si>
  <si>
    <t>514060621729</t>
  </si>
  <si>
    <t>PJU NGANCAR</t>
  </si>
  <si>
    <t>NGANCAR NO     NGANCAR</t>
  </si>
  <si>
    <t>074802</t>
  </si>
  <si>
    <t>514060621737</t>
  </si>
  <si>
    <t>PJU KEPUNG</t>
  </si>
  <si>
    <t>KEPUNG NO     KEPUNG</t>
  </si>
  <si>
    <t>074821</t>
  </si>
  <si>
    <t>514060621745</t>
  </si>
  <si>
    <t>PJU TRANSAD</t>
  </si>
  <si>
    <t>BANDULAN NO     SB AGUNG</t>
  </si>
  <si>
    <t>074926</t>
  </si>
  <si>
    <t>514060621794</t>
  </si>
  <si>
    <t>PJU PERBATASAN</t>
  </si>
  <si>
    <t>LANGEN HARJO NO     L HARDJO</t>
  </si>
  <si>
    <t>074708</t>
  </si>
  <si>
    <t>514060621815</t>
  </si>
  <si>
    <t>PJU DIPONEGORO EF078</t>
  </si>
  <si>
    <t>DIPONEGORO NO     PARE</t>
  </si>
  <si>
    <t>074723</t>
  </si>
  <si>
    <t>514060621823</t>
  </si>
  <si>
    <t>PJU IMAM BONJOL</t>
  </si>
  <si>
    <t>IMAM BONJOL NO     PARE</t>
  </si>
  <si>
    <t>074949</t>
  </si>
  <si>
    <t>514060622132</t>
  </si>
  <si>
    <t>PJU TPA</t>
  </si>
  <si>
    <t>SEKOTO NO     SEKOTO</t>
  </si>
  <si>
    <t>074841</t>
  </si>
  <si>
    <t>514060622356</t>
  </si>
  <si>
    <t>LAMPU HIAS PK BANGSA</t>
  </si>
  <si>
    <t>PB SUDIRMAN NO     PARE</t>
  </si>
  <si>
    <t>074705</t>
  </si>
  <si>
    <t>514060626753</t>
  </si>
  <si>
    <t>PJU KH DEWANTORO EF121</t>
  </si>
  <si>
    <t>KH DEWANTORO NO     BRINGIN</t>
  </si>
  <si>
    <t>074848</t>
  </si>
  <si>
    <t>514060643037</t>
  </si>
  <si>
    <t>PJ CANGGU GD 24</t>
  </si>
  <si>
    <t>CANGGU NO 0 CANGGU</t>
  </si>
  <si>
    <t>075048</t>
  </si>
  <si>
    <t>514060651016</t>
  </si>
  <si>
    <t>PJ DS SIDOMULYO /27</t>
  </si>
  <si>
    <t>SIDOMULYO NO 027 SIDOMULYO</t>
  </si>
  <si>
    <t>074691</t>
  </si>
  <si>
    <t>514060656082</t>
  </si>
  <si>
    <t>PJU PRANGGANG ( 13 )</t>
  </si>
  <si>
    <t>PRANGGANG NO 0 PRANGGANG</t>
  </si>
  <si>
    <t>074970</t>
  </si>
  <si>
    <t>514060659708</t>
  </si>
  <si>
    <t>PJU DS PLOSOLOR ( 29 )</t>
  </si>
  <si>
    <t>PLOSOLOR NO 0 PLOSO</t>
  </si>
  <si>
    <t>075028</t>
  </si>
  <si>
    <t>514060662551</t>
  </si>
  <si>
    <t>PJU DS PLOSO LOR</t>
  </si>
  <si>
    <t>074687</t>
  </si>
  <si>
    <t>514060662655</t>
  </si>
  <si>
    <t>PJU DS PELEM</t>
  </si>
  <si>
    <t>PELEM NO 0 PELEM</t>
  </si>
  <si>
    <t>075015</t>
  </si>
  <si>
    <t>514060682604</t>
  </si>
  <si>
    <t>PJU SUKARNO - HATTA EF075</t>
  </si>
  <si>
    <t>SUKARNO HATTA NO 0 BENDO</t>
  </si>
  <si>
    <t>074907</t>
  </si>
  <si>
    <t>514060682638</t>
  </si>
  <si>
    <t>PJU SUKARNO HATTA 3</t>
  </si>
  <si>
    <t>074951</t>
  </si>
  <si>
    <t>514060682646</t>
  </si>
  <si>
    <t>PJU DR SUTOMO 4</t>
  </si>
  <si>
    <t>DR SUTOMO NO 0 PELEM</t>
  </si>
  <si>
    <t>074938</t>
  </si>
  <si>
    <t>514060682653</t>
  </si>
  <si>
    <t>PJU DR SUTOMO 5</t>
  </si>
  <si>
    <t>074697</t>
  </si>
  <si>
    <t>514060682661</t>
  </si>
  <si>
    <t>PJU SUKARNO HATTA 2</t>
  </si>
  <si>
    <t>075008</t>
  </si>
  <si>
    <t>514060727060</t>
  </si>
  <si>
    <t>PENERANGAN JALAN GD1</t>
  </si>
  <si>
    <t>PB SUDIRMAN NO 0 PARE</t>
  </si>
  <si>
    <t>074722</t>
  </si>
  <si>
    <t>514060727078</t>
  </si>
  <si>
    <t>PENERANGAN JALAN GD 2 D7</t>
  </si>
  <si>
    <t>MASJID TAQWA NO 0 PARE</t>
  </si>
  <si>
    <t>074836</t>
  </si>
  <si>
    <t>514060727086</t>
  </si>
  <si>
    <t>PENERANGAN JALAN GD 3</t>
  </si>
  <si>
    <t>LETJEND SUTOYO NO 0 PARE</t>
  </si>
  <si>
    <t>075047</t>
  </si>
  <si>
    <t>514060727094</t>
  </si>
  <si>
    <t>PENERANGAN JALAN</t>
  </si>
  <si>
    <t>074679</t>
  </si>
  <si>
    <t>514060727108</t>
  </si>
  <si>
    <t>PENERANGAN JALAN GD 21</t>
  </si>
  <si>
    <t>MATAHARI NO 0 TULUNGREJO</t>
  </si>
  <si>
    <t>074710</t>
  </si>
  <si>
    <t>514060727116</t>
  </si>
  <si>
    <t>PENERANGAN JALAN GD 22</t>
  </si>
  <si>
    <t>BRAWIJYA NO 0 TULUNGREJO</t>
  </si>
  <si>
    <t>074837</t>
  </si>
  <si>
    <t>514060727124</t>
  </si>
  <si>
    <t>PENERANGAN JALAN GD 61</t>
  </si>
  <si>
    <t>TEGALSARI NO 0 TULUNGREJO</t>
  </si>
  <si>
    <t>074744</t>
  </si>
  <si>
    <t>514060727132</t>
  </si>
  <si>
    <t>PENERANGAN JALAN GD 23</t>
  </si>
  <si>
    <t>LAMONG NO 0 LAMONG</t>
  </si>
  <si>
    <t>074941</t>
  </si>
  <si>
    <t>514060727140</t>
  </si>
  <si>
    <t>PENERANGAN JALAN GD 25</t>
  </si>
  <si>
    <t>GAMOL NO 0 L HARDJO</t>
  </si>
  <si>
    <t>075042</t>
  </si>
  <si>
    <t>514060727157</t>
  </si>
  <si>
    <t>PENERANGAN JALAN GD28</t>
  </si>
  <si>
    <t>WILIS NO 0 PARE</t>
  </si>
  <si>
    <t>074978</t>
  </si>
  <si>
    <t>514060727165</t>
  </si>
  <si>
    <t>PENERANGAN JALAN GD 39</t>
  </si>
  <si>
    <t>SAKURA NO 0 TULUNGREJO</t>
  </si>
  <si>
    <t>074952</t>
  </si>
  <si>
    <t>514060727173</t>
  </si>
  <si>
    <t>PENERANGAN JALAN GD 56</t>
  </si>
  <si>
    <t>MASTRIP NO 0 PARE</t>
  </si>
  <si>
    <t>074731</t>
  </si>
  <si>
    <t>514060727181</t>
  </si>
  <si>
    <t>PJU GARDU GD 1</t>
  </si>
  <si>
    <t>074718</t>
  </si>
  <si>
    <t>514060727199</t>
  </si>
  <si>
    <t>PJU GARDU 3</t>
  </si>
  <si>
    <t>074876</t>
  </si>
  <si>
    <t>514060727202</t>
  </si>
  <si>
    <t>PJU GARDU 4</t>
  </si>
  <si>
    <t>A YANI NO 0 PARE</t>
  </si>
  <si>
    <t>074933</t>
  </si>
  <si>
    <t>514060727210</t>
  </si>
  <si>
    <t>PJU GARDU 10 D</t>
  </si>
  <si>
    <t>074908</t>
  </si>
  <si>
    <t>514060727228</t>
  </si>
  <si>
    <t>PJU GARDU 79</t>
  </si>
  <si>
    <t>GAJAH MADA NO 0 PARE</t>
  </si>
  <si>
    <t>074748</t>
  </si>
  <si>
    <t>514060727236</t>
  </si>
  <si>
    <t>PJU GARDU 79 B11</t>
  </si>
  <si>
    <t>SEMANDING NO 0 TERTEK</t>
  </si>
  <si>
    <t>074885</t>
  </si>
  <si>
    <t>514060727244</t>
  </si>
  <si>
    <t>PJU GARDU 134</t>
  </si>
  <si>
    <t>074899</t>
  </si>
  <si>
    <t>514060727251</t>
  </si>
  <si>
    <t>PJU GARDU 80 A12</t>
  </si>
  <si>
    <t>PANGLIMA POLIM NO 0 TERTEK</t>
  </si>
  <si>
    <t>074764</t>
  </si>
  <si>
    <t>514060727269</t>
  </si>
  <si>
    <t>PJU GARDU 80</t>
  </si>
  <si>
    <t>074742</t>
  </si>
  <si>
    <t>514060727277</t>
  </si>
  <si>
    <t>PJU GARDU 10</t>
  </si>
  <si>
    <t>KAWI NO 0 PARE</t>
  </si>
  <si>
    <t>074794</t>
  </si>
  <si>
    <t>514060727285</t>
  </si>
  <si>
    <t>PJU WR SUPRATMAN EF010</t>
  </si>
  <si>
    <t>WR SUPRATMAN NO 0 PARE</t>
  </si>
  <si>
    <t>074833</t>
  </si>
  <si>
    <t>514060727293</t>
  </si>
  <si>
    <t>PJU GAPURO BRINGIN</t>
  </si>
  <si>
    <t>BRINGIN NO 0 BRINGIN</t>
  </si>
  <si>
    <t>074884</t>
  </si>
  <si>
    <t>514060727307</t>
  </si>
  <si>
    <t>PJU LANGENHARJO</t>
  </si>
  <si>
    <t>LANGEN HARJO NO 0 L HARDJO</t>
  </si>
  <si>
    <t>074934</t>
  </si>
  <si>
    <t>514060727443</t>
  </si>
  <si>
    <t>PJU KH DEWANTORO EF122</t>
  </si>
  <si>
    <t>KH DEWANTORO NO 0 BRINGIN</t>
  </si>
  <si>
    <t>074902</t>
  </si>
  <si>
    <t>514060729327</t>
  </si>
  <si>
    <t>PJU GARDU 43</t>
  </si>
  <si>
    <t>KAYEN LOR NO 0 KAYEN LOR</t>
  </si>
  <si>
    <t>074772</t>
  </si>
  <si>
    <t>514060729335</t>
  </si>
  <si>
    <t>PJU GARDU 138</t>
  </si>
  <si>
    <t>BOGO KIDUL NO 0 BOGO</t>
  </si>
  <si>
    <t>074889</t>
  </si>
  <si>
    <t>514060729343</t>
  </si>
  <si>
    <t>074768</t>
  </si>
  <si>
    <t>514060729350</t>
  </si>
  <si>
    <t>PJU GARDU 42</t>
  </si>
  <si>
    <t>KEDUNG MALANG NO 0 WONOKERTO</t>
  </si>
  <si>
    <t>074865</t>
  </si>
  <si>
    <t>514060729368</t>
  </si>
  <si>
    <t>PJU BRENGGOLO 2</t>
  </si>
  <si>
    <t>BRENGGOLO NO 0 BRENGGOLO</t>
  </si>
  <si>
    <t>074834</t>
  </si>
  <si>
    <t>514060729376</t>
  </si>
  <si>
    <t>PJU WATES 2</t>
  </si>
  <si>
    <t>WATES NO 0 WATES</t>
  </si>
  <si>
    <t>074967</t>
  </si>
  <si>
    <t>514060729384</t>
  </si>
  <si>
    <t>PJU WATES 3</t>
  </si>
  <si>
    <t>074766</t>
  </si>
  <si>
    <t>514060729392</t>
  </si>
  <si>
    <t>PJU WATES 4</t>
  </si>
  <si>
    <t>074962</t>
  </si>
  <si>
    <t>514060729405</t>
  </si>
  <si>
    <t>PJU TAWANG 1</t>
  </si>
  <si>
    <t>TAWANG NO 0 TAWANG</t>
  </si>
  <si>
    <t>074829</t>
  </si>
  <si>
    <t>514060729413</t>
  </si>
  <si>
    <t>PJU TAWANG 2</t>
  </si>
  <si>
    <t>074762</t>
  </si>
  <si>
    <t>514060729421</t>
  </si>
  <si>
    <t>PJU TAWANG 3</t>
  </si>
  <si>
    <t>075013</t>
  </si>
  <si>
    <t>514060729439</t>
  </si>
  <si>
    <t>GEDANG SEWU NO 0 GEDANGSEWU</t>
  </si>
  <si>
    <t>075012</t>
  </si>
  <si>
    <t>514060729447</t>
  </si>
  <si>
    <t>PJU SEMERU</t>
  </si>
  <si>
    <t>SEMERU NO 0 PARE</t>
  </si>
  <si>
    <t>074745</t>
  </si>
  <si>
    <t>514060729454</t>
  </si>
  <si>
    <t>PJU TULUNGREJO</t>
  </si>
  <si>
    <t>TULUNGREJO NO 0 TULUNGREJO</t>
  </si>
  <si>
    <t>074880</t>
  </si>
  <si>
    <t>514060729462</t>
  </si>
  <si>
    <t>PJU BRENGGOLO 1</t>
  </si>
  <si>
    <t>074910</t>
  </si>
  <si>
    <t>514060749581</t>
  </si>
  <si>
    <t>PJU GEDANG SEWU B</t>
  </si>
  <si>
    <t>074900</t>
  </si>
  <si>
    <t>514060749599</t>
  </si>
  <si>
    <t>PJU GEDANG SEWU D</t>
  </si>
  <si>
    <t>074853</t>
  </si>
  <si>
    <t>514060749602</t>
  </si>
  <si>
    <t>PJU PAREREJO C</t>
  </si>
  <si>
    <t>PAREREJO NO 0 GEDANGSEWU</t>
  </si>
  <si>
    <t>074892</t>
  </si>
  <si>
    <t>514060749610</t>
  </si>
  <si>
    <t>PJU PAREREJO</t>
  </si>
  <si>
    <t>074756</t>
  </si>
  <si>
    <t>514060755914</t>
  </si>
  <si>
    <t>PJU WATES 35</t>
  </si>
  <si>
    <t>074666</t>
  </si>
  <si>
    <t>514060755922</t>
  </si>
  <si>
    <t>PJU WATES 38</t>
  </si>
  <si>
    <t>SIKATAN NO 0 TAWANG</t>
  </si>
  <si>
    <t>074692</t>
  </si>
  <si>
    <t>514060807124</t>
  </si>
  <si>
    <t>TAMAN WISATA RINGIN BUDHO</t>
  </si>
  <si>
    <t>009711</t>
  </si>
  <si>
    <t>514060869001</t>
  </si>
  <si>
    <t>PJU KAWASAN KELUD II</t>
  </si>
  <si>
    <t>NGANCAR NO 0 NGANCAR</t>
  </si>
  <si>
    <t>074729</t>
  </si>
  <si>
    <t>514060879274</t>
  </si>
  <si>
    <t>PJU BABADAN 250</t>
  </si>
  <si>
    <t>SANDING NO 0 BABADAN</t>
  </si>
  <si>
    <t>074906</t>
  </si>
  <si>
    <t>514060879282</t>
  </si>
  <si>
    <t>PJU BABADAN 249</t>
  </si>
  <si>
    <t>074868</t>
  </si>
  <si>
    <t>514060879290</t>
  </si>
  <si>
    <t>PJU SEMPU 247</t>
  </si>
  <si>
    <t>SB PETUNG NO 0 SEMPU</t>
  </si>
  <si>
    <t>074919</t>
  </si>
  <si>
    <t>514060879304</t>
  </si>
  <si>
    <t>PJU SEMPU 246</t>
  </si>
  <si>
    <t>SUMBER PETUNG NO 0 SEMPU</t>
  </si>
  <si>
    <t>075054</t>
  </si>
  <si>
    <t>514060879312</t>
  </si>
  <si>
    <t>PJU SEMPU 245</t>
  </si>
  <si>
    <t>SEMPU NO 0 SEMPU</t>
  </si>
  <si>
    <t>074996</t>
  </si>
  <si>
    <t>514060879320</t>
  </si>
  <si>
    <t>PJU BABADAN 251 C4</t>
  </si>
  <si>
    <t>BABADAN NO 0 BABADAN</t>
  </si>
  <si>
    <t>075043</t>
  </si>
  <si>
    <t>514060879338</t>
  </si>
  <si>
    <t>PJU KENCONG 236</t>
  </si>
  <si>
    <t>SENOWO NO 0 KENCONG</t>
  </si>
  <si>
    <t>074785</t>
  </si>
  <si>
    <t>514060879346</t>
  </si>
  <si>
    <t>PJU SEPAWON EF310</t>
  </si>
  <si>
    <t>NGRANGKAH NO 0 SEPAWON</t>
  </si>
  <si>
    <t>074812</t>
  </si>
  <si>
    <t>514060879353</t>
  </si>
  <si>
    <t>PJU SATAK 231</t>
  </si>
  <si>
    <t>SATAK NO 0 SATAK</t>
  </si>
  <si>
    <t>074878</t>
  </si>
  <si>
    <t>514060879361</t>
  </si>
  <si>
    <t>PJU JARAK 228</t>
  </si>
  <si>
    <t>KALASAN NO 0 JARAK</t>
  </si>
  <si>
    <t>074675</t>
  </si>
  <si>
    <t>514060879379</t>
  </si>
  <si>
    <t>PJU PUNJUL 243</t>
  </si>
  <si>
    <t>PURWOREJO NO 0 PUNJUL</t>
  </si>
  <si>
    <t>074750</t>
  </si>
  <si>
    <t>514060879387</t>
  </si>
  <si>
    <t>PJU GADUNGAN 248</t>
  </si>
  <si>
    <t>GADUNGAN NO 0 GADUNGAN</t>
  </si>
  <si>
    <t>074851</t>
  </si>
  <si>
    <t>514060879395</t>
  </si>
  <si>
    <t>PJU BABADAN EF237</t>
  </si>
  <si>
    <t>074672</t>
  </si>
  <si>
    <t>514060879408</t>
  </si>
  <si>
    <t>PJU LAMONG 253</t>
  </si>
  <si>
    <t>MANGIRAN NO 0 LAMONG</t>
  </si>
  <si>
    <t>074663</t>
  </si>
  <si>
    <t>514060879416</t>
  </si>
  <si>
    <t>PJU SEPAWON EF215</t>
  </si>
  <si>
    <t>NGRANGKAH NO 10 SEPAWON</t>
  </si>
  <si>
    <t>074992</t>
  </si>
  <si>
    <t>514060879424</t>
  </si>
  <si>
    <t>PJU SEMPU 244</t>
  </si>
  <si>
    <t>RINGIN SARI NO 0 SEMPU</t>
  </si>
  <si>
    <t>074957</t>
  </si>
  <si>
    <t>514060879432</t>
  </si>
  <si>
    <t>PJU GADUNGAN EF062</t>
  </si>
  <si>
    <t>SBR BAGE NO 0 GADUNGAN</t>
  </si>
  <si>
    <t>075014</t>
  </si>
  <si>
    <t>514060879440</t>
  </si>
  <si>
    <t>PJU JATIREJO 241</t>
  </si>
  <si>
    <t>JATIREJO NO 0 GADUNGAN</t>
  </si>
  <si>
    <t>074789</t>
  </si>
  <si>
    <t>514060879465</t>
  </si>
  <si>
    <t>PJU SEKOTO 121</t>
  </si>
  <si>
    <t>SEKOTO NO 0 SEKOTO</t>
  </si>
  <si>
    <t>074924</t>
  </si>
  <si>
    <t>514060879481</t>
  </si>
  <si>
    <t>PJU NGANCAR 108</t>
  </si>
  <si>
    <t>REJOMULYO NO 0 NGANCAR</t>
  </si>
  <si>
    <t>074747</t>
  </si>
  <si>
    <t>514060879499</t>
  </si>
  <si>
    <t>PJU TANGGUNGMULYO 226</t>
  </si>
  <si>
    <t>TANGGUNG MULYO NO 0 WONOREJO</t>
  </si>
  <si>
    <t>074659</t>
  </si>
  <si>
    <t>514060879503</t>
  </si>
  <si>
    <t>PJU PELEM 304</t>
  </si>
  <si>
    <t>DR SUTOMO NO 2 PELEM</t>
  </si>
  <si>
    <t>074912</t>
  </si>
  <si>
    <t>514060879511</t>
  </si>
  <si>
    <t>PJU BABADAN 251 C3</t>
  </si>
  <si>
    <t>074784</t>
  </si>
  <si>
    <t>514060879529</t>
  </si>
  <si>
    <t>PJU TEGOWANGI 150</t>
  </si>
  <si>
    <t>TEGOWANGI NO 0 TEGOWANGI</t>
  </si>
  <si>
    <t>074779</t>
  </si>
  <si>
    <t>514060879537</t>
  </si>
  <si>
    <t>PJU DARUNGAN 147</t>
  </si>
  <si>
    <t>DARUNGAN NO 0 DARUNGAN</t>
  </si>
  <si>
    <t>075020</t>
  </si>
  <si>
    <t>514060879545</t>
  </si>
  <si>
    <t>PJU SEPAWON 215</t>
  </si>
  <si>
    <t>BADEK NO 0 SEPAWON</t>
  </si>
  <si>
    <t>074989</t>
  </si>
  <si>
    <t>514060879552</t>
  </si>
  <si>
    <t>PJU LESTARI 224</t>
  </si>
  <si>
    <t>LESTARI NO 0 WONOREJO</t>
  </si>
  <si>
    <t>074945</t>
  </si>
  <si>
    <t>514060879560</t>
  </si>
  <si>
    <t>PJU SEPAWON EF195</t>
  </si>
  <si>
    <t>PETUNGOMBO NO 0 SEPAWON</t>
  </si>
  <si>
    <t>074991</t>
  </si>
  <si>
    <t>514060879578</t>
  </si>
  <si>
    <t>PJU KRENCENG 214</t>
  </si>
  <si>
    <t>KRENCENG NO 0 KRENCENG</t>
  </si>
  <si>
    <t>074776</t>
  </si>
  <si>
    <t>514060879586</t>
  </si>
  <si>
    <t>PJU SEPAWON 216</t>
  </si>
  <si>
    <t>SEPAWON NO 0 SEPAWON</t>
  </si>
  <si>
    <t>075031</t>
  </si>
  <si>
    <t>514060879594</t>
  </si>
  <si>
    <t>PJU POJOK 218</t>
  </si>
  <si>
    <t>BANGSRI NO 0 SELOSARI</t>
  </si>
  <si>
    <t>074798</t>
  </si>
  <si>
    <t>514060879607</t>
  </si>
  <si>
    <t>PJU KEPUNG BARAT EF095</t>
  </si>
  <si>
    <t>KEPUNG BARAT NO 0 KEPUNG</t>
  </si>
  <si>
    <t>074905</t>
  </si>
  <si>
    <t>514060879615</t>
  </si>
  <si>
    <t>PJU POJOK EF058</t>
  </si>
  <si>
    <t>POJOK NO 0 SELOSARI</t>
  </si>
  <si>
    <t>074886</t>
  </si>
  <si>
    <t>514060879623</t>
  </si>
  <si>
    <t>PJU SUMBERAGUNG 223</t>
  </si>
  <si>
    <t>SUMBERAGUNG NO 0 SB AGUNG</t>
  </si>
  <si>
    <t>074828</t>
  </si>
  <si>
    <t>514060879631</t>
  </si>
  <si>
    <t>PJU SUROWONO EF310</t>
  </si>
  <si>
    <t>SUROWONO NO 183 CANGGU</t>
  </si>
  <si>
    <t>074780</t>
  </si>
  <si>
    <t>514060879649</t>
  </si>
  <si>
    <t>PJU MARGOURIP EF041</t>
  </si>
  <si>
    <t>POHGUNUNG NO 0 MARGOURIP</t>
  </si>
  <si>
    <t>074867</t>
  </si>
  <si>
    <t>514060879656</t>
  </si>
  <si>
    <t>PJU BENDO EF027</t>
  </si>
  <si>
    <t>KEDIRI NO 60 BENDO</t>
  </si>
  <si>
    <t>074752</t>
  </si>
  <si>
    <t>514060879664</t>
  </si>
  <si>
    <t>PJU NGANCAR EF119</t>
  </si>
  <si>
    <t>074763</t>
  </si>
  <si>
    <t>514060879672</t>
  </si>
  <si>
    <t>PJU CANGGU EF015</t>
  </si>
  <si>
    <t>MELATI NO 53 CANGGU</t>
  </si>
  <si>
    <t>074913</t>
  </si>
  <si>
    <t>514060879680</t>
  </si>
  <si>
    <t>PJU MARGOURIP 196</t>
  </si>
  <si>
    <t>SUMBER LUMBU NO 0 MARGO URIP</t>
  </si>
  <si>
    <t>074686</t>
  </si>
  <si>
    <t>514060879698</t>
  </si>
  <si>
    <t>PJU GADUNGAN 20</t>
  </si>
  <si>
    <t>TONDO MULYO NO 0 PUNCU</t>
  </si>
  <si>
    <t>067655</t>
  </si>
  <si>
    <t>514060879702</t>
  </si>
  <si>
    <t>PJU TEMPUREJO EF104</t>
  </si>
  <si>
    <t>TEMPUREJO NO 300 TEMPUREJO</t>
  </si>
  <si>
    <t>074811</t>
  </si>
  <si>
    <t>514060879710</t>
  </si>
  <si>
    <t>PJU BENDO 75</t>
  </si>
  <si>
    <t>BENDO KIDUL NO 0 BENDO</t>
  </si>
  <si>
    <t>074846</t>
  </si>
  <si>
    <t>514060879728</t>
  </si>
  <si>
    <t>PJU JATIMULYO 212</t>
  </si>
  <si>
    <t>JATIMULYO NO 0 JATIMULYO</t>
  </si>
  <si>
    <t>074999</t>
  </si>
  <si>
    <t>514060879736</t>
  </si>
  <si>
    <t>PJU TUNGE EF104</t>
  </si>
  <si>
    <t>TUNGE NO 0 TUNGE</t>
  </si>
  <si>
    <t>074869</t>
  </si>
  <si>
    <t>514060879744</t>
  </si>
  <si>
    <t>PJU TEMPUREJO 33</t>
  </si>
  <si>
    <t>TEMPUREJO NO 114 TEMPUREJO</t>
  </si>
  <si>
    <t>074973</t>
  </si>
  <si>
    <t>514060879751</t>
  </si>
  <si>
    <t>PJU DOROK 99</t>
  </si>
  <si>
    <t>DOROK NO 0 MANGGIS</t>
  </si>
  <si>
    <t>075019</t>
  </si>
  <si>
    <t>514060879769</t>
  </si>
  <si>
    <t>PJU KRENCENG 203</t>
  </si>
  <si>
    <t>KWAGEAN NO 0 KRENCENG</t>
  </si>
  <si>
    <t>075005</t>
  </si>
  <si>
    <t>514060879777</t>
  </si>
  <si>
    <t>PJU BRENGGOLO 71 B2</t>
  </si>
  <si>
    <t>RAYA NO 102 BRENGGOLO</t>
  </si>
  <si>
    <t>074792</t>
  </si>
  <si>
    <t>514060879785</t>
  </si>
  <si>
    <t>PJU TULUNGREJO 21</t>
  </si>
  <si>
    <t>LETJEN SUTOYO NO 20 TULUNGREJO</t>
  </si>
  <si>
    <t>074844</t>
  </si>
  <si>
    <t>514060879793</t>
  </si>
  <si>
    <t>PJU PLOSOLOR 30</t>
  </si>
  <si>
    <t>PLOSOLOR NO 37 PLOSOLOR</t>
  </si>
  <si>
    <t>074826</t>
  </si>
  <si>
    <t>514060879806</t>
  </si>
  <si>
    <t>PJU BEDALI EF265</t>
  </si>
  <si>
    <t>BEDALI NO 0 BEDALI</t>
  </si>
  <si>
    <t>075041</t>
  </si>
  <si>
    <t>514060879814</t>
  </si>
  <si>
    <t>PJU SEPAWON EF030</t>
  </si>
  <si>
    <t>074976</t>
  </si>
  <si>
    <t>514060879822</t>
  </si>
  <si>
    <t>PJU BEDALI EF199</t>
  </si>
  <si>
    <t>SUMBER JATI NO 0 BEDALI</t>
  </si>
  <si>
    <t>074737</t>
  </si>
  <si>
    <t>514060879830</t>
  </si>
  <si>
    <t>PJU PELEM 303</t>
  </si>
  <si>
    <t>VETERAN NO 0 PELEM</t>
  </si>
  <si>
    <t>074831</t>
  </si>
  <si>
    <t>514060879848</t>
  </si>
  <si>
    <t>PJU DS JARAK 311 C1</t>
  </si>
  <si>
    <t>ASPARAGA NO 0 TULUNGREJO</t>
  </si>
  <si>
    <t>074741</t>
  </si>
  <si>
    <t>514060879855</t>
  </si>
  <si>
    <t>PJU CENTONG 206</t>
  </si>
  <si>
    <t>BABADAN NO 1 PUHJARAK</t>
  </si>
  <si>
    <t>075026</t>
  </si>
  <si>
    <t>514060879863</t>
  </si>
  <si>
    <t>PJU CENTONG 204</t>
  </si>
  <si>
    <t>GEBYARAN NO 0 PUH JARAK</t>
  </si>
  <si>
    <t>074895</t>
  </si>
  <si>
    <t>514060879871</t>
  </si>
  <si>
    <t>PJU DOROK</t>
  </si>
  <si>
    <t>074977</t>
  </si>
  <si>
    <t>514060879889</t>
  </si>
  <si>
    <t>PJU MANGGIS EF227</t>
  </si>
  <si>
    <t>SUMBERURIP NO 0 MANGGIS</t>
  </si>
  <si>
    <t>074994</t>
  </si>
  <si>
    <t>514060879897</t>
  </si>
  <si>
    <t>PJU MANGGIS 194</t>
  </si>
  <si>
    <t>MANGGIS NO 0 MANGGIS</t>
  </si>
  <si>
    <t>074847</t>
  </si>
  <si>
    <t>514060879901</t>
  </si>
  <si>
    <t>PJU BENDOREJO 207</t>
  </si>
  <si>
    <t>BENDOREJO NO 0 TAWANG</t>
  </si>
  <si>
    <t>074955</t>
  </si>
  <si>
    <t>514060879919</t>
  </si>
  <si>
    <t>PJU BEDALI 270</t>
  </si>
  <si>
    <t>SUMBERPUCUNG NO 0 BEDALI</t>
  </si>
  <si>
    <t>075051</t>
  </si>
  <si>
    <t>514060879927</t>
  </si>
  <si>
    <t>PJU KARANGNONGKO 276</t>
  </si>
  <si>
    <t>KARANG NONGKO NO 0 SB AGUNG</t>
  </si>
  <si>
    <t>074717</t>
  </si>
  <si>
    <t>514060879935</t>
  </si>
  <si>
    <t>PJU SINGGAHAN 281</t>
  </si>
  <si>
    <t>SUMATRA NO 31 PELEM</t>
  </si>
  <si>
    <t>074897</t>
  </si>
  <si>
    <t>514060879943</t>
  </si>
  <si>
    <t>PJU MARGOURIP EF175</t>
  </si>
  <si>
    <t>MARGOURIP NO 0 MARGOURIP</t>
  </si>
  <si>
    <t>074890</t>
  </si>
  <si>
    <t>514060879950</t>
  </si>
  <si>
    <t>PJU SUKOMRAMBIL 267</t>
  </si>
  <si>
    <t>SUKOMRAMBIL NO 0 BEDALI</t>
  </si>
  <si>
    <t>074734</t>
  </si>
  <si>
    <t>514060879968</t>
  </si>
  <si>
    <t>PJU SUMBERBENDO 285</t>
  </si>
  <si>
    <t>SUMBEREJO NO 0 SBR BENDO</t>
  </si>
  <si>
    <t>074715</t>
  </si>
  <si>
    <t>514060879976</t>
  </si>
  <si>
    <t>PJU SUMBERAGUNG 279</t>
  </si>
  <si>
    <t>SUMBER AGUNG NO 0 SB AGUNG</t>
  </si>
  <si>
    <t>074959</t>
  </si>
  <si>
    <t>514060879984</t>
  </si>
  <si>
    <t>PJU DUWET EF176</t>
  </si>
  <si>
    <t>PUCANG ANOM NO 0 DUWET</t>
  </si>
  <si>
    <t>074857</t>
  </si>
  <si>
    <t>514060879992</t>
  </si>
  <si>
    <t>PJU DERMO 284</t>
  </si>
  <si>
    <t>DERMO NO 0 PRANGGANG</t>
  </si>
  <si>
    <t>074777</t>
  </si>
  <si>
    <t>514060880008</t>
  </si>
  <si>
    <t>PJU JIMUS 259</t>
  </si>
  <si>
    <t>JIMUS NO 0 KRG ANYAR</t>
  </si>
  <si>
    <t>074800</t>
  </si>
  <si>
    <t>514060880016</t>
  </si>
  <si>
    <t>PJU PANDANTOYO 305</t>
  </si>
  <si>
    <t>GONDANGLEGI NO 0 GONDANG</t>
  </si>
  <si>
    <t>074896</t>
  </si>
  <si>
    <t>514060880024</t>
  </si>
  <si>
    <t>PJU PLOSOKIDUL 274</t>
  </si>
  <si>
    <t>LOREJO NO 0 PLOSOKIDUL</t>
  </si>
  <si>
    <t>074760</t>
  </si>
  <si>
    <t>514060880032</t>
  </si>
  <si>
    <t>PJU MEJONO 300</t>
  </si>
  <si>
    <t>RAYA NO 177 MEJONO</t>
  </si>
  <si>
    <t>074914</t>
  </si>
  <si>
    <t>514060880040</t>
  </si>
  <si>
    <t>PJU TULUNGREJO 299</t>
  </si>
  <si>
    <t>KUSUMA BANGSA NO 0 TULUNGREJO</t>
  </si>
  <si>
    <t>074712</t>
  </si>
  <si>
    <t>514060880057</t>
  </si>
  <si>
    <t>PJU BEDALI 268</t>
  </si>
  <si>
    <t>074684</t>
  </si>
  <si>
    <t>514060880065</t>
  </si>
  <si>
    <t>PJU MARGOURIP 273</t>
  </si>
  <si>
    <t>KALIGEDOG NO 0 MARGO URIP</t>
  </si>
  <si>
    <t>074987</t>
  </si>
  <si>
    <t>514060880073</t>
  </si>
  <si>
    <t>PJU MARGOURIP 272</t>
  </si>
  <si>
    <t>MARGOURIP NO 0 NGANCAR</t>
  </si>
  <si>
    <t>074758</t>
  </si>
  <si>
    <t>514060880081</t>
  </si>
  <si>
    <t>PJU BEDALI 287</t>
  </si>
  <si>
    <t>074838</t>
  </si>
  <si>
    <t>514060880178</t>
  </si>
  <si>
    <t>PJU SEGARAN T092</t>
  </si>
  <si>
    <t>PARIKESIT NO 0 DUWET</t>
  </si>
  <si>
    <t>074721</t>
  </si>
  <si>
    <t>514060880186</t>
  </si>
  <si>
    <t>PJU KAYUNAN EF114</t>
  </si>
  <si>
    <t>KANTOR DESA NO 0 KAYUNAN</t>
  </si>
  <si>
    <t>074670</t>
  </si>
  <si>
    <t>514060880194</t>
  </si>
  <si>
    <t>PJU JARAK T031</t>
  </si>
  <si>
    <t>075003</t>
  </si>
  <si>
    <t>514060880207</t>
  </si>
  <si>
    <t>PJU KAYUNAN EF114 B13</t>
  </si>
  <si>
    <t>GEREJA NO 0 KAYUNAN</t>
  </si>
  <si>
    <t>074917</t>
  </si>
  <si>
    <t>514060880215</t>
  </si>
  <si>
    <t>PJU PRANGGANG EF165</t>
  </si>
  <si>
    <t>SBR REJO NO 0 PARNGGANG</t>
  </si>
  <si>
    <t>074807</t>
  </si>
  <si>
    <t>514060880223</t>
  </si>
  <si>
    <t>PJU MANGGIS EF132</t>
  </si>
  <si>
    <t>SUMBER URIP NO 0 MANGGIS</t>
  </si>
  <si>
    <t>074825</t>
  </si>
  <si>
    <t>514060880231</t>
  </si>
  <si>
    <t>PJU MIPITAN EF214</t>
  </si>
  <si>
    <t>MIPITAN NO 239 PLOSOLOR</t>
  </si>
  <si>
    <t>074969</t>
  </si>
  <si>
    <t>514060880249</t>
  </si>
  <si>
    <t>PJU KLAMPISAN EF160</t>
  </si>
  <si>
    <t>BANGKOK NO 0 KLAMPISAN</t>
  </si>
  <si>
    <t>075035</t>
  </si>
  <si>
    <t>514060880256</t>
  </si>
  <si>
    <t>PJU SUMBERAGUNG EF055</t>
  </si>
  <si>
    <t>BANJARJO NO 0 PRANGGANG</t>
  </si>
  <si>
    <t>075033</t>
  </si>
  <si>
    <t>514060880264</t>
  </si>
  <si>
    <t>PJU KEPUNG TIMUR D1</t>
  </si>
  <si>
    <t>KEPUNG TIMUR NO 0 KEPUNG</t>
  </si>
  <si>
    <t>075010</t>
  </si>
  <si>
    <t>514060880272</t>
  </si>
  <si>
    <t>PJU KRENCENG EF161</t>
  </si>
  <si>
    <t>JATISARI NO 0 KRENCENG</t>
  </si>
  <si>
    <t>074936</t>
  </si>
  <si>
    <t>514060880280</t>
  </si>
  <si>
    <t>PJU KANDANGAN EF097</t>
  </si>
  <si>
    <t>SARIREJO NO 0 KRGTENGAH</t>
  </si>
  <si>
    <t>074911</t>
  </si>
  <si>
    <t>514060880298</t>
  </si>
  <si>
    <t>PJU KRENCENG EF112</t>
  </si>
  <si>
    <t>TRUNOJOYO NO 0 KRENCENG</t>
  </si>
  <si>
    <t>074781</t>
  </si>
  <si>
    <t>514060880302</t>
  </si>
  <si>
    <t>PJU KARANG TENGAH EF270</t>
  </si>
  <si>
    <t>SARIREJO NO 95 KRGTENGAH</t>
  </si>
  <si>
    <t>074968</t>
  </si>
  <si>
    <t>514060880310</t>
  </si>
  <si>
    <t>PJU PARE EF123 D1</t>
  </si>
  <si>
    <t>ALON ALON NO 0 PARE</t>
  </si>
  <si>
    <t>074673</t>
  </si>
  <si>
    <t>514060880328</t>
  </si>
  <si>
    <t>PJU TEMBORO T090</t>
  </si>
  <si>
    <t>TEMBORO NO 0 PLAOSAN</t>
  </si>
  <si>
    <t>075050</t>
  </si>
  <si>
    <t>514060880336</t>
  </si>
  <si>
    <t>PJU GONDANG EF103</t>
  </si>
  <si>
    <t>NGAGLIK NO 191 GONDANG</t>
  </si>
  <si>
    <t>074786</t>
  </si>
  <si>
    <t>514060880344</t>
  </si>
  <si>
    <t>PJU BRENGGOLO EF166</t>
  </si>
  <si>
    <t>BRENGGOLO NO 215 BRENGGOLO</t>
  </si>
  <si>
    <t>074701</t>
  </si>
  <si>
    <t>514060880351</t>
  </si>
  <si>
    <t>PJU WONOASRI T063</t>
  </si>
  <si>
    <t>WONOASRI NO 0 DARUNGAN</t>
  </si>
  <si>
    <t>075007</t>
  </si>
  <si>
    <t>514060880369</t>
  </si>
  <si>
    <t>PJU KRECEK EF163</t>
  </si>
  <si>
    <t>JOMBANG NO 0 BRINGIN</t>
  </si>
  <si>
    <t>074797</t>
  </si>
  <si>
    <t>514060880377</t>
  </si>
  <si>
    <t>PJU KARANGDINOYO T084</t>
  </si>
  <si>
    <t>KARANGDINOYO NO 0 KEPUNG</t>
  </si>
  <si>
    <t>074810</t>
  </si>
  <si>
    <t>514060880385</t>
  </si>
  <si>
    <t>PJU BRINGIN EF163</t>
  </si>
  <si>
    <t>BUNUT NO 0 BRINGIN</t>
  </si>
  <si>
    <t>074771</t>
  </si>
  <si>
    <t>514060880393</t>
  </si>
  <si>
    <t>PJU TANJUNGANOM EF185</t>
  </si>
  <si>
    <t>TANJUNGANOM NO 0 TUNGE</t>
  </si>
  <si>
    <t>074801</t>
  </si>
  <si>
    <t>514060880406</t>
  </si>
  <si>
    <t>PJU KEPUNG TIMUR T088</t>
  </si>
  <si>
    <t>KEPUNG TIMUR NO 26 KEPUNG</t>
  </si>
  <si>
    <t>074685</t>
  </si>
  <si>
    <t>514060880422</t>
  </si>
  <si>
    <t>PJU PLAOSAN T089</t>
  </si>
  <si>
    <t>PLAOSAN NO 0 PLAOSAN</t>
  </si>
  <si>
    <t>074818</t>
  </si>
  <si>
    <t>514060880430</t>
  </si>
  <si>
    <t>PJU MANGGIS EF132 D7</t>
  </si>
  <si>
    <t>SUMBERURIP NO 353 MANGGIS</t>
  </si>
  <si>
    <t>074711</t>
  </si>
  <si>
    <t>514060880448</t>
  </si>
  <si>
    <t>PJU BUMIREJO EF102</t>
  </si>
  <si>
    <t>075038</t>
  </si>
  <si>
    <t>514060880455</t>
  </si>
  <si>
    <t>PJU WONOREJO TRI EF187</t>
  </si>
  <si>
    <t>WONOREJO TRISULO NO 0 WNREJO TRI</t>
  </si>
  <si>
    <t>075002</t>
  </si>
  <si>
    <t>514060880463</t>
  </si>
  <si>
    <t>PJU DUWET EF174</t>
  </si>
  <si>
    <t>BABATAN NO 0 DUWET</t>
  </si>
  <si>
    <t>074974</t>
  </si>
  <si>
    <t>514060880471</t>
  </si>
  <si>
    <t>PJU KENCONG T094</t>
  </si>
  <si>
    <t>SUMBERSARI NO 0 KENCONG</t>
  </si>
  <si>
    <t>075030</t>
  </si>
  <si>
    <t>514060880489</t>
  </si>
  <si>
    <t>PJU TUNGLUR EF122 B5C7</t>
  </si>
  <si>
    <t>DATUK NO 218 BRINGIN</t>
  </si>
  <si>
    <t>074877</t>
  </si>
  <si>
    <t>514060880497</t>
  </si>
  <si>
    <t>PJU SIDOMULYO EF177</t>
  </si>
  <si>
    <t>SIDOMULYO NO 0 SIDOMULYO</t>
  </si>
  <si>
    <t>074806</t>
  </si>
  <si>
    <t>514060880501</t>
  </si>
  <si>
    <t>PJU SUMBERBENDO EF136</t>
  </si>
  <si>
    <t>LAWU NO 72 SBR BENDO</t>
  </si>
  <si>
    <t>074872</t>
  </si>
  <si>
    <t>514060880519</t>
  </si>
  <si>
    <t>PJU GADUNGAN EF277</t>
  </si>
  <si>
    <t>KELUD NO 51 GADUNGAN</t>
  </si>
  <si>
    <t>075029</t>
  </si>
  <si>
    <t>514060880527</t>
  </si>
  <si>
    <t>PJU SUMBERAGUNG T.50</t>
  </si>
  <si>
    <t>BONDO NO 0 BONDO</t>
  </si>
  <si>
    <t>074716</t>
  </si>
  <si>
    <t>514060880535</t>
  </si>
  <si>
    <t>PJU WATUGEDE C3</t>
  </si>
  <si>
    <t>WATU GEDE NO 0 WATU GEDE</t>
  </si>
  <si>
    <t>075045</t>
  </si>
  <si>
    <t>514060880543</t>
  </si>
  <si>
    <t>PJU GADUNGAN T060</t>
  </si>
  <si>
    <t>074732</t>
  </si>
  <si>
    <t>514060880550</t>
  </si>
  <si>
    <t>PJU MARGOSANTOSO EF083</t>
  </si>
  <si>
    <t>075062</t>
  </si>
  <si>
    <t>514060880568</t>
  </si>
  <si>
    <t>PJU GADUNGAN EF157</t>
  </si>
  <si>
    <t>GADUNGAN NO 60 GADUNGAN</t>
  </si>
  <si>
    <t>074790</t>
  </si>
  <si>
    <t>514060880576</t>
  </si>
  <si>
    <t>PJU KARANG TENGAH EF095</t>
  </si>
  <si>
    <t>TEUKU UMAR NO 345 KLAMPISAN</t>
  </si>
  <si>
    <t>074943</t>
  </si>
  <si>
    <t>514060880584</t>
  </si>
  <si>
    <t>PJU POHREJO T021</t>
  </si>
  <si>
    <t>LETJEN SUTOYO NO 80 TULUNGREJO</t>
  </si>
  <si>
    <t>075018</t>
  </si>
  <si>
    <t>514060880592</t>
  </si>
  <si>
    <t>PJU BETONAN EF113</t>
  </si>
  <si>
    <t>BETONAN NO 0 PELEM</t>
  </si>
  <si>
    <t>074850</t>
  </si>
  <si>
    <t>514060880605</t>
  </si>
  <si>
    <t>PJU CANGGU EF143</t>
  </si>
  <si>
    <t>SIDODADI NO 37 CANGGU</t>
  </si>
  <si>
    <t>074793</t>
  </si>
  <si>
    <t>514060880613</t>
  </si>
  <si>
    <t>PJU DUWET EF173</t>
  </si>
  <si>
    <t>DUWET NO 0 DUWET</t>
  </si>
  <si>
    <t>074859</t>
  </si>
  <si>
    <t>514060880621</t>
  </si>
  <si>
    <t>PJU DONGANTI EF167</t>
  </si>
  <si>
    <t>DONGANTI NO 0 DONGANTI</t>
  </si>
  <si>
    <t>074664</t>
  </si>
  <si>
    <t>514060880639</t>
  </si>
  <si>
    <t>PJU DS JARAK 311 C6</t>
  </si>
  <si>
    <t>SUMATRA NO 3 PELEM</t>
  </si>
  <si>
    <t>074916</t>
  </si>
  <si>
    <t>514060880647</t>
  </si>
  <si>
    <t>JOMBANG NO 244 BRINGIN</t>
  </si>
  <si>
    <t>074858</t>
  </si>
  <si>
    <t>514060880654</t>
  </si>
  <si>
    <t>PJU TUNGLUR EF122</t>
  </si>
  <si>
    <t>POGAR NO 0 TUNGLUR</t>
  </si>
  <si>
    <t>074791</t>
  </si>
  <si>
    <t>514060880662</t>
  </si>
  <si>
    <t>PJU JARAK EF139</t>
  </si>
  <si>
    <t>SAGI NO 249 JARAK</t>
  </si>
  <si>
    <t>074809</t>
  </si>
  <si>
    <t>514060880670</t>
  </si>
  <si>
    <t>PJU TEGOWANGI EF152</t>
  </si>
  <si>
    <t>TANJUNG ANOM NO 0 TEGOWANGI</t>
  </si>
  <si>
    <t>074693</t>
  </si>
  <si>
    <t>514060880688</t>
  </si>
  <si>
    <t>PJU NGANCAR EF109</t>
  </si>
  <si>
    <t>MULYOREJO NO 0 NGANCAR</t>
  </si>
  <si>
    <t>074774</t>
  </si>
  <si>
    <t>514060880696</t>
  </si>
  <si>
    <t>PJU KAYENLOR EF187</t>
  </si>
  <si>
    <t>BANGI NO 0 KAYEN LOR</t>
  </si>
  <si>
    <t>074986</t>
  </si>
  <si>
    <t>514060880700</t>
  </si>
  <si>
    <t>PJU PANDANTOYO D10</t>
  </si>
  <si>
    <t>PANDANTOYO NO 1 PANDANTOYO</t>
  </si>
  <si>
    <t>074683</t>
  </si>
  <si>
    <t>514060880718</t>
  </si>
  <si>
    <t>PJU  MOJOKEREP</t>
  </si>
  <si>
    <t>BANGI NO 0 KAYENLOR</t>
  </si>
  <si>
    <t>074983</t>
  </si>
  <si>
    <t>514060880726</t>
  </si>
  <si>
    <t>PJU WONOREJO EF161</t>
  </si>
  <si>
    <t>BODAG NO 0 WONOREJO</t>
  </si>
  <si>
    <t>074948</t>
  </si>
  <si>
    <t>514060880734</t>
  </si>
  <si>
    <t>PJU MANGGIS EF149</t>
  </si>
  <si>
    <t>074743</t>
  </si>
  <si>
    <t>514060880742</t>
  </si>
  <si>
    <t>PJU KRENCENG EF101</t>
  </si>
  <si>
    <t>KI AGENG MANIS 2 NO 0 KRENCENG</t>
  </si>
  <si>
    <t>074667</t>
  </si>
  <si>
    <t>514060880759</t>
  </si>
  <si>
    <t>PJU MANGGIS EF148</t>
  </si>
  <si>
    <t>JAMBEAN NO 0 MANGGIS</t>
  </si>
  <si>
    <t>074894</t>
  </si>
  <si>
    <t>514060880767</t>
  </si>
  <si>
    <t>PJU CENTONG EF182 D1</t>
  </si>
  <si>
    <t>CENTONG NO 78 LANGENHARJ</t>
  </si>
  <si>
    <t>074824</t>
  </si>
  <si>
    <t>514060880775</t>
  </si>
  <si>
    <t>PJU PARE EF125 T003</t>
  </si>
  <si>
    <t>PENAGGUNGAN NO 0 PARE</t>
  </si>
  <si>
    <t>074935</t>
  </si>
  <si>
    <t>514060880783</t>
  </si>
  <si>
    <t>PJU WATUGEDE C4</t>
  </si>
  <si>
    <t>074707</t>
  </si>
  <si>
    <t>514060880791</t>
  </si>
  <si>
    <t>PJU MEJONO EF137</t>
  </si>
  <si>
    <t>MAWAR NO 0 MEJONO</t>
  </si>
  <si>
    <t>074815</t>
  </si>
  <si>
    <t>514060880804</t>
  </si>
  <si>
    <t>PJU WONOREJO TRI EF188</t>
  </si>
  <si>
    <t>074915</t>
  </si>
  <si>
    <t>514060957367</t>
  </si>
  <si>
    <t>PJU GUNUNG KELUD BOX 3</t>
  </si>
  <si>
    <t>MARGOMULYO NO 0 SUGIHWARAS</t>
  </si>
  <si>
    <t>026103</t>
  </si>
  <si>
    <t>514060957375</t>
  </si>
  <si>
    <t>PJU GUNUNG KELUD BOX 4</t>
  </si>
  <si>
    <t>074998</t>
  </si>
  <si>
    <t>514060991639</t>
  </si>
  <si>
    <t>TAMAN KOTA PARE</t>
  </si>
  <si>
    <t>PK BANGSA NO 0 PARE</t>
  </si>
  <si>
    <t>074754</t>
  </si>
  <si>
    <t>514061170394</t>
  </si>
  <si>
    <t>PJU BENDOREJO WATES</t>
  </si>
  <si>
    <t>BENDOREJO NO 0 WATES</t>
  </si>
  <si>
    <t>074960</t>
  </si>
  <si>
    <t>514061170407</t>
  </si>
  <si>
    <t>PJU CANGGU BADAS</t>
  </si>
  <si>
    <t>CANGGU NO 0 BADAS</t>
  </si>
  <si>
    <t>074995</t>
  </si>
  <si>
    <t>514061212767</t>
  </si>
  <si>
    <t>PJU MEJONO</t>
  </si>
  <si>
    <t>MEJONO NO 0 PLEMAHAN</t>
  </si>
  <si>
    <t>074958</t>
  </si>
  <si>
    <t>514061212775</t>
  </si>
  <si>
    <t>PJU TULUNGREJO (KEMUNING)</t>
  </si>
  <si>
    <t>KEMUNING NO 0 TL REJO</t>
  </si>
  <si>
    <t>074985</t>
  </si>
  <si>
    <t>514061212783</t>
  </si>
  <si>
    <t>PJU TEGOWANGI</t>
  </si>
  <si>
    <t>TEGOWANGI NO 0 PLEMAHAN</t>
  </si>
  <si>
    <t>074719</t>
  </si>
  <si>
    <t>514061239832</t>
  </si>
  <si>
    <t>PJU LANGENHARJO T.183</t>
  </si>
  <si>
    <t>DS LANGENHARJO NO 0 L HARJO</t>
  </si>
  <si>
    <t>074788</t>
  </si>
  <si>
    <t>514061239840</t>
  </si>
  <si>
    <t>PJU SEMANDING, TERTEK 134</t>
  </si>
  <si>
    <t>DK</t>
  </si>
  <si>
    <t>TRETEK NO 0 PARE</t>
  </si>
  <si>
    <t>074728</t>
  </si>
  <si>
    <t>514061239857</t>
  </si>
  <si>
    <t>PJU SUKORAMBIL T.268</t>
  </si>
  <si>
    <t>BEDALI RAMBIL NO 0 BEDEALI</t>
  </si>
  <si>
    <t>074856</t>
  </si>
  <si>
    <t>514061239865</t>
  </si>
  <si>
    <t>PJU SMB BENDO T285</t>
  </si>
  <si>
    <t>SMB BENDO NO 0 SMB BENDO</t>
  </si>
  <si>
    <t>074871</t>
  </si>
  <si>
    <t>514061239873</t>
  </si>
  <si>
    <t>PJU TAWANG T.207</t>
  </si>
  <si>
    <t>074735</t>
  </si>
  <si>
    <t>514061239881</t>
  </si>
  <si>
    <t>PJU BABADAN T.252</t>
  </si>
  <si>
    <t>074755</t>
  </si>
  <si>
    <t>514061239899</t>
  </si>
  <si>
    <t>PJU MARGOURIP T.273</t>
  </si>
  <si>
    <t>074726</t>
  </si>
  <si>
    <t>514061239903</t>
  </si>
  <si>
    <t>PJU GADUNGAN T.144</t>
  </si>
  <si>
    <t>074796</t>
  </si>
  <si>
    <t>514061239911</t>
  </si>
  <si>
    <t>PJU GAYAM T. 264</t>
  </si>
  <si>
    <t>GAYAM NO 0 GAYAM</t>
  </si>
  <si>
    <t>074961</t>
  </si>
  <si>
    <t>514061239929</t>
  </si>
  <si>
    <t>PJU SIDOREJO T.221</t>
  </si>
  <si>
    <t>SIDOREJO NO 0 SIDOREJO</t>
  </si>
  <si>
    <t>075036</t>
  </si>
  <si>
    <t>514061239937</t>
  </si>
  <si>
    <t>PJU TAWANG T.286</t>
  </si>
  <si>
    <t>074783</t>
  </si>
  <si>
    <t>514061239945</t>
  </si>
  <si>
    <t>PJU BUMIREJO KUNJANG 255</t>
  </si>
  <si>
    <t>BUMIREJO NO 0 KUNJANG</t>
  </si>
  <si>
    <t>074855</t>
  </si>
  <si>
    <t>514061239952</t>
  </si>
  <si>
    <t>075060</t>
  </si>
  <si>
    <t>514061239960</t>
  </si>
  <si>
    <t>PJU DS JATIMULYO T.212</t>
  </si>
  <si>
    <t>JATI MULYO NO 0 JATI MULYO</t>
  </si>
  <si>
    <t>074773</t>
  </si>
  <si>
    <t>514061239978</t>
  </si>
  <si>
    <t>PJU MOJOLEGI T.129</t>
  </si>
  <si>
    <t>MOJOLEGI NO 0 MOJOLEGI</t>
  </si>
  <si>
    <t>074947</t>
  </si>
  <si>
    <t>514061239986</t>
  </si>
  <si>
    <t>PJU BRANGGAHAN, KUNJ 258</t>
  </si>
  <si>
    <t>BRANGGAHAN NO 0 KUNJANG</t>
  </si>
  <si>
    <t>074981</t>
  </si>
  <si>
    <t>514061239994</t>
  </si>
  <si>
    <t>PJU TEGOWANGI T.151 A</t>
  </si>
  <si>
    <t>075006</t>
  </si>
  <si>
    <t>514061240000</t>
  </si>
  <si>
    <t>PJU PETUNGROTO T.217</t>
  </si>
  <si>
    <t>PETUNGROTO NO 0 PETUNGROTO</t>
  </si>
  <si>
    <t>074676</t>
  </si>
  <si>
    <t>514061240018</t>
  </si>
  <si>
    <t>PJU JAMBU T.70</t>
  </si>
  <si>
    <t>JAMBU NO 0 JAMBU</t>
  </si>
  <si>
    <t>074861</t>
  </si>
  <si>
    <t>514061240026</t>
  </si>
  <si>
    <t>PJU KARANGNONGKO T.276</t>
  </si>
  <si>
    <t>KARANGNONGKO NO 0 KARANGNONG</t>
  </si>
  <si>
    <t>074775</t>
  </si>
  <si>
    <t>514061240034</t>
  </si>
  <si>
    <t>PJU SUMBER AGUNG T.279</t>
  </si>
  <si>
    <t>074817</t>
  </si>
  <si>
    <t>514061240042</t>
  </si>
  <si>
    <t>PJU SAMBIREJO T.64</t>
  </si>
  <si>
    <t>SAMBIREJO NO 0 SAMBIREJO</t>
  </si>
  <si>
    <t>074863</t>
  </si>
  <si>
    <t>514061240059</t>
  </si>
  <si>
    <t>PJU GEDANG SEWU T.155</t>
  </si>
  <si>
    <t>GEDANG SEWU NO 0 GD SEWU</t>
  </si>
  <si>
    <t>075027</t>
  </si>
  <si>
    <t>514061240067</t>
  </si>
  <si>
    <t>PJU DS WONOREJO T.224</t>
  </si>
  <si>
    <t>WONOREJO NO 0 WONOREJO</t>
  </si>
  <si>
    <t>074874</t>
  </si>
  <si>
    <t>514061240075</t>
  </si>
  <si>
    <t>PJU SEKARAN KIDUL T.210</t>
  </si>
  <si>
    <t>SEKARAN NO 0 SEKARAN</t>
  </si>
  <si>
    <t>074882</t>
  </si>
  <si>
    <t>514061240083</t>
  </si>
  <si>
    <t>PJU  SUMBER BAHAGIA T.233</t>
  </si>
  <si>
    <t>SUMBBER BAHAGIA NO 0 GADUNGAN</t>
  </si>
  <si>
    <t>075034</t>
  </si>
  <si>
    <t>514061240091</t>
  </si>
  <si>
    <t>PJU BRINGIN T.283</t>
  </si>
  <si>
    <t>074964</t>
  </si>
  <si>
    <t>514061240105</t>
  </si>
  <si>
    <t>PJU TEGOWANGI T.151</t>
  </si>
  <si>
    <t>074694</t>
  </si>
  <si>
    <t>514061240113</t>
  </si>
  <si>
    <t>PJU MEJONO T.300</t>
  </si>
  <si>
    <t>MEJONO NO 0 MEJONO</t>
  </si>
  <si>
    <t>075011</t>
  </si>
  <si>
    <t>514061240121</t>
  </si>
  <si>
    <t>PJU SATAK T.232</t>
  </si>
  <si>
    <t>074746</t>
  </si>
  <si>
    <t>514061240139</t>
  </si>
  <si>
    <t>PJU SIDOREJO T.298</t>
  </si>
  <si>
    <t>074698</t>
  </si>
  <si>
    <t>514061240147</t>
  </si>
  <si>
    <t>PJU BUMIREJO, KUNJANG 255</t>
  </si>
  <si>
    <t>KUNJANG NO 0 KUNJANG</t>
  </si>
  <si>
    <t>074736</t>
  </si>
  <si>
    <t>514061240154</t>
  </si>
  <si>
    <t>PJU SAMBIREJO T.046</t>
  </si>
  <si>
    <t>074778</t>
  </si>
  <si>
    <t>514061240162</t>
  </si>
  <si>
    <t>PJU SAMBIREJO T. 192</t>
  </si>
  <si>
    <t>074993</t>
  </si>
  <si>
    <t>514061240170</t>
  </si>
  <si>
    <t>PLOSOLOR NO 0 PLOSOLOR</t>
  </si>
  <si>
    <t>074669</t>
  </si>
  <si>
    <t>514061240188</t>
  </si>
  <si>
    <t>PJU SUMBER AGUNG T.223</t>
  </si>
  <si>
    <t>SUMBER AGUNG NO 0 SUMBER AGU</t>
  </si>
  <si>
    <t>074753</t>
  </si>
  <si>
    <t>514061240196</t>
  </si>
  <si>
    <t>PJU  TEMPUREJO T.33</t>
  </si>
  <si>
    <t>TEMPUREJO NO 0 TEMPUREJO</t>
  </si>
  <si>
    <t>074835</t>
  </si>
  <si>
    <t>514061240209</t>
  </si>
  <si>
    <t>PJU LANGENHARJO T.26</t>
  </si>
  <si>
    <t>LANGEN HARJO NO 0 L HARJO</t>
  </si>
  <si>
    <t>074740</t>
  </si>
  <si>
    <t>514061240217</t>
  </si>
  <si>
    <t>PJU SAMBIREJO T.263</t>
  </si>
  <si>
    <t>075056</t>
  </si>
  <si>
    <t>514061240225</t>
  </si>
  <si>
    <t>PJU JAMBU T.69</t>
  </si>
  <si>
    <t>074940</t>
  </si>
  <si>
    <t>514061240233</t>
  </si>
  <si>
    <t>PJU  SEMPU T.246</t>
  </si>
  <si>
    <t>074928</t>
  </si>
  <si>
    <t>514061240241</t>
  </si>
  <si>
    <t>PJU BABADAN T.251</t>
  </si>
  <si>
    <t>074782</t>
  </si>
  <si>
    <t>514061240258</t>
  </si>
  <si>
    <t>PJU SEMPU T.247</t>
  </si>
  <si>
    <t>074904</t>
  </si>
  <si>
    <t>514061240266</t>
  </si>
  <si>
    <t>PJU BABADAN [ 249 ]</t>
  </si>
  <si>
    <t>075004</t>
  </si>
  <si>
    <t>514061240274</t>
  </si>
  <si>
    <t>PJU CANGU T.213</t>
  </si>
  <si>
    <t>074661</t>
  </si>
  <si>
    <t>514061240282</t>
  </si>
  <si>
    <t>PJU BABADAN T.250</t>
  </si>
  <si>
    <t>074699</t>
  </si>
  <si>
    <t>514061240290</t>
  </si>
  <si>
    <t>074984</t>
  </si>
  <si>
    <t>514061240304</t>
  </si>
  <si>
    <t>PJU SUMBERPETUNGT.046</t>
  </si>
  <si>
    <t>SUMBER PETUNG NO 0 SBR PETUNG</t>
  </si>
  <si>
    <t>074827</t>
  </si>
  <si>
    <t>514061240312</t>
  </si>
  <si>
    <t>PJU MARGOURIP T.272</t>
  </si>
  <si>
    <t>074724</t>
  </si>
  <si>
    <t>514061240320</t>
  </si>
  <si>
    <t>PJU MATRGOURIP .193</t>
  </si>
  <si>
    <t>MATRGOURIP NO 0 MATRGOURI</t>
  </si>
  <si>
    <t>074860</t>
  </si>
  <si>
    <t>514061240338</t>
  </si>
  <si>
    <t>PJU BEDALI T.108</t>
  </si>
  <si>
    <t>074956</t>
  </si>
  <si>
    <t>514061240346</t>
  </si>
  <si>
    <t>PJU DN TANGGUNGMULYO 226</t>
  </si>
  <si>
    <t>TANGGUNG MULYO NO 0 T MULYO</t>
  </si>
  <si>
    <t>074695</t>
  </si>
  <si>
    <t>514061240353</t>
  </si>
  <si>
    <t>PJU DARUNGAN T.07</t>
  </si>
  <si>
    <t>DS DARUNGAN NO 0 DARUNGAN</t>
  </si>
  <si>
    <t>074713</t>
  </si>
  <si>
    <t>514061240361</t>
  </si>
  <si>
    <t>PJU SUKO MRAMBIL T267</t>
  </si>
  <si>
    <t>DS BEDALI NO 0 BEDALI</t>
  </si>
  <si>
    <t>074888</t>
  </si>
  <si>
    <t>514061240379</t>
  </si>
  <si>
    <t>PJU DN TANGGUNGMULYO 226A</t>
  </si>
  <si>
    <t>TANGGUNGMULYO NO 0 T MULYO</t>
  </si>
  <si>
    <t>074805</t>
  </si>
  <si>
    <t>514061240387</t>
  </si>
  <si>
    <t>PJU  NGANCAR T.107</t>
  </si>
  <si>
    <t>074845</t>
  </si>
  <si>
    <t>514061240395</t>
  </si>
  <si>
    <t>PJU SEMPU T.245</t>
  </si>
  <si>
    <t>075057</t>
  </si>
  <si>
    <t>514061240408</t>
  </si>
  <si>
    <t>PJU MANGGIS T.194</t>
  </si>
  <si>
    <t>074988</t>
  </si>
  <si>
    <t>514061240432</t>
  </si>
  <si>
    <t>PJU SAMBIREJO T.048</t>
  </si>
  <si>
    <t>DS SAMBIREJO NO 0 SAMBIREJO</t>
  </si>
  <si>
    <t>075039</t>
  </si>
  <si>
    <t>514061240440</t>
  </si>
  <si>
    <t>PJU MARGOURIP T.197</t>
  </si>
  <si>
    <t>074898</t>
  </si>
  <si>
    <t>514061240457</t>
  </si>
  <si>
    <t>PJU BEDALI T.287</t>
  </si>
  <si>
    <t>074927</t>
  </si>
  <si>
    <t>514061240465</t>
  </si>
  <si>
    <t>PJU JARAK T.311</t>
  </si>
  <si>
    <t>JARAK NO 0 JARAK</t>
  </si>
  <si>
    <t>074893</t>
  </si>
  <si>
    <t>514061240473</t>
  </si>
  <si>
    <t>PJU KENCONG T.236</t>
  </si>
  <si>
    <t>DS KENCONG NO 0 KENCONG</t>
  </si>
  <si>
    <t>074982</t>
  </si>
  <si>
    <t>514061240481</t>
  </si>
  <si>
    <t>PJU JARAK T.139</t>
  </si>
  <si>
    <t>074814</t>
  </si>
  <si>
    <t>514061240499</t>
  </si>
  <si>
    <t>PJU KARANG ANYAR T.259</t>
  </si>
  <si>
    <t>KARANG ANYAR NO 0 KR ANYAR</t>
  </si>
  <si>
    <t>074730</t>
  </si>
  <si>
    <t>514061240503</t>
  </si>
  <si>
    <t>PJU LAMONG T.253</t>
  </si>
  <si>
    <t>DS LAMONG NO 0 LAMONG</t>
  </si>
  <si>
    <t>074714</t>
  </si>
  <si>
    <t>514061240511</t>
  </si>
  <si>
    <t>KEDUNG MALANG NO 0 KD MALANG</t>
  </si>
  <si>
    <t>074678</t>
  </si>
  <si>
    <t>514061256427</t>
  </si>
  <si>
    <t>PJU SRI ARUM</t>
  </si>
  <si>
    <t>SRI ARUM RESIDANCE II NO 0 PELEM</t>
  </si>
  <si>
    <t>074738</t>
  </si>
  <si>
    <t>514061259379</t>
  </si>
  <si>
    <t>PJU KUNJANG NGANCAR</t>
  </si>
  <si>
    <t>KUNJANG NO 0 NGANCAR</t>
  </si>
  <si>
    <t>075000</t>
  </si>
  <si>
    <t>514061263062</t>
  </si>
  <si>
    <t>PJU PLEMAHAN</t>
  </si>
  <si>
    <t>PLEMAHAN NO 0 PLEMAHAN</t>
  </si>
  <si>
    <t>074852</t>
  </si>
  <si>
    <t>514061281464</t>
  </si>
  <si>
    <t>PJU NUANSA BRINGIN ASRI</t>
  </si>
  <si>
    <t>NUANSA BRINGIN ASRI NO 0 BRINGIN</t>
  </si>
  <si>
    <t>008655</t>
  </si>
  <si>
    <t>514061297036</t>
  </si>
  <si>
    <t>PJU DS SUMBERBENDO</t>
  </si>
  <si>
    <t>SUMBERBENDO NO 0 PARE</t>
  </si>
  <si>
    <t>074849</t>
  </si>
  <si>
    <t>514061329807</t>
  </si>
  <si>
    <t>PJU PLOSOKLATEN</t>
  </si>
  <si>
    <t>PLOSO KIDUL NO 0 PLOSOKLATE</t>
  </si>
  <si>
    <t>074761</t>
  </si>
  <si>
    <t>514061354248</t>
  </si>
  <si>
    <t>PJU GREEN PARE RESIDENCE</t>
  </si>
  <si>
    <t>GREEN PARE RESIDENCE 1 NO</t>
  </si>
  <si>
    <t>074706</t>
  </si>
  <si>
    <t>514061354782</t>
  </si>
  <si>
    <t>PJU RESIDENCE 2</t>
  </si>
  <si>
    <t>GREEN PARE R.II NO</t>
  </si>
  <si>
    <t>016655</t>
  </si>
  <si>
    <t>514061376735</t>
  </si>
  <si>
    <t>PJU DS BRINGIN KEC BADAS</t>
  </si>
  <si>
    <t>BRINGIN GARDU 058 C1B12 NO 0 BADAS</t>
  </si>
  <si>
    <t>047130</t>
  </si>
  <si>
    <t>514061399046</t>
  </si>
  <si>
    <t>PJU PERUMAHAN SRIARUM 2</t>
  </si>
  <si>
    <t>SRI ARUM NO 0 BENDO</t>
  </si>
  <si>
    <t>018480</t>
  </si>
  <si>
    <t>514061406947</t>
  </si>
  <si>
    <t>PJU PLOSOLOR</t>
  </si>
  <si>
    <t>PLOSO LOR NO 0 PLOSO LOR</t>
  </si>
  <si>
    <t>043548</t>
  </si>
  <si>
    <t>514061429386</t>
  </si>
  <si>
    <t>PJU PR PURI SMBRBENDO ASR</t>
  </si>
  <si>
    <t>PURI SUMBERBENDO ASRI NO   SUMBERBEND</t>
  </si>
  <si>
    <t>007919</t>
  </si>
  <si>
    <t>514061440318</t>
  </si>
  <si>
    <t>PJU RUAS JALAN KRANGGAN</t>
  </si>
  <si>
    <t>KRANGGAN NO   PLOSOKIDUL</t>
  </si>
  <si>
    <t>074946</t>
  </si>
  <si>
    <t>514061445613</t>
  </si>
  <si>
    <t>PJU JALAN ANYELIR</t>
  </si>
  <si>
    <t>ANYELIR NO   TULUNGREJO</t>
  </si>
  <si>
    <t>075025</t>
  </si>
  <si>
    <t>514061445621</t>
  </si>
  <si>
    <t>PJU JALAN BRAWIJAYA</t>
  </si>
  <si>
    <t>PJU JALAN BRAWIJAYA NO   TULUNGREJO</t>
  </si>
  <si>
    <t>074891</t>
  </si>
  <si>
    <t>514061445639</t>
  </si>
  <si>
    <t>PJU JALAN VETERAN</t>
  </si>
  <si>
    <t>074682</t>
  </si>
  <si>
    <t>514061445647</t>
  </si>
  <si>
    <t>PJU JALAN LANTAMA</t>
  </si>
  <si>
    <t>LAMTANA NO   TULUNGREJO</t>
  </si>
  <si>
    <t>074963</t>
  </si>
  <si>
    <t>514061448922</t>
  </si>
  <si>
    <t>PJU RUAS JL SEMPU-SUGIHWA</t>
  </si>
  <si>
    <t>RUAS JALAN SEMPU-SUGIHWARAS NO   EF246 A3</t>
  </si>
  <si>
    <t>011671</t>
  </si>
  <si>
    <t>514061483697</t>
  </si>
  <si>
    <t>PJU TROTOAR PASAR WATES</t>
  </si>
  <si>
    <t>RAYA NO 0 TAWANG</t>
  </si>
  <si>
    <t>006419</t>
  </si>
  <si>
    <t>514060662630</t>
  </si>
  <si>
    <t>PJU DS KEPUNG</t>
  </si>
  <si>
    <t>KEPUNG NO 0 KEPUNG</t>
  </si>
  <si>
    <t>075052</t>
  </si>
  <si>
    <t>514060659694</t>
  </si>
  <si>
    <t>PJU DS KEPUNG BARAT (86)</t>
  </si>
  <si>
    <t>074854</t>
  </si>
  <si>
    <t>514060760562</t>
  </si>
  <si>
    <t>PJU DS WONOREJO (229)</t>
  </si>
  <si>
    <t>074918</t>
  </si>
  <si>
    <t>514060760513</t>
  </si>
  <si>
    <t>075061</t>
  </si>
  <si>
    <t>514060659732</t>
  </si>
  <si>
    <t>PJU DS KARANGDINOYO (85)</t>
  </si>
  <si>
    <t>KARANG DINOYO NO 0 KEPUNG</t>
  </si>
  <si>
    <t>074749</t>
  </si>
  <si>
    <t>514060651111</t>
  </si>
  <si>
    <t>PJ DN KWAGEAN KRENCENG</t>
  </si>
  <si>
    <t>KWAGEAN NO 203 KRENCENG</t>
  </si>
  <si>
    <t>074733</t>
  </si>
  <si>
    <t>514060760227</t>
  </si>
  <si>
    <t>PJU DS SEPAWON</t>
  </si>
  <si>
    <t>074883</t>
  </si>
  <si>
    <t>514060664436</t>
  </si>
  <si>
    <t>PJU DS MARGOURIP</t>
  </si>
  <si>
    <t>MARGO URIP NO 0 MARGOURIP</t>
  </si>
  <si>
    <t>074979</t>
  </si>
  <si>
    <t>514060760389</t>
  </si>
  <si>
    <t>PJU DS KAYENLOR T41</t>
  </si>
  <si>
    <t>074823</t>
  </si>
  <si>
    <t>514060760355</t>
  </si>
  <si>
    <t>PJU DS PADANGAN T209</t>
  </si>
  <si>
    <t>PADANGAN NO 0 PADANGAN</t>
  </si>
  <si>
    <t>074795</t>
  </si>
  <si>
    <t>514060760348</t>
  </si>
  <si>
    <t>PJU DS SEKARAN LOR T145</t>
  </si>
  <si>
    <t>SEKARAN LOR NO 0 SEKARAN</t>
  </si>
  <si>
    <t>074842</t>
  </si>
  <si>
    <t>514060760363</t>
  </si>
  <si>
    <t>PJU DS JAMBU</t>
  </si>
  <si>
    <t>074688</t>
  </si>
  <si>
    <t>514060587538</t>
  </si>
  <si>
    <t>PJU SIMPANG EMPAT</t>
  </si>
  <si>
    <t>SAMBIREJO NO   0 PARE</t>
  </si>
  <si>
    <t>075063</t>
  </si>
  <si>
    <t>514060651186</t>
  </si>
  <si>
    <t>PJ DS ADAN ADAN</t>
  </si>
  <si>
    <t>ADAN ADAN NO 0 ADAN ADAN</t>
  </si>
  <si>
    <t>074787</t>
  </si>
  <si>
    <t>514060760276</t>
  </si>
  <si>
    <t>PJU DS ADAN-ADAN T 45</t>
  </si>
  <si>
    <t>ADAN - ADAN NO 0 ADAN-ADAN</t>
  </si>
  <si>
    <t>074887</t>
  </si>
  <si>
    <t>514060760284</t>
  </si>
  <si>
    <t>PJU DS GAYAM T44</t>
  </si>
  <si>
    <t>074873</t>
  </si>
  <si>
    <t>514060643045</t>
  </si>
  <si>
    <t>PJ CANGGU GD 162</t>
  </si>
  <si>
    <t>074751</t>
  </si>
  <si>
    <t>514060642993</t>
  </si>
  <si>
    <t>PJ GADUNGAN GD 248</t>
  </si>
  <si>
    <t>074939</t>
  </si>
  <si>
    <t>514060642985</t>
  </si>
  <si>
    <t>PJ GADUNGAN GD 60</t>
  </si>
  <si>
    <t>074840</t>
  </si>
  <si>
    <t>514060643060</t>
  </si>
  <si>
    <t>PJ DOROK GD 99</t>
  </si>
  <si>
    <t>074864</t>
  </si>
  <si>
    <t>514060646147</t>
  </si>
  <si>
    <t>PJU DOROK (99)</t>
  </si>
  <si>
    <t>074937</t>
  </si>
  <si>
    <t>514060656138</t>
  </si>
  <si>
    <t>PJU TEMPLEK ( 290 )</t>
  </si>
  <si>
    <t>TEMPLEK NO 0 DARUNGAN</t>
  </si>
  <si>
    <t>074832</t>
  </si>
  <si>
    <t>514060760491</t>
  </si>
  <si>
    <t>PJU DS GEDANG SEWU</t>
  </si>
  <si>
    <t>074875</t>
  </si>
  <si>
    <t>514060639463</t>
  </si>
  <si>
    <t>PERTIGAAN BALAI DESA</t>
  </si>
  <si>
    <t>075053</t>
  </si>
  <si>
    <t>514060565081</t>
  </si>
  <si>
    <t>PJU SIMPANG TIGA</t>
  </si>
  <si>
    <t>GEBANG SEWU NO   0 PARE</t>
  </si>
  <si>
    <t>075022</t>
  </si>
  <si>
    <t>514060662648</t>
  </si>
  <si>
    <t>PJU DS GEDANGSEWU</t>
  </si>
  <si>
    <t>074808</t>
  </si>
  <si>
    <t>514060662622</t>
  </si>
  <si>
    <t>PJU DS GADUNGAN</t>
  </si>
  <si>
    <t>074920</t>
  </si>
  <si>
    <t>514060657720</t>
  </si>
  <si>
    <t>PJU DS KUNJANG ( 118 )</t>
  </si>
  <si>
    <t>074925</t>
  </si>
  <si>
    <t>514060760633</t>
  </si>
  <si>
    <t>PJU DS KUNJANG</t>
  </si>
  <si>
    <t>075046</t>
  </si>
  <si>
    <t>514060659686</t>
  </si>
  <si>
    <t>PJU DS DARUNGAN ( 147 )</t>
  </si>
  <si>
    <t>074727</t>
  </si>
  <si>
    <t>514060643078</t>
  </si>
  <si>
    <t>PJ TONDO WONGSO GD 262</t>
  </si>
  <si>
    <t>TONDOWONGSO NO 0 GAYAM</t>
  </si>
  <si>
    <t>074971</t>
  </si>
  <si>
    <t>514060662528</t>
  </si>
  <si>
    <t>PJU DS TIRU LOR</t>
  </si>
  <si>
    <t>TIRU LOR NO 0 TIRU LOR</t>
  </si>
  <si>
    <t>074932</t>
  </si>
  <si>
    <t>514060662510</t>
  </si>
  <si>
    <t>PJU DS SIDOREJO</t>
  </si>
  <si>
    <t>075017</t>
  </si>
  <si>
    <t>514060760505</t>
  </si>
  <si>
    <t>075037</t>
  </si>
  <si>
    <t>514060622165</t>
  </si>
  <si>
    <t>NGASEM NO 0 NGASEM</t>
  </si>
  <si>
    <t>074990</t>
  </si>
  <si>
    <t>514060662663</t>
  </si>
  <si>
    <t>PJU DS TEMPUREJO</t>
  </si>
  <si>
    <t>074980</t>
  </si>
  <si>
    <t>514060760250</t>
  </si>
  <si>
    <t>PJU DS JARAK T111</t>
  </si>
  <si>
    <t>074709</t>
  </si>
  <si>
    <t>514060662577</t>
  </si>
  <si>
    <t>PJU DS NGLUMBANG</t>
  </si>
  <si>
    <t>NGLUMBANG NO 0 NGLUMBANG</t>
  </si>
  <si>
    <t>074950</t>
  </si>
  <si>
    <t>514060662585</t>
  </si>
  <si>
    <t>PJU DS BLIMBING</t>
  </si>
  <si>
    <t>BLIMBING NO 0 BLIMBING</t>
  </si>
  <si>
    <t>074820</t>
  </si>
  <si>
    <t>514060760330</t>
  </si>
  <si>
    <t>PJU BLIMBING T117</t>
  </si>
  <si>
    <t>074997</t>
  </si>
  <si>
    <t>514060760322</t>
  </si>
  <si>
    <t>PJU DS NGASEM T115</t>
  </si>
  <si>
    <t>074700</t>
  </si>
  <si>
    <t>514060662569</t>
  </si>
  <si>
    <t>PJU DS NGASEM</t>
  </si>
  <si>
    <t>074923</t>
  </si>
  <si>
    <t>514060622173</t>
  </si>
  <si>
    <t>074690</t>
  </si>
  <si>
    <t>514060760314</t>
  </si>
  <si>
    <t>PJU DS BANGKOK T65</t>
  </si>
  <si>
    <t>BANGKOK NO 0 BANGKOK</t>
  </si>
  <si>
    <t>074674</t>
  </si>
  <si>
    <t>514061389764</t>
  </si>
  <si>
    <t>PJU GREEN PARE RECIDENCE</t>
  </si>
  <si>
    <t>PR. GREEN PARE RECIDENCE 3    PARE</t>
  </si>
  <si>
    <t>074843</t>
  </si>
  <si>
    <t>JUMLAH ULP PARE</t>
  </si>
  <si>
    <t>WILAYAH ULP NGADILUWIH</t>
  </si>
  <si>
    <t>048461</t>
  </si>
  <si>
    <t>PJU DS BLABAK</t>
  </si>
  <si>
    <t>BLABAK</t>
  </si>
  <si>
    <t>048759</t>
  </si>
  <si>
    <t>PJU REMBANG KEPUH</t>
  </si>
  <si>
    <t>REMBANG</t>
  </si>
  <si>
    <t>048405</t>
  </si>
  <si>
    <t>PJU WONOREJO</t>
  </si>
  <si>
    <t>048376</t>
  </si>
  <si>
    <t>PJU WONOREJO WATES</t>
  </si>
  <si>
    <t>048396</t>
  </si>
  <si>
    <t>PJU DESA SAMBI</t>
  </si>
  <si>
    <t>RINGINREJO</t>
  </si>
  <si>
    <t>048776</t>
  </si>
  <si>
    <t>PJU SUMBERJO</t>
  </si>
  <si>
    <t>SUMBERJO</t>
  </si>
  <si>
    <t>048674</t>
  </si>
  <si>
    <t>PJU DAWUNG</t>
  </si>
  <si>
    <t>DAWUNG</t>
  </si>
  <si>
    <t>048543</t>
  </si>
  <si>
    <t>PJU SUSUHBANGO</t>
  </si>
  <si>
    <t>SUSUHBANGO</t>
  </si>
  <si>
    <t>048763</t>
  </si>
  <si>
    <t>PJU POJOK WATES</t>
  </si>
  <si>
    <t>WATES POJOK</t>
  </si>
  <si>
    <t>048265</t>
  </si>
  <si>
    <t>PJU SIDOMULYO WATES</t>
  </si>
  <si>
    <t>SIDOMULYO</t>
  </si>
  <si>
    <t>048765</t>
  </si>
  <si>
    <t>PJU WONOREJO NGADILUIWIH</t>
  </si>
  <si>
    <t>048644</t>
  </si>
  <si>
    <t>P J U</t>
  </si>
  <si>
    <t>TEGALAN</t>
  </si>
  <si>
    <t>048602</t>
  </si>
  <si>
    <t>WONOREJO WATES</t>
  </si>
  <si>
    <t>048275</t>
  </si>
  <si>
    <t>PJU TUGU PERBATASAN</t>
  </si>
  <si>
    <t>SAMBI KANDAT</t>
  </si>
  <si>
    <t>048276</t>
  </si>
  <si>
    <t>P.J.U DS. PAGU</t>
  </si>
  <si>
    <t>PAGU WATES</t>
  </si>
  <si>
    <t>048329</t>
  </si>
  <si>
    <t>PJU RINGINSARI</t>
  </si>
  <si>
    <t>RINGINSARI KANDAT</t>
  </si>
  <si>
    <t>048351</t>
  </si>
  <si>
    <t>PJU BANGGLE</t>
  </si>
  <si>
    <t>BANGLE NGADILUWIH</t>
  </si>
  <si>
    <t>048273</t>
  </si>
  <si>
    <t>PJU. JEMEKAN</t>
  </si>
  <si>
    <t>JEMEKAN KRAS</t>
  </si>
  <si>
    <t>048479</t>
  </si>
  <si>
    <t>PJU BLEBER</t>
  </si>
  <si>
    <t>BLEBER PELAS KRAS</t>
  </si>
  <si>
    <t>048670</t>
  </si>
  <si>
    <t>PJU NGLETIH</t>
  </si>
  <si>
    <t>NGLETIH KANDAT</t>
  </si>
  <si>
    <t>048606</t>
  </si>
  <si>
    <t>PJU BOLODEWO WATES</t>
  </si>
  <si>
    <t>BOLODEWO WONOREJO</t>
  </si>
  <si>
    <t>048574</t>
  </si>
  <si>
    <t>PJU SILIR WATES</t>
  </si>
  <si>
    <t>SILIR WATES</t>
  </si>
  <si>
    <t>048536</t>
  </si>
  <si>
    <t>PJU BADAL NGADILUWIH</t>
  </si>
  <si>
    <t>BADAL NGADILUWIH</t>
  </si>
  <si>
    <t>048263</t>
  </si>
  <si>
    <t>PJU BANJARANYAR KRAS</t>
  </si>
  <si>
    <t>BANJARANYAR KRAS</t>
  </si>
  <si>
    <t>048708</t>
  </si>
  <si>
    <t>PJU BADAL PANDEAN</t>
  </si>
  <si>
    <t>BADAL PANDEAN</t>
  </si>
  <si>
    <t>048320</t>
  </si>
  <si>
    <t>PJU NAMBAAN BARU</t>
  </si>
  <si>
    <t>NAMBAKAN RG.REJO</t>
  </si>
  <si>
    <t>048656</t>
  </si>
  <si>
    <t>PJU PURWODADI BARU</t>
  </si>
  <si>
    <t>PURWODADI RG.REJO</t>
  </si>
  <si>
    <t>048646</t>
  </si>
  <si>
    <t>PJU SELODONO BARU</t>
  </si>
  <si>
    <t>SELODONO RG.REJO</t>
  </si>
  <si>
    <t>048527</t>
  </si>
  <si>
    <t>PJU KANDAT BARU</t>
  </si>
  <si>
    <t>KANDAT</t>
  </si>
  <si>
    <t>048291</t>
  </si>
  <si>
    <t>PJU BLABAK KANDAT BARU</t>
  </si>
  <si>
    <t>BLABAK KANDAT</t>
  </si>
  <si>
    <t>048744</t>
  </si>
  <si>
    <t>PJU PULE SELATAN BARU</t>
  </si>
  <si>
    <t>PULE SELATAN KDT.</t>
  </si>
  <si>
    <t>048569</t>
  </si>
  <si>
    <t>PJU SUMBERJO BARU</t>
  </si>
  <si>
    <t>SUMBERJO KANDAT</t>
  </si>
  <si>
    <t>048611</t>
  </si>
  <si>
    <t>PJU GADUNGAN BARU</t>
  </si>
  <si>
    <t>GADUNGAN WATES</t>
  </si>
  <si>
    <t>048314</t>
  </si>
  <si>
    <t>PJU TEMPUREJO BARU</t>
  </si>
  <si>
    <t>TEMPUREJO WATES</t>
  </si>
  <si>
    <t>048384</t>
  </si>
  <si>
    <t>PJU BLEBER KRAS BARU</t>
  </si>
  <si>
    <t>BLEBER  KRAS</t>
  </si>
  <si>
    <t>048478</t>
  </si>
  <si>
    <t>PJU TAMBANGAN</t>
  </si>
  <si>
    <t>TAMBANGAN NGD.</t>
  </si>
  <si>
    <t>048262</t>
  </si>
  <si>
    <t>LPJU RINGINREJO BARU</t>
  </si>
  <si>
    <t>048437</t>
  </si>
  <si>
    <t>PJU GAPURO TUGU BATAS</t>
  </si>
  <si>
    <t>UDANAWU BLITAR</t>
  </si>
  <si>
    <t>048463</t>
  </si>
  <si>
    <t>PJU BLABAK I</t>
  </si>
  <si>
    <t>048519</t>
  </si>
  <si>
    <t>PJU BLABAK II</t>
  </si>
  <si>
    <t>048439</t>
  </si>
  <si>
    <t>PJU JOHO I</t>
  </si>
  <si>
    <t>JOHO WATES</t>
  </si>
  <si>
    <t>048668</t>
  </si>
  <si>
    <t>PJU JOHO II</t>
  </si>
  <si>
    <t>048685</t>
  </si>
  <si>
    <t>PJU BEDUG NGADILUWIH</t>
  </si>
  <si>
    <t>BEDUG NGADILUWIH</t>
  </si>
  <si>
    <t>048453</t>
  </si>
  <si>
    <t>PJU TEGALAN I</t>
  </si>
  <si>
    <t>TEGALAN KANDAT</t>
  </si>
  <si>
    <t>048702</t>
  </si>
  <si>
    <t>PJU TEGALAN II</t>
  </si>
  <si>
    <t>048792</t>
  </si>
  <si>
    <t>PJU DS KNDAT</t>
  </si>
  <si>
    <t>RAYA KANDAT</t>
  </si>
  <si>
    <t>048675</t>
  </si>
  <si>
    <t>PJU TALES UTARA</t>
  </si>
  <si>
    <t>TALES</t>
  </si>
  <si>
    <t>048715</t>
  </si>
  <si>
    <t>PJU NGADIREJO</t>
  </si>
  <si>
    <t>NGADIREJO</t>
  </si>
  <si>
    <t>048501</t>
  </si>
  <si>
    <t>PJU DAWUNG 3</t>
  </si>
  <si>
    <t>SEMBUNGREJO DAWUNG</t>
  </si>
  <si>
    <t>048609</t>
  </si>
  <si>
    <t>PJU CANGKRING</t>
  </si>
  <si>
    <t>CANGKRING</t>
  </si>
  <si>
    <t>048588</t>
  </si>
  <si>
    <t>PJU NGROMBEH</t>
  </si>
  <si>
    <t>NGROMBEH</t>
  </si>
  <si>
    <t>048619</t>
  </si>
  <si>
    <t>PJU BRANGGAHAN 2</t>
  </si>
  <si>
    <t>BRANGGAHAN</t>
  </si>
  <si>
    <t>048499</t>
  </si>
  <si>
    <t>PJU PURWOREJO</t>
  </si>
  <si>
    <t>PURW0REJO</t>
  </si>
  <si>
    <t>048515</t>
  </si>
  <si>
    <t>PJU CENDONO 1</t>
  </si>
  <si>
    <t>CENDONO</t>
  </si>
  <si>
    <t>048754</t>
  </si>
  <si>
    <t>PJU SELODONO</t>
  </si>
  <si>
    <t>KALILANANG</t>
  </si>
  <si>
    <t>048492</t>
  </si>
  <si>
    <t>PJU BANJAREJO 1</t>
  </si>
  <si>
    <t>BANJAREJO</t>
  </si>
  <si>
    <t>048690</t>
  </si>
  <si>
    <t>PJU DUKUH 1</t>
  </si>
  <si>
    <t>DUKUH</t>
  </si>
  <si>
    <t>048676</t>
  </si>
  <si>
    <t>PJU BATUAJI 1</t>
  </si>
  <si>
    <t>BATUAJI</t>
  </si>
  <si>
    <t>048680</t>
  </si>
  <si>
    <t>PJU TALES 2</t>
  </si>
  <si>
    <t>048746</t>
  </si>
  <si>
    <t>PJU SELOSARI</t>
  </si>
  <si>
    <t>SELOSARI KANDAT</t>
  </si>
  <si>
    <t>048419</t>
  </si>
  <si>
    <t>PJU SLUMBUNG 3</t>
  </si>
  <si>
    <t>SLUMBUNG</t>
  </si>
  <si>
    <t>048270</t>
  </si>
  <si>
    <t>PJU NAMBAAN 2</t>
  </si>
  <si>
    <t>048712</t>
  </si>
  <si>
    <t>PJU KARANGREJO 5</t>
  </si>
  <si>
    <t>KARANGREJO KANDAT</t>
  </si>
  <si>
    <t>048318</t>
  </si>
  <si>
    <t>PJU KARANGREJO 1</t>
  </si>
  <si>
    <t>SENTUL</t>
  </si>
  <si>
    <t>048324</t>
  </si>
  <si>
    <t>PJU BANJAREJO</t>
  </si>
  <si>
    <t>048633</t>
  </si>
  <si>
    <t>PJU DEYENG 4</t>
  </si>
  <si>
    <t>048623</t>
  </si>
  <si>
    <t>PJU PURWODADI</t>
  </si>
  <si>
    <t>BARAN</t>
  </si>
  <si>
    <t>048671</t>
  </si>
  <si>
    <t>PJU REMBANG</t>
  </si>
  <si>
    <t>048581</t>
  </si>
  <si>
    <t>PJU JATEN</t>
  </si>
  <si>
    <t>JATEN BLABAK</t>
  </si>
  <si>
    <t>048279</t>
  </si>
  <si>
    <t>PJU REMBANG 1</t>
  </si>
  <si>
    <t>048506</t>
  </si>
  <si>
    <t>PJU BRANGGAHAN 4</t>
  </si>
  <si>
    <t>048332</t>
  </si>
  <si>
    <t>048629</t>
  </si>
  <si>
    <t>PJU DAWUNG 6</t>
  </si>
  <si>
    <t>BEDUG</t>
  </si>
  <si>
    <t>048795</t>
  </si>
  <si>
    <t>PJU TAWANGREJO</t>
  </si>
  <si>
    <t>TAWANGREJO</t>
  </si>
  <si>
    <t>048379</t>
  </si>
  <si>
    <t>048566</t>
  </si>
  <si>
    <t>048444</t>
  </si>
  <si>
    <t>PJU BRANGGAHAN 3</t>
  </si>
  <si>
    <t>048733</t>
  </si>
  <si>
    <t>PJU DEYENG 8</t>
  </si>
  <si>
    <t>DEYENG RINGINREJO</t>
  </si>
  <si>
    <t>048643</t>
  </si>
  <si>
    <t>PJU KARANGREJO 4</t>
  </si>
  <si>
    <t>048357</t>
  </si>
  <si>
    <t>PJU NGADILUWIH SELATAN</t>
  </si>
  <si>
    <t>NGADILUWIH SELATAN</t>
  </si>
  <si>
    <t>048315</t>
  </si>
  <si>
    <t>PJU SLUMBUNG 1</t>
  </si>
  <si>
    <t>048590</t>
  </si>
  <si>
    <t>PJU SAMBI 1</t>
  </si>
  <si>
    <t>048572</t>
  </si>
  <si>
    <t>PJU NGLUNGUR</t>
  </si>
  <si>
    <t>NGLUNGUR</t>
  </si>
  <si>
    <t>048455</t>
  </si>
  <si>
    <t>PJU DEYENG 2</t>
  </si>
  <si>
    <t>TAMRIN DEYENG</t>
  </si>
  <si>
    <t>048466</t>
  </si>
  <si>
    <t>PJU CENDONO 2</t>
  </si>
  <si>
    <t>CENDONOSARI</t>
  </si>
  <si>
    <t>048800</t>
  </si>
  <si>
    <t>PJU KANDAT</t>
  </si>
  <si>
    <t>NGLARANGAN</t>
  </si>
  <si>
    <t>048561</t>
  </si>
  <si>
    <t>PJU DUKUH SELATAN</t>
  </si>
  <si>
    <t>DUKUH SELATAN</t>
  </si>
  <si>
    <t>048750</t>
  </si>
  <si>
    <t>PJU BEDUG TIMUR</t>
  </si>
  <si>
    <t>048607</t>
  </si>
  <si>
    <t>PJU DUKUH</t>
  </si>
  <si>
    <t>048663</t>
  </si>
  <si>
    <t>NGADILUWIH</t>
  </si>
  <si>
    <t>048340</t>
  </si>
  <si>
    <t>PJU SAMBI 2</t>
  </si>
  <si>
    <t>SAMBI RGN.REJO</t>
  </si>
  <si>
    <t>048801</t>
  </si>
  <si>
    <t>PJU BLABAK</t>
  </si>
  <si>
    <t>048512</t>
  </si>
  <si>
    <t>PJU PULE</t>
  </si>
  <si>
    <t>PULE</t>
  </si>
  <si>
    <t>048285</t>
  </si>
  <si>
    <t>PJU NAMBAAN 1</t>
  </si>
  <si>
    <t>NAMBAAN RG.REJO</t>
  </si>
  <si>
    <t>048523</t>
  </si>
  <si>
    <t>PJU BANGLE</t>
  </si>
  <si>
    <t>BANGLE</t>
  </si>
  <si>
    <t>048711</t>
  </si>
  <si>
    <t>PJU REMBANG 2</t>
  </si>
  <si>
    <t>048599</t>
  </si>
  <si>
    <t>PJU BATUAJI 2</t>
  </si>
  <si>
    <t>BATUAJI RGN.REJO</t>
  </si>
  <si>
    <t>048777</t>
  </si>
  <si>
    <t>PJU SLUMBUNG</t>
  </si>
  <si>
    <t>048361</t>
  </si>
  <si>
    <t>PJU JEMEKAN</t>
  </si>
  <si>
    <t>048538</t>
  </si>
  <si>
    <t>PJU BADAL</t>
  </si>
  <si>
    <t>BADAL</t>
  </si>
  <si>
    <t>048764</t>
  </si>
  <si>
    <t>PJU SUMBEREJO</t>
  </si>
  <si>
    <t>048661</t>
  </si>
  <si>
    <t>PJU PURWOKERTO</t>
  </si>
  <si>
    <t>PURWOKERTO</t>
  </si>
  <si>
    <t>048299</t>
  </si>
  <si>
    <t>PJU KARANGREJO 2</t>
  </si>
  <si>
    <t>KARANGREJO</t>
  </si>
  <si>
    <t>048761</t>
  </si>
  <si>
    <t>PJU DAWUNG 4</t>
  </si>
  <si>
    <t>048307</t>
  </si>
  <si>
    <t>PJU DEYENG 1</t>
  </si>
  <si>
    <t>DEYENG</t>
  </si>
  <si>
    <t>048570</t>
  </si>
  <si>
    <t>048417</t>
  </si>
  <si>
    <t>PJU DAWUNG 2</t>
  </si>
  <si>
    <t>048537</t>
  </si>
  <si>
    <t>PJU DEYENG 7</t>
  </si>
  <si>
    <t>048502</t>
  </si>
  <si>
    <t>PJU NGADILUWIH</t>
  </si>
  <si>
    <t>048587</t>
  </si>
  <si>
    <t>PJU BEDUG</t>
  </si>
  <si>
    <t>048400</t>
  </si>
  <si>
    <t>PJU NGADILOYO</t>
  </si>
  <si>
    <t>NGADILOYO</t>
  </si>
  <si>
    <t>048559</t>
  </si>
  <si>
    <t>048354</t>
  </si>
  <si>
    <t>PJU TALES</t>
  </si>
  <si>
    <t>048582</t>
  </si>
  <si>
    <t>PJU WERU</t>
  </si>
  <si>
    <t>048781</t>
  </si>
  <si>
    <t>PJU KARANGREJO 3</t>
  </si>
  <si>
    <t>048660</t>
  </si>
  <si>
    <t>PJU TALES SELATAN</t>
  </si>
  <si>
    <t>048500</t>
  </si>
  <si>
    <t>PJU DEYENG 5</t>
  </si>
  <si>
    <t>048751</t>
  </si>
  <si>
    <t>PJU DAWUNG 1</t>
  </si>
  <si>
    <t>DAWUNG RINGINREJO</t>
  </si>
  <si>
    <t>048470</t>
  </si>
  <si>
    <t>PJU NGRECO</t>
  </si>
  <si>
    <t>NGRECO</t>
  </si>
  <si>
    <t>048409</t>
  </si>
  <si>
    <t>PJU NGADIREJO 1</t>
  </si>
  <si>
    <t>048601</t>
  </si>
  <si>
    <t>PJU BRANGGAHAN 1</t>
  </si>
  <si>
    <t>048319</t>
  </si>
  <si>
    <t>PJU SAMBI 3</t>
  </si>
  <si>
    <t>048692</t>
  </si>
  <si>
    <t>PJU DEYENG 6</t>
  </si>
  <si>
    <t>DEYENG KANDAT</t>
  </si>
  <si>
    <t>048418</t>
  </si>
  <si>
    <t>PJU TALES 1</t>
  </si>
  <si>
    <t>048802</t>
  </si>
  <si>
    <t>PJU BRANGGAHAN</t>
  </si>
  <si>
    <t>048468</t>
  </si>
  <si>
    <t>PJU SAMBI BARAT</t>
  </si>
  <si>
    <t>SAMBI</t>
  </si>
  <si>
    <t>048353</t>
  </si>
  <si>
    <t>PJU DEYENG 3</t>
  </si>
  <si>
    <t>PATILALER DEYENG</t>
  </si>
  <si>
    <t>048268</t>
  </si>
  <si>
    <t>PJU SELOSARI 1</t>
  </si>
  <si>
    <t>SELOSARI</t>
  </si>
  <si>
    <t>048459</t>
  </si>
  <si>
    <t>PJU DAWUNG 5</t>
  </si>
  <si>
    <t>048533</t>
  </si>
  <si>
    <t>048343</t>
  </si>
  <si>
    <t>PJU CENDONO 3</t>
  </si>
  <si>
    <t>048696</t>
  </si>
  <si>
    <t>PJU SLUMBUNG 2</t>
  </si>
  <si>
    <t>048600</t>
  </si>
  <si>
    <t>PJU CENDONO 4</t>
  </si>
  <si>
    <t>DUMPUNG</t>
  </si>
  <si>
    <t>048531</t>
  </si>
  <si>
    <t>PJU SELOMANEN</t>
  </si>
  <si>
    <t>SELOMANEN</t>
  </si>
  <si>
    <t>048650</t>
  </si>
  <si>
    <t>048345</t>
  </si>
  <si>
    <t>PJU DSN TUGUREJO</t>
  </si>
  <si>
    <t>DUSUN TUGUREJO</t>
  </si>
  <si>
    <t>048434</t>
  </si>
  <si>
    <t>PJU JAMEKAN</t>
  </si>
  <si>
    <t>JAMEKAN</t>
  </si>
  <si>
    <t>048677</t>
  </si>
  <si>
    <t>PJU  POJOK</t>
  </si>
  <si>
    <t>POJOK WATES</t>
  </si>
  <si>
    <t>048416</t>
  </si>
  <si>
    <t>PJU NGERCO</t>
  </si>
  <si>
    <t>NGERCO</t>
  </si>
  <si>
    <t>048333</t>
  </si>
  <si>
    <t>PJU  BEDUG</t>
  </si>
  <si>
    <t>048596</t>
  </si>
  <si>
    <t>PJU KARTOSARI</t>
  </si>
  <si>
    <t>KARTOSARI KANDAT</t>
  </si>
  <si>
    <t>048608</t>
  </si>
  <si>
    <t>BANJARANYAR</t>
  </si>
  <si>
    <t>048323</t>
  </si>
  <si>
    <t>PJU  PAGU 1</t>
  </si>
  <si>
    <t>048639</t>
  </si>
  <si>
    <t>048737</t>
  </si>
  <si>
    <t>PJU CENDONO</t>
  </si>
  <si>
    <t>CENDONO KANDAT</t>
  </si>
  <si>
    <t>048507</t>
  </si>
  <si>
    <t>PJU JAMBEAN SEKETI</t>
  </si>
  <si>
    <t>JAMBEAN SEKETI</t>
  </si>
  <si>
    <t>048448</t>
  </si>
  <si>
    <t>048385</t>
  </si>
  <si>
    <t>PJU JAMBEAN</t>
  </si>
  <si>
    <t>JAMBEAN</t>
  </si>
  <si>
    <t>048362</t>
  </si>
  <si>
    <t>PJU POJOJK 2 WATES</t>
  </si>
  <si>
    <t>048592</t>
  </si>
  <si>
    <t>PJU BATUAJI</t>
  </si>
  <si>
    <t>048586</t>
  </si>
  <si>
    <t>PJU BANJARANYAR 2</t>
  </si>
  <si>
    <t>048562</t>
  </si>
  <si>
    <t>PJU TEGALAN</t>
  </si>
  <si>
    <t>048413</t>
  </si>
  <si>
    <t>048458</t>
  </si>
  <si>
    <t>048755</t>
  </si>
  <si>
    <t>SELODONO</t>
  </si>
  <si>
    <t>048695</t>
  </si>
  <si>
    <t>PJU PAGU</t>
  </si>
  <si>
    <t>048491</t>
  </si>
  <si>
    <t>RINGINSARI</t>
  </si>
  <si>
    <t>048290</t>
  </si>
  <si>
    <t>PJU PELAS 2</t>
  </si>
  <si>
    <t>PELAS</t>
  </si>
  <si>
    <t>048272</t>
  </si>
  <si>
    <t>PJU  WONOREJO</t>
  </si>
  <si>
    <t>048770</t>
  </si>
  <si>
    <t>PJU JAMBEAN 2</t>
  </si>
  <si>
    <t>048452</t>
  </si>
  <si>
    <t>PJU NGRECO 2</t>
  </si>
  <si>
    <t>048647</t>
  </si>
  <si>
    <t>PJU DS. NGLETIH</t>
  </si>
  <si>
    <t>NGLETIH</t>
  </si>
  <si>
    <t>048511</t>
  </si>
  <si>
    <t>PJU  PULE</t>
  </si>
  <si>
    <t>048772</t>
  </si>
  <si>
    <t>SUSUH BANGO</t>
  </si>
  <si>
    <t>048472</t>
  </si>
  <si>
    <t>048713</t>
  </si>
  <si>
    <t>PJU NGLETIH 2</t>
  </si>
  <si>
    <t>048303</t>
  </si>
  <si>
    <t>PJU PAGU  2</t>
  </si>
  <si>
    <t>048428</t>
  </si>
  <si>
    <t>048449</t>
  </si>
  <si>
    <t>PJU BADAL 2</t>
  </si>
  <si>
    <t>048667</t>
  </si>
  <si>
    <t>048621</t>
  </si>
  <si>
    <t>048655</t>
  </si>
  <si>
    <t>048610</t>
  </si>
  <si>
    <t>PJU GONDANG</t>
  </si>
  <si>
    <t>KRONCONG</t>
  </si>
  <si>
    <t>048747</t>
  </si>
  <si>
    <t>PJU BADAL 1</t>
  </si>
  <si>
    <t>048392</t>
  </si>
  <si>
    <t>PJU BLEBER PELAS</t>
  </si>
  <si>
    <t>BLEBER</t>
  </si>
  <si>
    <t>048637</t>
  </si>
  <si>
    <t>PJU  REMBANG</t>
  </si>
  <si>
    <t>048505</t>
  </si>
  <si>
    <t>048573</t>
  </si>
  <si>
    <t>PJU DS SELODONO BARU</t>
  </si>
  <si>
    <t>048583</t>
  </si>
  <si>
    <t>PJU  PELAS</t>
  </si>
  <si>
    <t>048264</t>
  </si>
  <si>
    <t>PJU BANGLE JEMBATAN NGADI</t>
  </si>
  <si>
    <t>BANGGLE</t>
  </si>
  <si>
    <t>063613</t>
  </si>
  <si>
    <t>PJU PULE KANDAT1</t>
  </si>
  <si>
    <t>047348</t>
  </si>
  <si>
    <t>PJU PULE KANDAT 2</t>
  </si>
  <si>
    <t>056916</t>
  </si>
  <si>
    <t>PJU PULE KANDAT 3</t>
  </si>
  <si>
    <t>065787</t>
  </si>
  <si>
    <t>PJU PERUM RAYA CITRA HARM</t>
  </si>
  <si>
    <t>RAYACITRA HARMONY 3</t>
  </si>
  <si>
    <t>003233</t>
  </si>
  <si>
    <t>PJU PR GREEN REMBANG PERM</t>
  </si>
  <si>
    <t>PERUMAHAN GREEN REMBANG PERMAI</t>
  </si>
  <si>
    <t>048424</t>
  </si>
  <si>
    <t>PJU ALAM TERATAI 2</t>
  </si>
  <si>
    <t>ALAM TERATAI II</t>
  </si>
  <si>
    <t>005148</t>
  </si>
  <si>
    <t>HERU P.</t>
  </si>
  <si>
    <t>DUKUH VIEW</t>
  </si>
  <si>
    <t>048388</t>
  </si>
  <si>
    <t>SULISTYOWATI</t>
  </si>
  <si>
    <t>GREEN VIEW</t>
  </si>
  <si>
    <t>048259</t>
  </si>
  <si>
    <t>POS BANJAREJO VIEW</t>
  </si>
  <si>
    <t>BANJAREJO KEC.NGADILUWIH</t>
  </si>
  <si>
    <t>048557</t>
  </si>
  <si>
    <t>POS BEDUG VIEW</t>
  </si>
  <si>
    <t>BEDUG VIEW</t>
  </si>
  <si>
    <t>001044</t>
  </si>
  <si>
    <t>PJU PR JOHO VIEW</t>
  </si>
  <si>
    <t>JOHO VIEW</t>
  </si>
  <si>
    <t>048372</t>
  </si>
  <si>
    <t>PJU REI HARMONI</t>
  </si>
  <si>
    <t>006609</t>
  </si>
  <si>
    <t>PJU PR GREEN BANJAREJO</t>
  </si>
  <si>
    <t>PERUMAHAN GREEN BANJAREJO RESI</t>
  </si>
  <si>
    <t>048544</t>
  </si>
  <si>
    <t>048654</t>
  </si>
  <si>
    <t>JUMLAH ULP NGADILUWIH</t>
  </si>
  <si>
    <t>WILAYAH ULP GROGOL</t>
  </si>
  <si>
    <t>514110356294</t>
  </si>
  <si>
    <t>PJU DS WONOASRI EN287 (M)</t>
  </si>
  <si>
    <t>RAYA WONOASRI</t>
  </si>
  <si>
    <t>000531</t>
  </si>
  <si>
    <t>514110483609</t>
  </si>
  <si>
    <t>PJU BULUSARI EN359 (M)</t>
  </si>
  <si>
    <t>000324</t>
  </si>
  <si>
    <t>514110485031</t>
  </si>
  <si>
    <t>PJU DESA CERME EN069 (M)</t>
  </si>
  <si>
    <t>CERME</t>
  </si>
  <si>
    <t>000659</t>
  </si>
  <si>
    <t>514110502764</t>
  </si>
  <si>
    <t>PJU MAESAN EN311 (M)</t>
  </si>
  <si>
    <t>MAESAN</t>
  </si>
  <si>
    <t>000403</t>
  </si>
  <si>
    <t>514110502772</t>
  </si>
  <si>
    <t>PJU NGADI EN114 (M)</t>
  </si>
  <si>
    <t>NGADI</t>
  </si>
  <si>
    <t>000524</t>
  </si>
  <si>
    <t>514110502780</t>
  </si>
  <si>
    <t>PJU DS JUGO</t>
  </si>
  <si>
    <t>JUGO</t>
  </si>
  <si>
    <t>000444</t>
  </si>
  <si>
    <t>514110546290</t>
  </si>
  <si>
    <t>PJU DN KASIHAN EN387 (M)</t>
  </si>
  <si>
    <t>KASIHAN MANYARAN</t>
  </si>
  <si>
    <t>000268</t>
  </si>
  <si>
    <t>514110551895</t>
  </si>
  <si>
    <t>PJU JL GRINGGING EN048</t>
  </si>
  <si>
    <t>RAYA GRINGGING</t>
  </si>
  <si>
    <t>000295</t>
  </si>
  <si>
    <t>514110551917</t>
  </si>
  <si>
    <t>PJU TAMBIBENDO EN188 (M)</t>
  </si>
  <si>
    <t>TAMBIBENDO - PLOSO</t>
  </si>
  <si>
    <t>000256</t>
  </si>
  <si>
    <t>514110553562</t>
  </si>
  <si>
    <t>PJU BANYAKAN EN156 (M)</t>
  </si>
  <si>
    <t>RAYA BANYAKAN</t>
  </si>
  <si>
    <t>514110558402</t>
  </si>
  <si>
    <t>PJU TAROKAN EN520 (M)</t>
  </si>
  <si>
    <t>TAROKAN</t>
  </si>
  <si>
    <t>000599</t>
  </si>
  <si>
    <t>514110558410</t>
  </si>
  <si>
    <t>PJU MAESAN EN635 (M)</t>
  </si>
  <si>
    <t>KEMAYAN MAESAN</t>
  </si>
  <si>
    <t>000181</t>
  </si>
  <si>
    <t>514110559239</t>
  </si>
  <si>
    <t>PJU PERBATASAN KOTA - KAB</t>
  </si>
  <si>
    <t>MARON BANYAKAN</t>
  </si>
  <si>
    <t>000199</t>
  </si>
  <si>
    <t>514110574514</t>
  </si>
  <si>
    <t>PJU MAKAM GUS MIK (M)</t>
  </si>
  <si>
    <t>TAMBAK</t>
  </si>
  <si>
    <t>000024</t>
  </si>
  <si>
    <t>514110582169</t>
  </si>
  <si>
    <t>GEBANGKEREP TAROKAN</t>
  </si>
  <si>
    <t>000089</t>
  </si>
  <si>
    <t>514110583009</t>
  </si>
  <si>
    <t>PJU 16 MERC DS PUHRUBUH</t>
  </si>
  <si>
    <t>PETUK PUHRUBUH</t>
  </si>
  <si>
    <t>000341</t>
  </si>
  <si>
    <t>514110588504</t>
  </si>
  <si>
    <t>PJU PLOSO EN335 (M)</t>
  </si>
  <si>
    <t>PLOSO MOJO</t>
  </si>
  <si>
    <t>514110590218</t>
  </si>
  <si>
    <t>PJU PETOK EN480 (M)</t>
  </si>
  <si>
    <t>PETOK MOJO</t>
  </si>
  <si>
    <t>000191</t>
  </si>
  <si>
    <t>514110590226</t>
  </si>
  <si>
    <t>PJU PETOK EN363</t>
  </si>
  <si>
    <t>000183</t>
  </si>
  <si>
    <t>514110590291</t>
  </si>
  <si>
    <t>PJU MARON EN155 (M)</t>
  </si>
  <si>
    <t>000120</t>
  </si>
  <si>
    <t>514110590313</t>
  </si>
  <si>
    <t>PJU BANYAKAN EN431 (M)</t>
  </si>
  <si>
    <t>BANYAKAN</t>
  </si>
  <si>
    <t>514110615896</t>
  </si>
  <si>
    <t>PJU KRANDING T. 464/312</t>
  </si>
  <si>
    <t>KRANDING</t>
  </si>
  <si>
    <t>000543</t>
  </si>
  <si>
    <t>514110615900</t>
  </si>
  <si>
    <t>PJU MLATI EN187 (M)</t>
  </si>
  <si>
    <t>MLATI</t>
  </si>
  <si>
    <t>000621</t>
  </si>
  <si>
    <t>514110615918</t>
  </si>
  <si>
    <t>PJU KENITEN EN365 (M)</t>
  </si>
  <si>
    <t>KENITEN MOJO</t>
  </si>
  <si>
    <t>000550</t>
  </si>
  <si>
    <t>514110615926</t>
  </si>
  <si>
    <t>PJU DS MAESAN T. 310/635</t>
  </si>
  <si>
    <t>MAESAN MOJO</t>
  </si>
  <si>
    <t>000166</t>
  </si>
  <si>
    <t>514110615942</t>
  </si>
  <si>
    <t>PJU PTROTO T.653/654/45</t>
  </si>
  <si>
    <t>PETUNGROTO</t>
  </si>
  <si>
    <t>000380</t>
  </si>
  <si>
    <t>514110615959</t>
  </si>
  <si>
    <t>PJU DS PETOK  T 480</t>
  </si>
  <si>
    <t>000474</t>
  </si>
  <si>
    <t>514110615967</t>
  </si>
  <si>
    <t>PJU CENGKOK EN562 (M)</t>
  </si>
  <si>
    <t>CENGKOK</t>
  </si>
  <si>
    <t>000225</t>
  </si>
  <si>
    <t>514110615975</t>
  </si>
  <si>
    <t>PJU T. 13,14,15,16,359</t>
  </si>
  <si>
    <t>BULUSARI TAROKAN</t>
  </si>
  <si>
    <t>000653</t>
  </si>
  <si>
    <t>514110615983</t>
  </si>
  <si>
    <t>PJU SBDUREN EN509</t>
  </si>
  <si>
    <t>SUMBERDUREN</t>
  </si>
  <si>
    <t>000487</t>
  </si>
  <si>
    <t>514110615991</t>
  </si>
  <si>
    <t>PJU DS KALIBOTO T. 360</t>
  </si>
  <si>
    <t>KALIBOTO</t>
  </si>
  <si>
    <t>000094</t>
  </si>
  <si>
    <t>514110616019</t>
  </si>
  <si>
    <t>PJU SNREJO T.287/440/575</t>
  </si>
  <si>
    <t>SONOREJO GROGOL</t>
  </si>
  <si>
    <t>000001</t>
  </si>
  <si>
    <t>514110616035</t>
  </si>
  <si>
    <t>PJU DS BEDREK T. 384</t>
  </si>
  <si>
    <t>BEDREK GROGOL</t>
  </si>
  <si>
    <t>000420</t>
  </si>
  <si>
    <t>514110616043</t>
  </si>
  <si>
    <t>PJU DS KALIPANG T. 660</t>
  </si>
  <si>
    <t>GROGOL DS GROGOL</t>
  </si>
  <si>
    <t>000436</t>
  </si>
  <si>
    <t>514110616050</t>
  </si>
  <si>
    <t>PJU SENDANG EN439 (M)</t>
  </si>
  <si>
    <t>SENDANG BANYAKAN</t>
  </si>
  <si>
    <t>000121</t>
  </si>
  <si>
    <t>514110616068</t>
  </si>
  <si>
    <t>PJU DS PARANG T. 619/620</t>
  </si>
  <si>
    <t>DS PARANG</t>
  </si>
  <si>
    <t>000235</t>
  </si>
  <si>
    <t>514110616076</t>
  </si>
  <si>
    <t>PJU T. 655/414/171</t>
  </si>
  <si>
    <t>PUHSARANG</t>
  </si>
  <si>
    <t>000336</t>
  </si>
  <si>
    <t>514110616084</t>
  </si>
  <si>
    <t>PJU DS PUHRUBUH EN278 (M)</t>
  </si>
  <si>
    <t>000440</t>
  </si>
  <si>
    <t>514110665598</t>
  </si>
  <si>
    <t>PJU BANYAKAN (M)</t>
  </si>
  <si>
    <t>000092</t>
  </si>
  <si>
    <t>514110665601</t>
  </si>
  <si>
    <t>PJU KNT KEC BANYAKAN (M)</t>
  </si>
  <si>
    <t>000056</t>
  </si>
  <si>
    <t>514110675140</t>
  </si>
  <si>
    <t>PJU DS JABON</t>
  </si>
  <si>
    <t>JABON KEC BANYAKAN</t>
  </si>
  <si>
    <t>000156</t>
  </si>
  <si>
    <t>514110675157</t>
  </si>
  <si>
    <t>PJU DS JATIREJO BANYAKAN</t>
  </si>
  <si>
    <t>JATIREJO BANYAKAN</t>
  </si>
  <si>
    <t>000041</t>
  </si>
  <si>
    <t>514110675165</t>
  </si>
  <si>
    <t>PJU DS MANYARAN BANYAKAN</t>
  </si>
  <si>
    <t>MANYARAN BANYAKAN</t>
  </si>
  <si>
    <t>000445</t>
  </si>
  <si>
    <t>514110675181</t>
  </si>
  <si>
    <t>PJU DS NGABLAK BANYAKAN</t>
  </si>
  <si>
    <t>NGABLAK</t>
  </si>
  <si>
    <t>000375</t>
  </si>
  <si>
    <t>514110675199</t>
  </si>
  <si>
    <t>PJU  SENDANG 1 EN439</t>
  </si>
  <si>
    <t>000158</t>
  </si>
  <si>
    <t>514110675202</t>
  </si>
  <si>
    <t>PJU DS TIRON</t>
  </si>
  <si>
    <t>TIRON</t>
  </si>
  <si>
    <t>000128</t>
  </si>
  <si>
    <t>514110675210</t>
  </si>
  <si>
    <t>PJU DS BAKALAN</t>
  </si>
  <si>
    <t>BAKALAN</t>
  </si>
  <si>
    <t>000246</t>
  </si>
  <si>
    <t>514110675228</t>
  </si>
  <si>
    <t>PJU DS GAMBYOK</t>
  </si>
  <si>
    <t>GAMBYOK</t>
  </si>
  <si>
    <t>000037</t>
  </si>
  <si>
    <t>514110675236</t>
  </si>
  <si>
    <t>PJU SEMBAK GROGOL</t>
  </si>
  <si>
    <t>SEMBAK</t>
  </si>
  <si>
    <t>000297</t>
  </si>
  <si>
    <t>514110675244</t>
  </si>
  <si>
    <t>PJU DS KALIPANG</t>
  </si>
  <si>
    <t>KALIPANG</t>
  </si>
  <si>
    <t>000083</t>
  </si>
  <si>
    <t>514110675251</t>
  </si>
  <si>
    <t>PJU KALIRONG TAROKAN</t>
  </si>
  <si>
    <t>KALIRONG</t>
  </si>
  <si>
    <t>000483</t>
  </si>
  <si>
    <t>514110675269</t>
  </si>
  <si>
    <t>PJU DS SONOREJO EN440 (M)</t>
  </si>
  <si>
    <t>514110675277</t>
  </si>
  <si>
    <t>PJU SUMBERJO EN444 (M)</t>
  </si>
  <si>
    <t>000360</t>
  </si>
  <si>
    <t>514110675285</t>
  </si>
  <si>
    <t>PJU DS WONOASRI GROGOL</t>
  </si>
  <si>
    <t>WONOASRI</t>
  </si>
  <si>
    <t>000548</t>
  </si>
  <si>
    <t>514110675293</t>
  </si>
  <si>
    <t>PJU DS BLIMBING MOJO</t>
  </si>
  <si>
    <t>BLIMBING MOJO</t>
  </si>
  <si>
    <t>000265</t>
  </si>
  <si>
    <t>514110675315</t>
  </si>
  <si>
    <t>PJU BADUT - PTGSEWU JUGO</t>
  </si>
  <si>
    <t>BADUT JUGO MOJO</t>
  </si>
  <si>
    <t>000278</t>
  </si>
  <si>
    <t>514110675323</t>
  </si>
  <si>
    <t>PJU DS KRATON MOJO</t>
  </si>
  <si>
    <t>KRATON</t>
  </si>
  <si>
    <t>000409</t>
  </si>
  <si>
    <t>514110675356</t>
  </si>
  <si>
    <t>PJU DS NGETREP MOJO</t>
  </si>
  <si>
    <t>NGETREP KEC MOJO</t>
  </si>
  <si>
    <t>000020</t>
  </si>
  <si>
    <t>514110675372</t>
  </si>
  <si>
    <t>PJU PLOSO EN189 (M)</t>
  </si>
  <si>
    <t>000556</t>
  </si>
  <si>
    <t>514110675419</t>
  </si>
  <si>
    <t>PJU DS SEMEN EN239 (M)</t>
  </si>
  <si>
    <t>BOBANG</t>
  </si>
  <si>
    <t>000340</t>
  </si>
  <si>
    <t>514110675435</t>
  </si>
  <si>
    <t>PJU DS PAGUNG</t>
  </si>
  <si>
    <t>JOHO SEMEN</t>
  </si>
  <si>
    <t>000187</t>
  </si>
  <si>
    <t>514110675443</t>
  </si>
  <si>
    <t>PJU DS KANYORAN</t>
  </si>
  <si>
    <t>KANYORAN</t>
  </si>
  <si>
    <t>000390</t>
  </si>
  <si>
    <t>514110675450</t>
  </si>
  <si>
    <t>PJU DS KEDAK</t>
  </si>
  <si>
    <t>KEDAK</t>
  </si>
  <si>
    <t>000519</t>
  </si>
  <si>
    <t>514110675476</t>
  </si>
  <si>
    <t>PJU SIDOMULYO SEMEN</t>
  </si>
  <si>
    <t>SIDOMULYO SEMEN</t>
  </si>
  <si>
    <t>000389</t>
  </si>
  <si>
    <t>514110675484</t>
  </si>
  <si>
    <t>PJU DS TITIK EN445 (M)</t>
  </si>
  <si>
    <t>TITIK</t>
  </si>
  <si>
    <t>000179</t>
  </si>
  <si>
    <t>514110675492</t>
  </si>
  <si>
    <t>PJU BULUSARI EN359</t>
  </si>
  <si>
    <t>000602</t>
  </si>
  <si>
    <t>514110675506</t>
  </si>
  <si>
    <t>PJU DS KEDUNGSARI</t>
  </si>
  <si>
    <t>KEDUNGSARI TAROKAN</t>
  </si>
  <si>
    <t>000236</t>
  </si>
  <si>
    <t>514110684649</t>
  </si>
  <si>
    <t>PJU JL TAMBANGAN MLATI</t>
  </si>
  <si>
    <t>000061</t>
  </si>
  <si>
    <t>514110684656</t>
  </si>
  <si>
    <t>PJU JL TAMBANGAN MAESAN</t>
  </si>
  <si>
    <t>000240</t>
  </si>
  <si>
    <t>514110696626</t>
  </si>
  <si>
    <t>PJU T 239 SEMEN</t>
  </si>
  <si>
    <t>SLAMET RIYADI SMN</t>
  </si>
  <si>
    <t>000261</t>
  </si>
  <si>
    <t>514110696634</t>
  </si>
  <si>
    <t>PJU JL ARGOWILIS</t>
  </si>
  <si>
    <t>ARGOWILIS SEMEN</t>
  </si>
  <si>
    <t>000095</t>
  </si>
  <si>
    <t>514110696642</t>
  </si>
  <si>
    <t>PJU DS BOBANG T. 109</t>
  </si>
  <si>
    <t>KEDAK SEMEN</t>
  </si>
  <si>
    <t>000385</t>
  </si>
  <si>
    <t>514110696659</t>
  </si>
  <si>
    <t>PJU JL RAYA MONDO</t>
  </si>
  <si>
    <t>MONDO TIMUR</t>
  </si>
  <si>
    <t>000190</t>
  </si>
  <si>
    <t>514110696675</t>
  </si>
  <si>
    <t>PJU BESUKI JUGO</t>
  </si>
  <si>
    <t>BESUKI JUGO</t>
  </si>
  <si>
    <t>000281</t>
  </si>
  <si>
    <t>514110742206</t>
  </si>
  <si>
    <t>PJU DN BESUKI</t>
  </si>
  <si>
    <t>BESUKI</t>
  </si>
  <si>
    <t>000493</t>
  </si>
  <si>
    <t>514110742214</t>
  </si>
  <si>
    <t>000393</t>
  </si>
  <si>
    <t>514110793921</t>
  </si>
  <si>
    <t>PJU DN BEDREK T 384 (M)</t>
  </si>
  <si>
    <t>BEDREK</t>
  </si>
  <si>
    <t>514110793939</t>
  </si>
  <si>
    <t>PJU DS CERME T 120 (M)</t>
  </si>
  <si>
    <t>000580</t>
  </si>
  <si>
    <t>514110793947</t>
  </si>
  <si>
    <t>PJU DN KRAMPYANG T 94 (M)</t>
  </si>
  <si>
    <t>KRAMPYANG</t>
  </si>
  <si>
    <t>000616</t>
  </si>
  <si>
    <t>514110793954</t>
  </si>
  <si>
    <t>PJU DS BOBANG EN362 (M)</t>
  </si>
  <si>
    <t>000397</t>
  </si>
  <si>
    <t>202410</t>
  </si>
  <si>
    <t>514110793962</t>
  </si>
  <si>
    <t>PJU DS PAGUNG T 003 (M)</t>
  </si>
  <si>
    <t>GETUK</t>
  </si>
  <si>
    <t>000596</t>
  </si>
  <si>
    <t>514110793970</t>
  </si>
  <si>
    <t>PJU DS PAGUNG T 053 (M)</t>
  </si>
  <si>
    <t>PAGUNG</t>
  </si>
  <si>
    <t>000498</t>
  </si>
  <si>
    <t>514110793988</t>
  </si>
  <si>
    <t>PJU SIDOMULYO T 077 (M)</t>
  </si>
  <si>
    <t>RAYA</t>
  </si>
  <si>
    <t>000039</t>
  </si>
  <si>
    <t>514110793996</t>
  </si>
  <si>
    <t>PJU DS BOBANG T 109 (M)</t>
  </si>
  <si>
    <t>000303</t>
  </si>
  <si>
    <t>514110794007</t>
  </si>
  <si>
    <t>PJU DS PUHRUBUH EN279 (M)</t>
  </si>
  <si>
    <t>PUHRUBUH</t>
  </si>
  <si>
    <t>000182</t>
  </si>
  <si>
    <t>514110794015</t>
  </si>
  <si>
    <t>PJU DS MOJO EN496 (M)</t>
  </si>
  <si>
    <t>JURUSAN BESUKI</t>
  </si>
  <si>
    <t>000162</t>
  </si>
  <si>
    <t>514110794023</t>
  </si>
  <si>
    <t>PJU DS PAGUNG EN565 (M)</t>
  </si>
  <si>
    <t>PAGUNG SEMEN</t>
  </si>
  <si>
    <t>000135</t>
  </si>
  <si>
    <t>514110794031</t>
  </si>
  <si>
    <t>PJU DS JOHO EN566 (M)</t>
  </si>
  <si>
    <t>000028</t>
  </si>
  <si>
    <t>514110794049</t>
  </si>
  <si>
    <t>PJU JOHO EN566 B4A10(M)</t>
  </si>
  <si>
    <t>000430</t>
  </si>
  <si>
    <t>514110794056</t>
  </si>
  <si>
    <t>PJU SLPANGGUNG EN648 (M)</t>
  </si>
  <si>
    <t>SELOPANGGUNG</t>
  </si>
  <si>
    <t>000534</t>
  </si>
  <si>
    <t>514110794064</t>
  </si>
  <si>
    <t>PJU SELOTOPENG EN055 (M)</t>
  </si>
  <si>
    <t>SELOTOPENG</t>
  </si>
  <si>
    <t>000562</t>
  </si>
  <si>
    <t>514110794072</t>
  </si>
  <si>
    <t>PJU TIRON EN073 (M)</t>
  </si>
  <si>
    <t>SUMBERBENDO</t>
  </si>
  <si>
    <t>000553</t>
  </si>
  <si>
    <t>514110794080</t>
  </si>
  <si>
    <t>PJU DS PARANG EN087 (M)</t>
  </si>
  <si>
    <t>PARANG</t>
  </si>
  <si>
    <t>000209</t>
  </si>
  <si>
    <t>514110794098</t>
  </si>
  <si>
    <t>PJU DS MANYARAN EN435 (M)</t>
  </si>
  <si>
    <t>MANYARAN</t>
  </si>
  <si>
    <t>000357</t>
  </si>
  <si>
    <t>514110794102</t>
  </si>
  <si>
    <t>PJU TIRON EN436 (M)</t>
  </si>
  <si>
    <t>SAMBIREJO TIRON</t>
  </si>
  <si>
    <t>000366</t>
  </si>
  <si>
    <t>514110794110</t>
  </si>
  <si>
    <t>PJU JATIREJO EN437 (M)</t>
  </si>
  <si>
    <t>DAHU</t>
  </si>
  <si>
    <t>000189</t>
  </si>
  <si>
    <t>514110794128</t>
  </si>
  <si>
    <t>PJU JATIREJO EN438 (M)</t>
  </si>
  <si>
    <t>GONDANGREJO</t>
  </si>
  <si>
    <t>000171</t>
  </si>
  <si>
    <t>514110794136</t>
  </si>
  <si>
    <t>PJU DN COWEKAN EN605 (M)</t>
  </si>
  <si>
    <t>COWEKAN</t>
  </si>
  <si>
    <t>000521</t>
  </si>
  <si>
    <t>514110794144</t>
  </si>
  <si>
    <t>PJU SEMBAK EN068 (M)</t>
  </si>
  <si>
    <t>000306</t>
  </si>
  <si>
    <t>514110799820</t>
  </si>
  <si>
    <t>PJU PAMONGAN EN020 (M)</t>
  </si>
  <si>
    <t>TUMPAKDORO</t>
  </si>
  <si>
    <t>000485</t>
  </si>
  <si>
    <t>514110799838</t>
  </si>
  <si>
    <t>PJU NGETREP EN018  (M)</t>
  </si>
  <si>
    <t>NGETREP</t>
  </si>
  <si>
    <t>514110799846</t>
  </si>
  <si>
    <t>PJU NGETREP EN017 (M)</t>
  </si>
  <si>
    <t>000270</t>
  </si>
  <si>
    <t>514110799853</t>
  </si>
  <si>
    <t>PJU JUGO EN672 (M)</t>
  </si>
  <si>
    <t>000457</t>
  </si>
  <si>
    <t>514110799861</t>
  </si>
  <si>
    <t>PJU PARANG EN177 (M)</t>
  </si>
  <si>
    <t>000441</t>
  </si>
  <si>
    <t>514110799879</t>
  </si>
  <si>
    <t>PJU TAROKAN EN031 (M)</t>
  </si>
  <si>
    <t>SUMBERPRING</t>
  </si>
  <si>
    <t>000038</t>
  </si>
  <si>
    <t>514110799887</t>
  </si>
  <si>
    <t>PJU SBDUREN EN510 (M)</t>
  </si>
  <si>
    <t>000072</t>
  </si>
  <si>
    <t>514110799895</t>
  </si>
  <si>
    <t>PJU KEDAWUNG 2 EN182 (M)</t>
  </si>
  <si>
    <t>KEDAWUNG MOJO</t>
  </si>
  <si>
    <t>000669</t>
  </si>
  <si>
    <t>514110799909</t>
  </si>
  <si>
    <t>PJU KEDAWUNG 1 EN182 (M)</t>
  </si>
  <si>
    <t>000330</t>
  </si>
  <si>
    <t>514110799917</t>
  </si>
  <si>
    <t>PJU SURAT 2 EN130 (M)</t>
  </si>
  <si>
    <t>NGAGLIK</t>
  </si>
  <si>
    <t>000346</t>
  </si>
  <si>
    <t>514110799925</t>
  </si>
  <si>
    <t>PJU MOJO EN118 (M)</t>
  </si>
  <si>
    <t>MOJO</t>
  </si>
  <si>
    <t>000520</t>
  </si>
  <si>
    <t>514110799933</t>
  </si>
  <si>
    <t>PJU KRATON 2 EN106 (M)</t>
  </si>
  <si>
    <t>000071</t>
  </si>
  <si>
    <t>514110799941</t>
  </si>
  <si>
    <t>PJU KRATON 1 EN106 (M)</t>
  </si>
  <si>
    <t>514110799958</t>
  </si>
  <si>
    <t>PJU PAGUNG EN075 (M)</t>
  </si>
  <si>
    <t>SEKARPUTIH</t>
  </si>
  <si>
    <t>000584</t>
  </si>
  <si>
    <t>514110799966</t>
  </si>
  <si>
    <t>PJU KEDAWUNG EN058 (M)</t>
  </si>
  <si>
    <t>JATIWEKAS</t>
  </si>
  <si>
    <t>000255</t>
  </si>
  <si>
    <t>514110799974</t>
  </si>
  <si>
    <t>PJU KENITEN EN107</t>
  </si>
  <si>
    <t>SUROWANGSANG</t>
  </si>
  <si>
    <t>000106</t>
  </si>
  <si>
    <t>514110799982</t>
  </si>
  <si>
    <t>PJU KENITEN EN049 (M)</t>
  </si>
  <si>
    <t>LEMAHJUNGKUR</t>
  </si>
  <si>
    <t>000503</t>
  </si>
  <si>
    <t>514110799990</t>
  </si>
  <si>
    <t>PJU NGETREP EN046</t>
  </si>
  <si>
    <t>BERUK NGETREP</t>
  </si>
  <si>
    <t>000145</t>
  </si>
  <si>
    <t>514110800004</t>
  </si>
  <si>
    <t>PJU NGETREP EN044 (M)</t>
  </si>
  <si>
    <t>TUMPAKPELEM NGETREP</t>
  </si>
  <si>
    <t>000358</t>
  </si>
  <si>
    <t>514110800012</t>
  </si>
  <si>
    <t>PJU BLIMBING EN036 (M)</t>
  </si>
  <si>
    <t>000476</t>
  </si>
  <si>
    <t>514110800020</t>
  </si>
  <si>
    <t>PJU SURAT EN034 (M)</t>
  </si>
  <si>
    <t>SURAT</t>
  </si>
  <si>
    <t>000404</t>
  </si>
  <si>
    <t>514110800038</t>
  </si>
  <si>
    <t>PJU PAMONGAN EN613 (M)</t>
  </si>
  <si>
    <t>PAMONGAN</t>
  </si>
  <si>
    <t>000274</t>
  </si>
  <si>
    <t>514110800046</t>
  </si>
  <si>
    <t>PJU PAMONGAN EN612 (M)</t>
  </si>
  <si>
    <t>000012</t>
  </si>
  <si>
    <t>514110800053</t>
  </si>
  <si>
    <t>PJU BLIMBING EN595 (M)</t>
  </si>
  <si>
    <t>000335</t>
  </si>
  <si>
    <t>514110800061</t>
  </si>
  <si>
    <t>PJU MAESAN EN568 (M(</t>
  </si>
  <si>
    <t>JASEM MAESAN</t>
  </si>
  <si>
    <t>514110800079</t>
  </si>
  <si>
    <t>PJU SUKOANYAR EN541 (M)</t>
  </si>
  <si>
    <t>SUKOANYAR</t>
  </si>
  <si>
    <t>000590</t>
  </si>
  <si>
    <t>514110800087</t>
  </si>
  <si>
    <t>PJU KENITEN EN050 (M)</t>
  </si>
  <si>
    <t>SUMBERDANDANG</t>
  </si>
  <si>
    <t>000214</t>
  </si>
  <si>
    <t>514110800095</t>
  </si>
  <si>
    <t>PJU MONDO 2 EN291 (M)</t>
  </si>
  <si>
    <t>000203</t>
  </si>
  <si>
    <t>514110800109</t>
  </si>
  <si>
    <t>PJU MONDO 1 EN291 (M)</t>
  </si>
  <si>
    <t>MONDO</t>
  </si>
  <si>
    <t>000289</t>
  </si>
  <si>
    <t>514110800117</t>
  </si>
  <si>
    <t>PJU SEMEN EN239 (M)</t>
  </si>
  <si>
    <t>000207</t>
  </si>
  <si>
    <t>514110800125</t>
  </si>
  <si>
    <t>PJU SIDOMULYO</t>
  </si>
  <si>
    <t>JABANG SIDOMULYO</t>
  </si>
  <si>
    <t>000364</t>
  </si>
  <si>
    <t>514110800133</t>
  </si>
  <si>
    <t>PJU SIDOMULYO EN185 (M)</t>
  </si>
  <si>
    <t>000091</t>
  </si>
  <si>
    <t>514110800141</t>
  </si>
  <si>
    <t>PJU KEDAWUNG 2 EN183 (M)</t>
  </si>
  <si>
    <t>000496</t>
  </si>
  <si>
    <t>514110800158</t>
  </si>
  <si>
    <t>PJU SUKOANYAR EN186</t>
  </si>
  <si>
    <t>000086</t>
  </si>
  <si>
    <t>514110800166</t>
  </si>
  <si>
    <t>PJU KEDAWUNG EN663</t>
  </si>
  <si>
    <t>TRITIS</t>
  </si>
  <si>
    <t>000384</t>
  </si>
  <si>
    <t>514110800174</t>
  </si>
  <si>
    <t>PJU PUHSARANG EN655 (M)</t>
  </si>
  <si>
    <t>NGLANGU</t>
  </si>
  <si>
    <t>514110800182</t>
  </si>
  <si>
    <t>PJU NGETREP EN644 (M)</t>
  </si>
  <si>
    <t>000011</t>
  </si>
  <si>
    <t>514110800190</t>
  </si>
  <si>
    <t>PJU SURAT EN634 (M)</t>
  </si>
  <si>
    <t>SELOREJO</t>
  </si>
  <si>
    <t>000617</t>
  </si>
  <si>
    <t>514110800203</t>
  </si>
  <si>
    <t>PJU PONGGOK EN618 (M)</t>
  </si>
  <si>
    <t>PONGGOK</t>
  </si>
  <si>
    <t>000595</t>
  </si>
  <si>
    <t>514110800211</t>
  </si>
  <si>
    <t>PJU PONGGOK EN617</t>
  </si>
  <si>
    <t>000164</t>
  </si>
  <si>
    <t>514110801790</t>
  </si>
  <si>
    <t>PJU SUMBERYUYU</t>
  </si>
  <si>
    <t>000154</t>
  </si>
  <si>
    <t>514110801803</t>
  </si>
  <si>
    <t>PJU KALIRONG EN560 (M)</t>
  </si>
  <si>
    <t>BECEK</t>
  </si>
  <si>
    <t>000139</t>
  </si>
  <si>
    <t>514110801811</t>
  </si>
  <si>
    <t>PJU TAROKAN EN656 (M)</t>
  </si>
  <si>
    <t>000359</t>
  </si>
  <si>
    <t>514110801829</t>
  </si>
  <si>
    <t>PJU TAROKAN EN025 (M)</t>
  </si>
  <si>
    <t>BUKAAN</t>
  </si>
  <si>
    <t>000334</t>
  </si>
  <si>
    <t>514110801837</t>
  </si>
  <si>
    <t>PJU TAROKAN 2 EN029 (M)</t>
  </si>
  <si>
    <t>514110801845</t>
  </si>
  <si>
    <t>PJU KALIRONG EN508 (M)</t>
  </si>
  <si>
    <t>ANGLINGDARMO</t>
  </si>
  <si>
    <t>000279</t>
  </si>
  <si>
    <t>514110801852</t>
  </si>
  <si>
    <t>PJU TAROKAN EN030 (M)</t>
  </si>
  <si>
    <t>SAGI</t>
  </si>
  <si>
    <t>000501</t>
  </si>
  <si>
    <t>514110801860</t>
  </si>
  <si>
    <t>PJU TAROKAN EN024 (M)</t>
  </si>
  <si>
    <t>JUDEL SUKOREJO</t>
  </si>
  <si>
    <t>000632</t>
  </si>
  <si>
    <t>514110804294</t>
  </si>
  <si>
    <t>PJU TAMBIBENDO 2 EN188(M)</t>
  </si>
  <si>
    <t>TAMBIBENDO</t>
  </si>
  <si>
    <t>000015</t>
  </si>
  <si>
    <t>514110825954</t>
  </si>
  <si>
    <t>PJU DS SLPGNG EN647 (A)</t>
  </si>
  <si>
    <t>TUNGGUL</t>
  </si>
  <si>
    <t>000177</t>
  </si>
  <si>
    <t>514110825988</t>
  </si>
  <si>
    <t>PJU DS BABADAN EN511 (A)</t>
  </si>
  <si>
    <t>BABADAN</t>
  </si>
  <si>
    <t>000030</t>
  </si>
  <si>
    <t>514110826014</t>
  </si>
  <si>
    <t>PJU DS SLPGNG EN645 (A)</t>
  </si>
  <si>
    <t>PLINGSANGAN</t>
  </si>
  <si>
    <t>000471</t>
  </si>
  <si>
    <t>514110826022</t>
  </si>
  <si>
    <t>PJU DS NGABLAK EN135 (A)</t>
  </si>
  <si>
    <t>000186</t>
  </si>
  <si>
    <t>514110826030</t>
  </si>
  <si>
    <t>PJU DS JABON 1 EN080 (A)</t>
  </si>
  <si>
    <t>JABON</t>
  </si>
  <si>
    <t>000662</t>
  </si>
  <si>
    <t>514110826055</t>
  </si>
  <si>
    <t>PJU DS SLPGNG EN134 (A)</t>
  </si>
  <si>
    <t>SUMBERAGUNG</t>
  </si>
  <si>
    <t>000117</t>
  </si>
  <si>
    <t>514110826071</t>
  </si>
  <si>
    <t>PJU DS PARANG EN033 (A)</t>
  </si>
  <si>
    <t>GOLIMAN</t>
  </si>
  <si>
    <t>000331</t>
  </si>
  <si>
    <t>514110826097</t>
  </si>
  <si>
    <t>PJU SLPANGGUNG EN646 (A)</t>
  </si>
  <si>
    <t>000421</t>
  </si>
  <si>
    <t>514110826135</t>
  </si>
  <si>
    <t>PJU DS BULU EN366 (A)</t>
  </si>
  <si>
    <t>BULUSAN</t>
  </si>
  <si>
    <t>000624</t>
  </si>
  <si>
    <t>514110826143</t>
  </si>
  <si>
    <t>PJU SLPANGGUNG EN649 (A)</t>
  </si>
  <si>
    <t>000110</t>
  </si>
  <si>
    <t>514110826168</t>
  </si>
  <si>
    <t>PJU DS MARON EN105 (A)</t>
  </si>
  <si>
    <t>MARON</t>
  </si>
  <si>
    <t>000618</t>
  </si>
  <si>
    <t>514110826176</t>
  </si>
  <si>
    <t>PJU DS NGABLAK EN298 (A)</t>
  </si>
  <si>
    <t>TANJUNG NGABLAK</t>
  </si>
  <si>
    <t>514110826184</t>
  </si>
  <si>
    <t>PJU DS JATIREJO EN438 (A)</t>
  </si>
  <si>
    <t>JATIREJO</t>
  </si>
  <si>
    <t>000184</t>
  </si>
  <si>
    <t>514110826192</t>
  </si>
  <si>
    <t>PJU DS BAKALAN EN055 (A)</t>
  </si>
  <si>
    <t>WINONGSARI</t>
  </si>
  <si>
    <t>000582</t>
  </si>
  <si>
    <t>514111051365</t>
  </si>
  <si>
    <t>PJU PERUM BUKIT PODANG 2</t>
  </si>
  <si>
    <t>BUKIT PODANG RESIDENCE</t>
  </si>
  <si>
    <t>514111094169</t>
  </si>
  <si>
    <t>PJU TIRON</t>
  </si>
  <si>
    <t>000528</t>
  </si>
  <si>
    <t>514111094177</t>
  </si>
  <si>
    <t>PJU PARANG</t>
  </si>
  <si>
    <t>000565</t>
  </si>
  <si>
    <t>514111094185</t>
  </si>
  <si>
    <t>PJU MANYARAN</t>
  </si>
  <si>
    <t>000395</t>
  </si>
  <si>
    <t>514111109175</t>
  </si>
  <si>
    <t>PJU DS KALIRONG EN 508</t>
  </si>
  <si>
    <t>000042</t>
  </si>
  <si>
    <t>514111109183</t>
  </si>
  <si>
    <t>PJU DS SONOREJO EN 575</t>
  </si>
  <si>
    <t>SONOREJO</t>
  </si>
  <si>
    <t>000252</t>
  </si>
  <si>
    <t>514111109191</t>
  </si>
  <si>
    <t>PJU DS SUMBER PRING EN031</t>
  </si>
  <si>
    <t>SUMBER PRING</t>
  </si>
  <si>
    <t>000266</t>
  </si>
  <si>
    <t>514111109204</t>
  </si>
  <si>
    <t>PJU DS SAWUR EN015</t>
  </si>
  <si>
    <t>SAWUR</t>
  </si>
  <si>
    <t>000587</t>
  </si>
  <si>
    <t>514111109212</t>
  </si>
  <si>
    <t>PJU DS SUMBERJO EN023</t>
  </si>
  <si>
    <t>000195</t>
  </si>
  <si>
    <t>514111109220</t>
  </si>
  <si>
    <t>PJU DS SELANG EN014</t>
  </si>
  <si>
    <t>SELANG</t>
  </si>
  <si>
    <t>000290</t>
  </si>
  <si>
    <t>514111109238</t>
  </si>
  <si>
    <t>PJU DS GAMBYOK EN 443</t>
  </si>
  <si>
    <t>000663</t>
  </si>
  <si>
    <t>514111109246</t>
  </si>
  <si>
    <t>PJU DS KALIRONG EN 051</t>
  </si>
  <si>
    <t>000651</t>
  </si>
  <si>
    <t>514111109253</t>
  </si>
  <si>
    <t>PJU DN BAKALAN EN168</t>
  </si>
  <si>
    <t>000079</t>
  </si>
  <si>
    <t>514111109261</t>
  </si>
  <si>
    <t>PJU MANYARAN EA022</t>
  </si>
  <si>
    <t>NGESONG MANYARAN</t>
  </si>
  <si>
    <t>000642</t>
  </si>
  <si>
    <t>514111109279</t>
  </si>
  <si>
    <t>000467</t>
  </si>
  <si>
    <t>514111109287</t>
  </si>
  <si>
    <t>PJU DS JABON EN217</t>
  </si>
  <si>
    <t>000155</t>
  </si>
  <si>
    <t>514111109295</t>
  </si>
  <si>
    <t>PJU DS DATENGAN EN 441</t>
  </si>
  <si>
    <t>DS DATENGAN</t>
  </si>
  <si>
    <t>514111109309</t>
  </si>
  <si>
    <t>PJU DS WINONGSARI EN028</t>
  </si>
  <si>
    <t>000535</t>
  </si>
  <si>
    <t>514111109317</t>
  </si>
  <si>
    <t>PJU DS GUNUNG BATOK EN016</t>
  </si>
  <si>
    <t>GUNUNG BATOK</t>
  </si>
  <si>
    <t>000463</t>
  </si>
  <si>
    <t>514111109325</t>
  </si>
  <si>
    <t>PJU DS KEDUNGSARI EN 525</t>
  </si>
  <si>
    <t>KEDUNGSARI</t>
  </si>
  <si>
    <t>000134</t>
  </si>
  <si>
    <t>514111109333</t>
  </si>
  <si>
    <t>PJU ARGOWILIS SEMEN EN084</t>
  </si>
  <si>
    <t>000373</t>
  </si>
  <si>
    <t>514111109341</t>
  </si>
  <si>
    <t>PJU DS NGADI EN 447</t>
  </si>
  <si>
    <t>000307</t>
  </si>
  <si>
    <t>514111109358</t>
  </si>
  <si>
    <t>PJU DS BULUSARI EN015</t>
  </si>
  <si>
    <t>BULUSARI</t>
  </si>
  <si>
    <t>000465</t>
  </si>
  <si>
    <t>514111109366</t>
  </si>
  <si>
    <t>PJU DS TAROKAN EN026</t>
  </si>
  <si>
    <t>000198</t>
  </si>
  <si>
    <t>514111109374</t>
  </si>
  <si>
    <t>PJU DS PUHSARANG EN414</t>
  </si>
  <si>
    <t>000333</t>
  </si>
  <si>
    <t>514111109382</t>
  </si>
  <si>
    <t>PJU DS PETUNGROTO EN 654</t>
  </si>
  <si>
    <t>000502</t>
  </si>
  <si>
    <t>514111109390</t>
  </si>
  <si>
    <t>PJU DS CENGKOK EN 563</t>
  </si>
  <si>
    <t>000228</t>
  </si>
  <si>
    <t>514111109403</t>
  </si>
  <si>
    <t>PJU DS SUMBERJO EN 444</t>
  </si>
  <si>
    <t>000319</t>
  </si>
  <si>
    <t>514111109411</t>
  </si>
  <si>
    <t>PJU DS BAKALAN EN286</t>
  </si>
  <si>
    <t>000427</t>
  </si>
  <si>
    <t>514111109429</t>
  </si>
  <si>
    <t>PJU DS GEMBYOK EN 442</t>
  </si>
  <si>
    <t>DS GEMBYOK</t>
  </si>
  <si>
    <t>514111109437</t>
  </si>
  <si>
    <t>PJU DS JABON EN104</t>
  </si>
  <si>
    <t>000575</t>
  </si>
  <si>
    <t>514111109445</t>
  </si>
  <si>
    <t>000200</t>
  </si>
  <si>
    <t>514111113067</t>
  </si>
  <si>
    <t>PJU DS MOJO 309 C7</t>
  </si>
  <si>
    <t>RAYA MOJO</t>
  </si>
  <si>
    <t>000601</t>
  </si>
  <si>
    <t>514111113075</t>
  </si>
  <si>
    <t>PJU DS KALIBOTO 119 A7</t>
  </si>
  <si>
    <t>000525</t>
  </si>
  <si>
    <t>514111113083</t>
  </si>
  <si>
    <t>PJU DS KALIPANG 610</t>
  </si>
  <si>
    <t>000355</t>
  </si>
  <si>
    <t>514111113091</t>
  </si>
  <si>
    <t>PJU DS MOJO 309 A1</t>
  </si>
  <si>
    <t>000424</t>
  </si>
  <si>
    <t>514111113105</t>
  </si>
  <si>
    <t>PJU DN BABADAN 511</t>
  </si>
  <si>
    <t xml:space="preserve"> DS</t>
  </si>
  <si>
    <t>BABATAN TIRON</t>
  </si>
  <si>
    <t>000646</t>
  </si>
  <si>
    <t>514111113113</t>
  </si>
  <si>
    <t>PJU DS BANYAKAN 559</t>
  </si>
  <si>
    <t>000031</t>
  </si>
  <si>
    <t>514111113121</t>
  </si>
  <si>
    <t>PJU DS JUGO 615 D1</t>
  </si>
  <si>
    <t>000153</t>
  </si>
  <si>
    <t>514111113139</t>
  </si>
  <si>
    <t>PJU DS NGETREP 643</t>
  </si>
  <si>
    <t>000442</t>
  </si>
  <si>
    <t>514111113147</t>
  </si>
  <si>
    <t>PJU DS KALIPANG 96</t>
  </si>
  <si>
    <t>000244</t>
  </si>
  <si>
    <t>514111113154</t>
  </si>
  <si>
    <t>PJU DS JABON 103 B1C5</t>
  </si>
  <si>
    <t>000514</t>
  </si>
  <si>
    <t>514111113162</t>
  </si>
  <si>
    <t>PJU DS MANYARAN 163</t>
  </si>
  <si>
    <t>000082</t>
  </si>
  <si>
    <t>514111113170</t>
  </si>
  <si>
    <t>PJU DS NGETREP 45</t>
  </si>
  <si>
    <t>000049</t>
  </si>
  <si>
    <t>514111113188</t>
  </si>
  <si>
    <t>PJU DS JABON 103</t>
  </si>
  <si>
    <t>JABON 103</t>
  </si>
  <si>
    <t>514111113196</t>
  </si>
  <si>
    <t>PJU DS KEDUNG SARI 481</t>
  </si>
  <si>
    <t>KEDUNG SARI</t>
  </si>
  <si>
    <t>514111113209</t>
  </si>
  <si>
    <t>PJU DS BLIMBING 37</t>
  </si>
  <si>
    <t>BLIMBING</t>
  </si>
  <si>
    <t>000539</t>
  </si>
  <si>
    <t>514111113217</t>
  </si>
  <si>
    <t>PJU DS NGABLAK 528</t>
  </si>
  <si>
    <t>000458</t>
  </si>
  <si>
    <t>514111113225</t>
  </si>
  <si>
    <t>PJU DS JUGO 614 B15</t>
  </si>
  <si>
    <t>000494</t>
  </si>
  <si>
    <t>514111113233</t>
  </si>
  <si>
    <t>PJU DN BADUT BESUKI 43</t>
  </si>
  <si>
    <t>BADUT BESUKI</t>
  </si>
  <si>
    <t>000605</t>
  </si>
  <si>
    <t>514111113241</t>
  </si>
  <si>
    <t>PJU DS MAESAN 311</t>
  </si>
  <si>
    <t>MAESAN 311</t>
  </si>
  <si>
    <t>000600</t>
  </si>
  <si>
    <t>514111113258</t>
  </si>
  <si>
    <t>PJU KALI NANAS 611</t>
  </si>
  <si>
    <t>KALI NANAS KALIPANG</t>
  </si>
  <si>
    <t>000027</t>
  </si>
  <si>
    <t>514111113266</t>
  </si>
  <si>
    <t>PJU DS KALIBOTO 119 C7</t>
  </si>
  <si>
    <t>000611</t>
  </si>
  <si>
    <t>514111113274</t>
  </si>
  <si>
    <t>PJU DS BLIMBING 38</t>
  </si>
  <si>
    <t>000461</t>
  </si>
  <si>
    <t>514111113282</t>
  </si>
  <si>
    <t>PJU DS KRATON 416</t>
  </si>
  <si>
    <t>000217</t>
  </si>
  <si>
    <t>514111156987</t>
  </si>
  <si>
    <t>PJU DS DATENGAN RT 3 RW 1</t>
  </si>
  <si>
    <t>DATENGAN</t>
  </si>
  <si>
    <t>000576</t>
  </si>
  <si>
    <t>514111219761</t>
  </si>
  <si>
    <t>PJU PERUM BUKIT PODANG 1</t>
  </si>
  <si>
    <t>514111219994</t>
  </si>
  <si>
    <t>PJU GRAND JABON REGENCY</t>
  </si>
  <si>
    <t>GRAND JABON REGENCY</t>
  </si>
  <si>
    <t>000351</t>
  </si>
  <si>
    <t>514111256546</t>
  </si>
  <si>
    <t>PJU DS PUHSARANG SEMEN</t>
  </si>
  <si>
    <t>000347</t>
  </si>
  <si>
    <t>514111264097</t>
  </si>
  <si>
    <t>PJU DN GUWOREJO RT12 RW10</t>
  </si>
  <si>
    <t>GUWOREJO</t>
  </si>
  <si>
    <t>052393</t>
  </si>
  <si>
    <t>514111288356</t>
  </si>
  <si>
    <t>DAN. TAROKAN KRAJAN RT. 01 RW.</t>
  </si>
  <si>
    <t>036154</t>
  </si>
  <si>
    <t>514111293649</t>
  </si>
  <si>
    <t>PJU JEMBATAN NGADI</t>
  </si>
  <si>
    <t>038344</t>
  </si>
  <si>
    <t>514111318186</t>
  </si>
  <si>
    <t>PJU DS SELOPANGGUNG</t>
  </si>
  <si>
    <t>006736</t>
  </si>
  <si>
    <t>JUMLAH ULP GROGOL</t>
  </si>
  <si>
    <t>WILAYAH ULP KERTOSONO</t>
  </si>
  <si>
    <t>514541371991</t>
  </si>
  <si>
    <t>PJU DESA JUWET</t>
  </si>
  <si>
    <t>JUWET KEC KUNJANG</t>
  </si>
  <si>
    <t>030066</t>
  </si>
  <si>
    <t>514541419189</t>
  </si>
  <si>
    <t>JUWET KEL JUWET KEC KUNJANG</t>
  </si>
  <si>
    <t>039943</t>
  </si>
  <si>
    <t>514580984446</t>
  </si>
  <si>
    <t>PJU DS PAYAMAN</t>
  </si>
  <si>
    <t>PAYAMAN - WONOKERTO</t>
  </si>
  <si>
    <t>003604</t>
  </si>
  <si>
    <t>514581024262</t>
  </si>
  <si>
    <t>PJU DESA SUKOHARJO</t>
  </si>
  <si>
    <t>SUKOHARJO KEC PLEMAHAN</t>
  </si>
  <si>
    <t>010183</t>
  </si>
  <si>
    <t>514581024270</t>
  </si>
  <si>
    <t>PJU DESA BELOR</t>
  </si>
  <si>
    <t>BELOR KEC PURWOASRI</t>
  </si>
  <si>
    <t>009398</t>
  </si>
  <si>
    <t>514581024288</t>
  </si>
  <si>
    <t>PJU DESA WONOREJO</t>
  </si>
  <si>
    <t>WONOREJO KEC KUNJANG</t>
  </si>
  <si>
    <t>036994</t>
  </si>
  <si>
    <t>514581024296</t>
  </si>
  <si>
    <t>PJU DESA PURWODADI</t>
  </si>
  <si>
    <t>PURWODADI KEC PURWOASRI</t>
  </si>
  <si>
    <t>000620</t>
  </si>
  <si>
    <t>514581024300</t>
  </si>
  <si>
    <t>PJU DESA TENGGER</t>
  </si>
  <si>
    <t>TENGGER KEC KUNJANG</t>
  </si>
  <si>
    <t>004897</t>
  </si>
  <si>
    <t>514581028540</t>
  </si>
  <si>
    <t>PJU NGINO 1</t>
  </si>
  <si>
    <t>NGIO GD 87 C3</t>
  </si>
  <si>
    <t>014369</t>
  </si>
  <si>
    <t>514581054548</t>
  </si>
  <si>
    <t>PJU WONOTENGAH</t>
  </si>
  <si>
    <t>WONOTENGAH KEC PURWOASRI</t>
  </si>
  <si>
    <t>003977</t>
  </si>
  <si>
    <t>514581054555</t>
  </si>
  <si>
    <t>PJU BLAWE</t>
  </si>
  <si>
    <t>BLAWE KEC PURWOASRI</t>
  </si>
  <si>
    <t>029292</t>
  </si>
  <si>
    <t>514581054833</t>
  </si>
  <si>
    <t>PLEMAHAN KEC PLEMAHAN</t>
  </si>
  <si>
    <t>514581056790</t>
  </si>
  <si>
    <t>LAMPU PJU</t>
  </si>
  <si>
    <t>DAYU KEC PURWOASRI</t>
  </si>
  <si>
    <t>038458</t>
  </si>
  <si>
    <t>514581077256</t>
  </si>
  <si>
    <t>PJU DS PURWODADI 06</t>
  </si>
  <si>
    <t>PURWODADI, KEC PURWOASRI</t>
  </si>
  <si>
    <t>038324</t>
  </si>
  <si>
    <t>514581077264</t>
  </si>
  <si>
    <t>PJU DS MUNENG KULON 03</t>
  </si>
  <si>
    <t>MUNENG KEC PURWOASRI</t>
  </si>
  <si>
    <t>008963</t>
  </si>
  <si>
    <t>514581077272</t>
  </si>
  <si>
    <t>PJU DS MUNENG KULON 02</t>
  </si>
  <si>
    <t>007455</t>
  </si>
  <si>
    <t>514581077280</t>
  </si>
  <si>
    <t>PJU DS MUNENG 04</t>
  </si>
  <si>
    <t>MUNENG PURWOASRI</t>
  </si>
  <si>
    <t>003393</t>
  </si>
  <si>
    <t>514581077298</t>
  </si>
  <si>
    <t>PJU DS PURWODADI 05</t>
  </si>
  <si>
    <t>PURWODADI KEC PURWOASSRI</t>
  </si>
  <si>
    <t>012152</t>
  </si>
  <si>
    <t>514581077302</t>
  </si>
  <si>
    <t>PJU DS MEKIKIS 01</t>
  </si>
  <si>
    <t>MEKIKIS KEC PURWOASRI</t>
  </si>
  <si>
    <t>040423</t>
  </si>
  <si>
    <t>514581077310</t>
  </si>
  <si>
    <t>PJU DS TEMPLEK 07</t>
  </si>
  <si>
    <t>PURWOASRI, KEC PURWOASRI</t>
  </si>
  <si>
    <t>007862</t>
  </si>
  <si>
    <t>514581081401</t>
  </si>
  <si>
    <t>PJU JL WONOTENGAH-MERJOYO</t>
  </si>
  <si>
    <t>KEMPLENG DS MERJOYO KEC PURWOA</t>
  </si>
  <si>
    <t>005462</t>
  </si>
  <si>
    <t>JUMLAH ULP KERTOSONO</t>
  </si>
  <si>
    <t>WILAYAH ULP WARUJAYENG</t>
  </si>
  <si>
    <t>514111289693</t>
  </si>
  <si>
    <t>PJU NGELUK</t>
  </si>
  <si>
    <t>NGELUK</t>
  </si>
  <si>
    <t>054852</t>
  </si>
  <si>
    <t>514591035671</t>
  </si>
  <si>
    <t>PJU DESA JATI</t>
  </si>
  <si>
    <t>JATI</t>
  </si>
  <si>
    <t>054966</t>
  </si>
  <si>
    <t>514591035689</t>
  </si>
  <si>
    <t>PJU DESA BLIMBING</t>
  </si>
  <si>
    <t>055029</t>
  </si>
  <si>
    <t>514591035697</t>
  </si>
  <si>
    <t>PJU DESA KEREP</t>
  </si>
  <si>
    <t>KEREP</t>
  </si>
  <si>
    <t>055269</t>
  </si>
  <si>
    <t>JUMLAH ULP WARUJAYENG</t>
  </si>
  <si>
    <t>REKAPITULASI  :</t>
  </si>
  <si>
    <t>NO</t>
  </si>
  <si>
    <t>WILAYAH</t>
  </si>
  <si>
    <t>LBR</t>
  </si>
  <si>
    <t>JML RUPIAH</t>
  </si>
  <si>
    <t>DAYA</t>
  </si>
  <si>
    <t>WILAYAH PLN ULP KEDIRI  KOTA</t>
  </si>
  <si>
    <t>WILAYAH PLN ULP TULUNGAGUNG</t>
  </si>
  <si>
    <t>WILAYAH PLN ULP  PARE</t>
  </si>
  <si>
    <t>WILAYAH PLN ULP NGADILUWIH</t>
  </si>
  <si>
    <t>WILAYAH PLN ULP GROGOL</t>
  </si>
  <si>
    <t>WILAYAH PLN ULP KERTOSONO</t>
  </si>
  <si>
    <t>WILAYAH PLN ULP WARUJAYENG</t>
  </si>
  <si>
    <t>TOTAL</t>
  </si>
  <si>
    <t>Terbilang :</t>
  </si>
  <si>
    <t>Kediri, 08 Mei 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</si>
  <si>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</t>
  </si>
  <si>
    <t>BIAYA ADMIN BANK</t>
  </si>
  <si>
    <t xml:space="preserve">TOTAL </t>
  </si>
  <si>
    <t>MENYETUJUI :</t>
  </si>
  <si>
    <t>MENGETAHUI :</t>
  </si>
  <si>
    <t>Lunas Dibayar :</t>
  </si>
  <si>
    <t>Kuasa Pengguna Anggaran</t>
  </si>
  <si>
    <t>P P T K</t>
  </si>
  <si>
    <t>Bendahara Pengeluaran Pembantu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</si>
  <si>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</si>
  <si>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AINUR ROZI, ST., MAP.</t>
  </si>
  <si>
    <t>HARIYANTO, ST.</t>
  </si>
  <si>
    <t>YOGA PUDYASTAWA, A. Md. T</t>
  </si>
  <si>
    <t xml:space="preserve">NIP. 19700308 201001 1 003
</t>
  </si>
  <si>
    <t>NIP. 19680307 198910 1 002</t>
  </si>
  <si>
    <t>NIP. 19971025 202012 1 006</t>
  </si>
  <si>
    <t>Kediri,         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</si>
</sst>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0_);\(0\)"/>
    <numFmt numFmtId="168" formatCode="#,##0;[Red]#,##0"/>
    <numFmt numFmtId="169" formatCode="0_);[Red]\(0\)"/>
    <numFmt numFmtId="170" formatCode="_-* #,##0_-;\-* #,##0_-;_-* &quot;-&quot;??_-;_-@_-"/>
    <numFmt numFmtId="171" formatCode="#,##0_);\(#,##0\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i/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indexed="8"/>
      <name val="Arial"/>
      <family val="2"/>
    </font>
    <font>
      <b/>
      <sz val="14"/>
      <name val="Arial"/>
      <family val="2"/>
    </font>
    <font>
      <u/>
      <sz val="11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92">
    <xf numFmtId="0" fontId="0" fillId="0" borderId="0" xfId="0"/>
    <xf numFmtId="1" fontId="3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6" fontId="4" fillId="0" borderId="0" xfId="1" applyNumberFormat="1" applyFont="1" applyFill="1" applyAlignment="1">
      <alignment vertical="center"/>
    </xf>
    <xf numFmtId="1" fontId="4" fillId="0" borderId="0" xfId="1" applyNumberFormat="1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166" fontId="4" fillId="0" borderId="1" xfId="1" applyNumberFormat="1" applyFont="1" applyFill="1" applyBorder="1" applyAlignment="1">
      <alignment vertical="center"/>
    </xf>
    <xf numFmtId="1" fontId="4" fillId="0" borderId="1" xfId="1" applyNumberFormat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5" fillId="0" borderId="1" xfId="1" applyNumberFormat="1" applyFont="1" applyFill="1" applyBorder="1" applyAlignment="1">
      <alignment horizontal="right" vertical="center" wrapText="1"/>
    </xf>
    <xf numFmtId="1" fontId="5" fillId="0" borderId="1" xfId="1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1" fontId="5" fillId="0" borderId="0" xfId="1" applyNumberFormat="1" applyFont="1" applyFill="1" applyAlignment="1">
      <alignment vertical="center"/>
    </xf>
    <xf numFmtId="166" fontId="5" fillId="0" borderId="0" xfId="1" applyNumberFormat="1" applyFont="1" applyFill="1" applyAlignment="1">
      <alignment vertical="center"/>
    </xf>
    <xf numFmtId="3" fontId="4" fillId="0" borderId="0" xfId="0" applyNumberFormat="1" applyFont="1" applyAlignment="1">
      <alignment horizontal="center" vertical="center"/>
    </xf>
    <xf numFmtId="166" fontId="5" fillId="0" borderId="1" xfId="1" applyNumberFormat="1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7" fontId="5" fillId="0" borderId="1" xfId="0" applyNumberFormat="1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vertical="center"/>
    </xf>
    <xf numFmtId="1" fontId="5" fillId="0" borderId="1" xfId="1" applyNumberFormat="1" applyFont="1" applyFill="1" applyBorder="1" applyAlignment="1">
      <alignment vertical="center"/>
    </xf>
    <xf numFmtId="37" fontId="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vertical="center"/>
    </xf>
    <xf numFmtId="1" fontId="6" fillId="0" borderId="1" xfId="1" applyNumberFormat="1" applyFont="1" applyFill="1" applyBorder="1" applyAlignment="1">
      <alignment vertical="center"/>
    </xf>
    <xf numFmtId="37" fontId="4" fillId="0" borderId="0" xfId="0" applyNumberFormat="1" applyFont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37" fontId="4" fillId="0" borderId="1" xfId="0" applyNumberFormat="1" applyFont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center" vertical="center"/>
    </xf>
    <xf numFmtId="166" fontId="4" fillId="0" borderId="1" xfId="1" applyNumberFormat="1" applyFont="1" applyFill="1" applyBorder="1" applyAlignment="1" applyProtection="1">
      <alignment horizontal="center" vertical="center"/>
    </xf>
    <xf numFmtId="166" fontId="5" fillId="0" borderId="0" xfId="0" applyNumberFormat="1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vertical="center"/>
    </xf>
    <xf numFmtId="168" fontId="6" fillId="0" borderId="1" xfId="0" applyNumberFormat="1" applyFont="1" applyBorder="1" applyAlignment="1">
      <alignment horizontal="right" vertical="center"/>
    </xf>
    <xf numFmtId="168" fontId="4" fillId="0" borderId="1" xfId="1" applyNumberFormat="1" applyFont="1" applyFill="1" applyBorder="1" applyAlignment="1">
      <alignment horizontal="right" vertical="center"/>
    </xf>
    <xf numFmtId="3" fontId="5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166" fontId="5" fillId="0" borderId="1" xfId="1" applyNumberFormat="1" applyFont="1" applyFill="1" applyBorder="1" applyAlignment="1">
      <alignment horizontal="right" vertical="center"/>
    </xf>
    <xf numFmtId="1" fontId="5" fillId="0" borderId="1" xfId="1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center" vertical="center"/>
    </xf>
    <xf numFmtId="166" fontId="4" fillId="0" borderId="1" xfId="1" applyNumberFormat="1" applyFont="1" applyFill="1" applyBorder="1" applyAlignment="1">
      <alignment horizontal="right" vertical="center"/>
    </xf>
    <xf numFmtId="1" fontId="4" fillId="0" borderId="1" xfId="1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167" fontId="5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37" fontId="5" fillId="0" borderId="4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37" fontId="4" fillId="0" borderId="3" xfId="0" applyNumberFormat="1" applyFont="1" applyBorder="1" applyAlignment="1">
      <alignment horizontal="center" vertical="center"/>
    </xf>
    <xf numFmtId="37" fontId="4" fillId="0" borderId="1" xfId="1" applyNumberFormat="1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166" fontId="4" fillId="0" borderId="1" xfId="3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1" fontId="4" fillId="0" borderId="0" xfId="0" applyNumberFormat="1" applyFont="1" applyAlignment="1">
      <alignment horizontal="center" vertical="center"/>
    </xf>
    <xf numFmtId="166" fontId="4" fillId="0" borderId="1" xfId="1" applyNumberFormat="1" applyFont="1" applyFill="1" applyBorder="1" applyAlignment="1">
      <alignment horizontal="right" vertical="center" wrapText="1"/>
    </xf>
    <xf numFmtId="1" fontId="4" fillId="0" borderId="1" xfId="1" applyNumberFormat="1" applyFont="1" applyFill="1" applyBorder="1" applyAlignment="1">
      <alignment horizontal="right" vertical="center" wrapText="1"/>
    </xf>
    <xf numFmtId="164" fontId="4" fillId="0" borderId="0" xfId="2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" fontId="4" fillId="0" borderId="1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37" fontId="4" fillId="0" borderId="0" xfId="0" applyNumberFormat="1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" fontId="6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 wrapText="1"/>
    </xf>
    <xf numFmtId="168" fontId="4" fillId="0" borderId="0" xfId="0" applyNumberFormat="1" applyFont="1" applyAlignment="1">
      <alignment horizontal="center" vertical="center" wrapText="1"/>
    </xf>
    <xf numFmtId="166" fontId="4" fillId="0" borderId="0" xfId="1" applyNumberFormat="1" applyFont="1" applyFill="1" applyBorder="1" applyAlignment="1">
      <alignment vertical="center"/>
    </xf>
    <xf numFmtId="1" fontId="4" fillId="0" borderId="0" xfId="1" applyNumberFormat="1" applyFont="1" applyFill="1" applyBorder="1" applyAlignment="1">
      <alignment vertical="center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1" fontId="8" fillId="0" borderId="4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right" vertical="center"/>
    </xf>
    <xf numFmtId="37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6" fontId="10" fillId="0" borderId="1" xfId="1" applyNumberFormat="1" applyFont="1" applyFill="1" applyBorder="1" applyAlignment="1">
      <alignment vertical="center"/>
    </xf>
    <xf numFmtId="1" fontId="10" fillId="0" borderId="1" xfId="1" applyNumberFormat="1" applyFont="1" applyFill="1" applyBorder="1" applyAlignment="1">
      <alignment vertical="center"/>
    </xf>
    <xf numFmtId="168" fontId="4" fillId="0" borderId="0" xfId="0" applyNumberFormat="1" applyFont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 wrapText="1"/>
    </xf>
    <xf numFmtId="38" fontId="4" fillId="0" borderId="0" xfId="0" applyNumberFormat="1" applyFont="1" applyAlignment="1">
      <alignment horizontal="center" vertical="center"/>
    </xf>
    <xf numFmtId="164" fontId="4" fillId="0" borderId="1" xfId="2" applyFont="1" applyFill="1" applyBorder="1" applyAlignment="1">
      <alignment vertical="center"/>
    </xf>
    <xf numFmtId="164" fontId="4" fillId="0" borderId="0" xfId="2" applyFont="1" applyFill="1" applyAlignment="1">
      <alignment horizontal="center" vertical="center"/>
    </xf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2" applyFont="1" applyFill="1" applyBorder="1" applyAlignment="1">
      <alignment vertical="center"/>
    </xf>
    <xf numFmtId="164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vertical="center"/>
    </xf>
    <xf numFmtId="166" fontId="5" fillId="0" borderId="1" xfId="1" applyNumberFormat="1" applyFont="1" applyFill="1" applyBorder="1" applyAlignment="1">
      <alignment horizontal="center" vertical="center" wrapText="1"/>
    </xf>
    <xf numFmtId="1" fontId="5" fillId="0" borderId="1" xfId="1" applyNumberFormat="1" applyFont="1" applyFill="1" applyBorder="1" applyAlignment="1">
      <alignment horizontal="center" vertical="center" wrapText="1"/>
    </xf>
    <xf numFmtId="166" fontId="5" fillId="0" borderId="0" xfId="1" applyNumberFormat="1" applyFont="1" applyFill="1" applyBorder="1" applyAlignment="1">
      <alignment horizontal="center" vertical="center" wrapText="1"/>
    </xf>
    <xf numFmtId="166" fontId="5" fillId="0" borderId="0" xfId="1" applyNumberFormat="1" applyFont="1" applyFill="1" applyBorder="1" applyAlignment="1">
      <alignment horizontal="right" vertical="center" wrapText="1"/>
    </xf>
    <xf numFmtId="166" fontId="5" fillId="0" borderId="0" xfId="1" applyNumberFormat="1" applyFont="1" applyFill="1" applyBorder="1" applyAlignment="1">
      <alignment vertical="center"/>
    </xf>
    <xf numFmtId="166" fontId="5" fillId="0" borderId="0" xfId="1" applyNumberFormat="1" applyFont="1" applyFill="1" applyBorder="1" applyAlignment="1">
      <alignment horizontal="right" vertical="center"/>
    </xf>
    <xf numFmtId="166" fontId="4" fillId="0" borderId="0" xfId="1" applyNumberFormat="1" applyFont="1" applyFill="1" applyBorder="1" applyAlignment="1">
      <alignment horizontal="right" vertical="center"/>
    </xf>
    <xf numFmtId="166" fontId="4" fillId="0" borderId="0" xfId="1" applyNumberFormat="1" applyFont="1" applyFill="1" applyBorder="1" applyAlignment="1">
      <alignment horizontal="right" vertical="center" wrapText="1"/>
    </xf>
    <xf numFmtId="166" fontId="6" fillId="0" borderId="0" xfId="1" applyNumberFormat="1" applyFont="1" applyFill="1" applyBorder="1" applyAlignment="1">
      <alignment vertical="center"/>
    </xf>
    <xf numFmtId="166" fontId="10" fillId="0" borderId="0" xfId="1" applyNumberFormat="1" applyFont="1" applyFill="1" applyBorder="1" applyAlignment="1">
      <alignment vertical="center"/>
    </xf>
    <xf numFmtId="167" fontId="6" fillId="0" borderId="1" xfId="0" applyNumberFormat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166" fontId="4" fillId="0" borderId="0" xfId="1" applyNumberFormat="1" applyFont="1" applyFill="1" applyAlignment="1">
      <alignment vertical="center" wrapText="1"/>
    </xf>
    <xf numFmtId="1" fontId="4" fillId="0" borderId="0" xfId="1" applyNumberFormat="1" applyFont="1" applyFill="1" applyAlignment="1">
      <alignment vertical="center" wrapText="1"/>
    </xf>
    <xf numFmtId="170" fontId="4" fillId="0" borderId="0" xfId="1" applyNumberFormat="1" applyFont="1" applyFill="1" applyAlignment="1">
      <alignment vertical="center"/>
    </xf>
    <xf numFmtId="164" fontId="4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6" fontId="3" fillId="0" borderId="0" xfId="1" applyNumberFormat="1" applyFont="1" applyAlignment="1">
      <alignment vertical="center"/>
    </xf>
    <xf numFmtId="164" fontId="3" fillId="0" borderId="0" xfId="2" applyFont="1" applyAlignment="1">
      <alignment vertical="center"/>
    </xf>
    <xf numFmtId="164" fontId="5" fillId="0" borderId="0" xfId="2" applyFont="1" applyFill="1" applyBorder="1" applyAlignment="1">
      <alignment vertical="center"/>
    </xf>
    <xf numFmtId="171" fontId="5" fillId="0" borderId="0" xfId="0" applyNumberFormat="1" applyFont="1" applyAlignment="1">
      <alignment horizontal="right" vertical="center"/>
    </xf>
    <xf numFmtId="171" fontId="5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" fontId="12" fillId="0" borderId="0" xfId="0" applyNumberFormat="1" applyFont="1" applyAlignment="1">
      <alignment horizontal="center" vertical="center" wrapText="1"/>
    </xf>
    <xf numFmtId="164" fontId="4" fillId="0" borderId="0" xfId="2" applyFont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/>
    </xf>
    <xf numFmtId="164" fontId="4" fillId="0" borderId="1" xfId="2" applyFont="1" applyFill="1" applyBorder="1" applyAlignment="1">
      <alignment horizontal="center" vertical="center"/>
    </xf>
    <xf numFmtId="164" fontId="5" fillId="0" borderId="1" xfId="2" applyFont="1" applyFill="1" applyBorder="1" applyAlignment="1">
      <alignment vertical="center"/>
    </xf>
    <xf numFmtId="166" fontId="5" fillId="0" borderId="1" xfId="1" applyNumberFormat="1" applyFont="1" applyBorder="1" applyAlignment="1">
      <alignment vertical="center"/>
    </xf>
    <xf numFmtId="166" fontId="14" fillId="0" borderId="0" xfId="1" applyNumberFormat="1" applyFont="1" applyFill="1" applyAlignment="1">
      <alignment vertical="center"/>
    </xf>
    <xf numFmtId="0" fontId="14" fillId="0" borderId="0" xfId="0" applyFont="1" applyAlignment="1">
      <alignment vertical="center"/>
    </xf>
    <xf numFmtId="1" fontId="1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164" fontId="4" fillId="0" borderId="0" xfId="2" applyFont="1" applyAlignment="1">
      <alignment horizontal="center" vertical="center" wrapText="1"/>
    </xf>
    <xf numFmtId="164" fontId="4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7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37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171" fontId="12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4">
    <cellStyle name="Comma" xfId="1" builtinId="3"/>
    <cellStyle name="Comma [0]" xfId="2" builtinId="6"/>
    <cellStyle name="Comma 23" xfId="3" xr:uid="{00000000-0005-0000-0000-000002000000}"/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sz val="10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sz val="10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232121</xdr:colOff>
      <xdr:row>0</xdr:row>
      <xdr:rowOff>75079</xdr:rowOff>
    </xdr:from>
    <xdr:to>
      <xdr:col>19</xdr:col>
      <xdr:colOff>963707</xdr:colOff>
      <xdr:row>3</xdr:row>
      <xdr:rowOff>116773</xdr:rowOff>
    </xdr:to>
    <xdr:pic>
      <xdr:nvPicPr>
        <xdr:cNvPr id="2" name="Picture 321">
          <a:extLst>
            <a:ext uri="{FF2B5EF4-FFF2-40B4-BE49-F238E27FC236}">
              <a16:creationId xmlns:a16="http://schemas.microsoft.com/office/drawing/2014/main" id="{00000000-0008-0000-0E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0" t="20313" r="59471" b="8810"/>
        <a:stretch>
          <a:fillRect/>
        </a:stretch>
      </xdr:blipFill>
      <xdr:spPr>
        <a:xfrm>
          <a:off x="19719150" y="75079"/>
          <a:ext cx="731586" cy="7140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GIHAN%20PEMDA\pju%20kab%20PEMDA%20KAB%20DAN%20KOTA%20KEDIRI%20MEI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TAGIHAN%20PEMDA%20ULP%20NGADILUWIH%20MEI%202025%20-%20BARU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dd%20in\terbilang.xla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OneDrive\Desktop\Udin.xla" TargetMode="External"/><Relationship Id="rId1" Type="http://schemas.openxmlformats.org/officeDocument/2006/relationships/externalLinkPath" Target="file:///C:\Users\HP\OneDrive\Desktop\Udin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NKAB NO RUMUS"/>
      <sheetName val="SRT DINKAB NO RUMUS"/>
      <sheetName val="DINAS"/>
      <sheetName val="Sheet1 (2)"/>
      <sheetName val="1. SRT DINKAB (DONE)"/>
      <sheetName val="DINKAB"/>
      <sheetName val="2. SRTDINKOT"/>
      <sheetName val="DINKOT"/>
      <sheetName val="3. SRT BAPENDA KOTA"/>
      <sheetName val="DISPENDA KOTA (DONE)"/>
      <sheetName val="4. SRT DLHKP KOTA"/>
      <sheetName val="DTRKP-DLHKP KOTA (DONE)"/>
      <sheetName val="Sheet4"/>
      <sheetName val="5. SRT PJUKAB (DONE)"/>
      <sheetName val="PJUKAB-DPKP KAB"/>
      <sheetName val="DISHUBKOT_PJU KOTA"/>
      <sheetName val="PJU DISHUB KOTA PECAHAN"/>
      <sheetName val="GEDUNG DISHUB KOTA "/>
      <sheetName val="6. SRT DISHUB KOTA (DONE)"/>
      <sheetName val="BARENLITBANG_B102362 (DONE)"/>
      <sheetName val="RS SLG(CETAK INVOICE) (DONE)"/>
      <sheetName val="DINKESKAB  (DONE)"/>
      <sheetName val="7. SRT DINKESKAB (DONE)"/>
      <sheetName val="DINKESKOTA (DONE)"/>
      <sheetName val="8. SRTDINKESKOT (DONE)"/>
      <sheetName val="KANT DISHUB KAB (DONE)"/>
      <sheetName val="DISHUB KAB"/>
      <sheetName val="9. SRT DISHUBKAB (DONE)"/>
      <sheetName val="DLH KAB KEDIRI (DONE)"/>
      <sheetName val="10. SRT DLH KAB KEDIRI"/>
      <sheetName val="DISHUB PROV JTM (DONE)"/>
      <sheetName val="12. SRT DISHUB PROV JTM"/>
      <sheetName val="Sheet1"/>
      <sheetName val="DPKP"/>
      <sheetName val="RUSUNAWA (CTK INVOICE)"/>
      <sheetName val="KANTOR DPKP (CTK INVOICE)"/>
      <sheetName val="11. SRT DPKP"/>
      <sheetName val="Sheet3"/>
      <sheetName val="daftar dinas"/>
      <sheetName val="DINAS PENDIDIKAN"/>
      <sheetName val="DINAS PENDIDIKAN BARU (SURAT)"/>
      <sheetName val="KPP PEMKOT"/>
      <sheetName val="KPP PEMKOT (SURAT)"/>
      <sheetName val="Sheet2"/>
      <sheetName val="Sheet2 (2)"/>
      <sheetName val="DAFTAR 51401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>
        <row r="88">
          <cell r="F88" t="str">
            <v>Manager</v>
          </cell>
        </row>
        <row r="95">
          <cell r="F95" t="str">
            <v>MUHAMMAD ARIEF FRIYANTO</v>
          </cell>
        </row>
      </sheetData>
      <sheetData sheetId="6"/>
      <sheetData sheetId="7">
        <row r="10">
          <cell r="A10" t="str">
            <v>REKENING LISTRIK BULAN : MEI 2025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BANK_DESA"/>
      <sheetName val="dinkes kab"/>
      <sheetName val="dinkes kodya"/>
      <sheetName val="dishub kab"/>
      <sheetName val="dishub_kab_kantor"/>
      <sheetName val="dishub kodya"/>
      <sheetName val="DLHKP Kodya"/>
      <sheetName val="PJU KAB (DPKP KAB)"/>
      <sheetName val="kab"/>
      <sheetName val="kec dinas"/>
      <sheetName val="PJU_DISHUB"/>
      <sheetName val="PJU_DPKP_PERKIM (DPKP KOTA)"/>
    </sheetNames>
    <sheetDataSet>
      <sheetData sheetId="0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</row>
        <row r="2">
          <cell r="B2" t="str">
            <v>UP3 : KEDIRI
ULP : KEDIRI BARAT</v>
          </cell>
          <cell r="C2" t="str">
            <v>LAPORAN TAGIHAN KODE KOLEKTIF NOTA BUKU
Bulan : OKTOBER-2021</v>
          </cell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 t="str">
            <v>TAGIHAN - PTL</v>
          </cell>
          <cell r="T2" t="str">
            <v>TAGIHAN - ANGSURAN</v>
          </cell>
          <cell r="U2" t="str">
            <v>PLN - X</v>
          </cell>
          <cell r="V2" t="str">
            <v>ANGSURAN + X + MATERAI</v>
          </cell>
          <cell r="W2" t="str">
            <v>TOTAL - MATERAI</v>
          </cell>
          <cell r="X2" t="str">
            <v>SELISIH MATERAI AP2T VS RUMUS</v>
          </cell>
        </row>
        <row r="3">
          <cell r="B3" t="str">
            <v>IDPEL</v>
          </cell>
          <cell r="C3" t="str">
            <v>NAMA</v>
          </cell>
          <cell r="D3" t="str">
            <v>ALAMAT</v>
          </cell>
          <cell r="E3" t="str">
            <v>TGL BAYAR</v>
          </cell>
          <cell r="F3" t="str">
            <v>KDPEMBAYAR</v>
          </cell>
          <cell r="G3" t="str">
            <v>TRP</v>
          </cell>
          <cell r="H3" t="str">
            <v>DAYA</v>
          </cell>
          <cell r="I3" t="str">
            <v>BLTH</v>
          </cell>
          <cell r="J3" t="str">
            <v>NOREK</v>
          </cell>
          <cell r="K3" t="str">
            <v>KWH</v>
          </cell>
          <cell r="L3" t="str">
            <v>PTL</v>
          </cell>
          <cell r="M3" t="str">
            <v>MAT</v>
          </cell>
          <cell r="N3" t="str">
            <v>PLN</v>
          </cell>
          <cell r="O3" t="str">
            <v>TRAFO</v>
          </cell>
          <cell r="P3" t="str">
            <v>PPN</v>
          </cell>
          <cell r="Q3" t="str">
            <v>PJU</v>
          </cell>
          <cell r="R3" t="str">
            <v>TAGIHAN</v>
          </cell>
          <cell r="S3" t="str">
            <v>ANGSURAN</v>
          </cell>
          <cell r="T3" t="str">
            <v>X</v>
          </cell>
          <cell r="U3" t="str">
            <v>MATERAI</v>
          </cell>
          <cell r="V3" t="str">
            <v>TOTAL</v>
          </cell>
          <cell r="W3" t="str">
            <v>PLN</v>
          </cell>
          <cell r="X3" t="str">
            <v>MAT - MATERAI</v>
          </cell>
        </row>
        <row r="4">
          <cell r="M4"/>
        </row>
        <row r="5">
          <cell r="M5"/>
        </row>
        <row r="7">
          <cell r="B7"/>
        </row>
        <row r="9">
          <cell r="B9" t="str">
            <v>UP3 : KEDIRI
ULP : KEDIRI SELATAN</v>
          </cell>
          <cell r="C9" t="str">
            <v>LAPORAN TAGIHAN KODE KOLEKTIF NOTA BUKU
Bulan : MEI-2025</v>
          </cell>
          <cell r="M9"/>
        </row>
        <row r="10">
          <cell r="B10" t="str">
            <v>IDPEL</v>
          </cell>
          <cell r="C10" t="str">
            <v>NAMA</v>
          </cell>
          <cell r="D10" t="str">
            <v>ALAMAT</v>
          </cell>
          <cell r="E10" t="str">
            <v>TGL BAYAR</v>
          </cell>
          <cell r="F10" t="str">
            <v>KDPEMBAYAR</v>
          </cell>
          <cell r="G10" t="str">
            <v>TRP</v>
          </cell>
          <cell r="H10" t="str">
            <v>DAYA</v>
          </cell>
          <cell r="I10" t="str">
            <v>BLTH</v>
          </cell>
          <cell r="J10" t="str">
            <v>NOREK</v>
          </cell>
          <cell r="K10" t="str">
            <v>KWH</v>
          </cell>
          <cell r="L10" t="str">
            <v>PTL</v>
          </cell>
          <cell r="M10" t="str">
            <v>MAT</v>
          </cell>
          <cell r="N10" t="str">
            <v>PLN</v>
          </cell>
          <cell r="O10" t="str">
            <v>TRAFO</v>
          </cell>
          <cell r="P10" t="str">
            <v>PPN</v>
          </cell>
          <cell r="Q10" t="str">
            <v>PJU</v>
          </cell>
          <cell r="R10" t="str">
            <v>TAGIHAN</v>
          </cell>
        </row>
        <row r="11">
          <cell r="B11">
            <v>514100568170</v>
          </cell>
          <cell r="C11" t="str">
            <v>KANTOR DPKP (PERKIM)</v>
          </cell>
          <cell r="D11" t="str">
            <v>MAUNI</v>
          </cell>
          <cell r="G11" t="str">
            <v>P1</v>
          </cell>
          <cell r="H11">
            <v>16500</v>
          </cell>
          <cell r="I11" t="str">
            <v>202505</v>
          </cell>
          <cell r="J11" t="str">
            <v>069199</v>
          </cell>
          <cell r="K11">
            <v>1938</v>
          </cell>
          <cell r="L11">
            <v>3293689</v>
          </cell>
          <cell r="M11">
            <v>0</v>
          </cell>
          <cell r="N11">
            <v>3293689</v>
          </cell>
          <cell r="O11">
            <v>0</v>
          </cell>
          <cell r="P11">
            <v>0</v>
          </cell>
          <cell r="Q11">
            <v>0</v>
          </cell>
          <cell r="R11">
            <v>3293689</v>
          </cell>
          <cell r="S11">
            <v>0</v>
          </cell>
          <cell r="T11">
            <v>3293689</v>
          </cell>
          <cell r="U11">
            <v>0</v>
          </cell>
          <cell r="V11">
            <v>3293689</v>
          </cell>
          <cell r="W11">
            <v>3293689</v>
          </cell>
        </row>
        <row r="12">
          <cell r="B12">
            <v>3293689</v>
          </cell>
          <cell r="C12">
            <v>0</v>
          </cell>
          <cell r="D12">
            <v>3293689</v>
          </cell>
          <cell r="E12">
            <v>0</v>
          </cell>
          <cell r="F12">
            <v>0</v>
          </cell>
          <cell r="G12">
            <v>0</v>
          </cell>
          <cell r="H12">
            <v>3293689</v>
          </cell>
          <cell r="I12" t="str">
            <v>KEDIRI, May 2, 2025  14:55</v>
          </cell>
          <cell r="K12">
            <v>1938</v>
          </cell>
          <cell r="L12">
            <v>3293689</v>
          </cell>
          <cell r="M12">
            <v>0</v>
          </cell>
          <cell r="N12">
            <v>3293689</v>
          </cell>
          <cell r="O12">
            <v>0</v>
          </cell>
          <cell r="P12">
            <v>0</v>
          </cell>
          <cell r="Q12">
            <v>0</v>
          </cell>
          <cell r="R12">
            <v>3293689</v>
          </cell>
          <cell r="S12">
            <v>0</v>
          </cell>
          <cell r="T12">
            <v>3293689</v>
          </cell>
          <cell r="U12">
            <v>0</v>
          </cell>
          <cell r="V12">
            <v>3293689</v>
          </cell>
          <cell r="W12">
            <v>3293689</v>
          </cell>
        </row>
        <row r="13">
          <cell r="B13"/>
          <cell r="H13">
            <v>16500</v>
          </cell>
          <cell r="M13"/>
        </row>
        <row r="14">
          <cell r="B14"/>
          <cell r="M14"/>
        </row>
        <row r="15">
          <cell r="B15"/>
        </row>
        <row r="16">
          <cell r="B16"/>
        </row>
        <row r="17">
          <cell r="B17"/>
        </row>
        <row r="18">
          <cell r="B18" t="str">
            <v>UP3 : KEDIRI
ULP : KEDIRI SELATAN</v>
          </cell>
          <cell r="C18" t="str">
            <v>LAPORAN TAGIHAN KODE KOLEKTIF NOTA BUKU
Bulan : MEI-2025</v>
          </cell>
          <cell r="M18"/>
        </row>
        <row r="19">
          <cell r="B19" t="str">
            <v>IDPEL</v>
          </cell>
          <cell r="C19" t="str">
            <v>NAMA</v>
          </cell>
          <cell r="D19" t="str">
            <v>ALAMAT</v>
          </cell>
          <cell r="E19" t="str">
            <v>TGL BAYAR</v>
          </cell>
          <cell r="F19" t="str">
            <v>KDPEMBAYAR</v>
          </cell>
          <cell r="G19" t="str">
            <v>TRP</v>
          </cell>
          <cell r="H19" t="str">
            <v>DAYA</v>
          </cell>
          <cell r="I19" t="str">
            <v>BLTH</v>
          </cell>
          <cell r="J19" t="str">
            <v>NOREK</v>
          </cell>
          <cell r="K19" t="str">
            <v>KWH</v>
          </cell>
          <cell r="L19" t="str">
            <v>PTL</v>
          </cell>
          <cell r="M19" t="str">
            <v>MAT</v>
          </cell>
          <cell r="N19" t="str">
            <v>PLN</v>
          </cell>
          <cell r="O19" t="str">
            <v>TRAFO</v>
          </cell>
          <cell r="P19" t="str">
            <v>PPN</v>
          </cell>
          <cell r="Q19" t="str">
            <v>PJU</v>
          </cell>
          <cell r="R19" t="str">
            <v>TAGIHAN</v>
          </cell>
        </row>
        <row r="20">
          <cell r="B20">
            <v>514100027124</v>
          </cell>
          <cell r="C20" t="str">
            <v>RUMAH SAKIT UMUM</v>
          </cell>
          <cell r="D20" t="str">
            <v>RAYA NGADILUWIH</v>
          </cell>
          <cell r="G20" t="str">
            <v>S1</v>
          </cell>
          <cell r="H20">
            <v>23000</v>
          </cell>
          <cell r="I20" t="str">
            <v>202505</v>
          </cell>
          <cell r="J20" t="str">
            <v>068908</v>
          </cell>
          <cell r="K20">
            <v>4961</v>
          </cell>
          <cell r="L20">
            <v>4464900</v>
          </cell>
          <cell r="M20">
            <v>0</v>
          </cell>
          <cell r="N20">
            <v>4464900</v>
          </cell>
          <cell r="O20">
            <v>0</v>
          </cell>
          <cell r="P20">
            <v>0</v>
          </cell>
          <cell r="Q20">
            <v>0</v>
          </cell>
          <cell r="R20">
            <v>4464900</v>
          </cell>
          <cell r="S20">
            <v>0</v>
          </cell>
          <cell r="T20">
            <v>4464900</v>
          </cell>
          <cell r="U20">
            <v>0</v>
          </cell>
          <cell r="V20">
            <v>4464900</v>
          </cell>
          <cell r="W20">
            <v>4464900</v>
          </cell>
          <cell r="X20">
            <v>0</v>
          </cell>
        </row>
        <row r="21">
          <cell r="B21">
            <v>514100124477</v>
          </cell>
          <cell r="C21" t="str">
            <v>PUSKESMAS</v>
          </cell>
          <cell r="D21" t="str">
            <v>SAMBI</v>
          </cell>
          <cell r="G21" t="str">
            <v>S1</v>
          </cell>
          <cell r="H21">
            <v>33000</v>
          </cell>
          <cell r="I21" t="str">
            <v>202505</v>
          </cell>
          <cell r="J21" t="str">
            <v>069200</v>
          </cell>
          <cell r="K21">
            <v>3375</v>
          </cell>
          <cell r="L21">
            <v>3037500</v>
          </cell>
          <cell r="M21">
            <v>0</v>
          </cell>
          <cell r="N21">
            <v>3037500</v>
          </cell>
          <cell r="O21">
            <v>0</v>
          </cell>
          <cell r="P21">
            <v>0</v>
          </cell>
          <cell r="Q21">
            <v>0</v>
          </cell>
          <cell r="R21">
            <v>3037500</v>
          </cell>
          <cell r="S21">
            <v>0</v>
          </cell>
          <cell r="T21">
            <v>3037500</v>
          </cell>
          <cell r="U21">
            <v>0</v>
          </cell>
          <cell r="V21">
            <v>3037500</v>
          </cell>
          <cell r="W21">
            <v>3037500</v>
          </cell>
          <cell r="X21">
            <v>0</v>
          </cell>
        </row>
        <row r="22">
          <cell r="B22">
            <v>514100166523</v>
          </cell>
          <cell r="C22" t="str">
            <v>PUSKESMAS</v>
          </cell>
          <cell r="D22" t="str">
            <v>NGLETIH</v>
          </cell>
          <cell r="G22" t="str">
            <v>S1</v>
          </cell>
          <cell r="H22">
            <v>1300</v>
          </cell>
          <cell r="I22" t="str">
            <v>202505</v>
          </cell>
          <cell r="J22" t="str">
            <v>053189</v>
          </cell>
          <cell r="K22">
            <v>211</v>
          </cell>
          <cell r="L22">
            <v>149388</v>
          </cell>
          <cell r="M22">
            <v>0</v>
          </cell>
          <cell r="N22">
            <v>149388</v>
          </cell>
          <cell r="O22">
            <v>0</v>
          </cell>
          <cell r="P22">
            <v>0</v>
          </cell>
          <cell r="Q22">
            <v>0</v>
          </cell>
          <cell r="R22">
            <v>149388</v>
          </cell>
          <cell r="S22">
            <v>0</v>
          </cell>
          <cell r="T22">
            <v>149388</v>
          </cell>
          <cell r="U22">
            <v>0</v>
          </cell>
          <cell r="V22">
            <v>149388</v>
          </cell>
          <cell r="W22">
            <v>149388</v>
          </cell>
          <cell r="X22">
            <v>0</v>
          </cell>
        </row>
        <row r="23">
          <cell r="B23">
            <v>514100236892</v>
          </cell>
          <cell r="C23" t="str">
            <v>PUSKESMAS</v>
          </cell>
          <cell r="D23" t="str">
            <v>TEGALAN</v>
          </cell>
          <cell r="G23" t="str">
            <v>S1</v>
          </cell>
          <cell r="H23">
            <v>1300</v>
          </cell>
          <cell r="I23" t="str">
            <v>202505</v>
          </cell>
          <cell r="J23" t="str">
            <v>061650</v>
          </cell>
          <cell r="K23">
            <v>52</v>
          </cell>
          <cell r="L23">
            <v>36816</v>
          </cell>
          <cell r="M23">
            <v>0</v>
          </cell>
          <cell r="N23">
            <v>36816</v>
          </cell>
          <cell r="O23">
            <v>0</v>
          </cell>
          <cell r="P23">
            <v>0</v>
          </cell>
          <cell r="Q23">
            <v>0</v>
          </cell>
          <cell r="R23">
            <v>36816</v>
          </cell>
          <cell r="S23">
            <v>0</v>
          </cell>
          <cell r="T23">
            <v>36816</v>
          </cell>
          <cell r="U23">
            <v>0</v>
          </cell>
          <cell r="V23">
            <v>36816</v>
          </cell>
          <cell r="W23">
            <v>36816</v>
          </cell>
          <cell r="X23">
            <v>0</v>
          </cell>
        </row>
        <row r="24">
          <cell r="B24">
            <v>514100236906</v>
          </cell>
          <cell r="C24" t="str">
            <v>PUSKESMAS PEMBANTU</v>
          </cell>
          <cell r="D24" t="str">
            <v>SUMBEREJO</v>
          </cell>
          <cell r="G24" t="str">
            <v>S1</v>
          </cell>
          <cell r="H24">
            <v>1300</v>
          </cell>
          <cell r="I24" t="str">
            <v>202505</v>
          </cell>
          <cell r="J24" t="str">
            <v>055770</v>
          </cell>
          <cell r="K24">
            <v>52</v>
          </cell>
          <cell r="L24">
            <v>36816</v>
          </cell>
          <cell r="M24">
            <v>0</v>
          </cell>
          <cell r="N24">
            <v>36816</v>
          </cell>
          <cell r="O24">
            <v>0</v>
          </cell>
          <cell r="P24">
            <v>0</v>
          </cell>
          <cell r="Q24">
            <v>0</v>
          </cell>
          <cell r="R24">
            <v>36816</v>
          </cell>
          <cell r="S24">
            <v>0</v>
          </cell>
          <cell r="T24">
            <v>36816</v>
          </cell>
          <cell r="U24">
            <v>0</v>
          </cell>
          <cell r="V24">
            <v>36816</v>
          </cell>
          <cell r="W24">
            <v>36816</v>
          </cell>
          <cell r="X24">
            <v>0</v>
          </cell>
        </row>
        <row r="25">
          <cell r="B25">
            <v>514100236914</v>
          </cell>
          <cell r="C25" t="str">
            <v>PUSKESMAS PEMBANTU</v>
          </cell>
          <cell r="D25" t="str">
            <v>WONOREJO</v>
          </cell>
          <cell r="G25" t="str">
            <v>S1</v>
          </cell>
          <cell r="H25">
            <v>16500</v>
          </cell>
          <cell r="I25" t="str">
            <v>202505</v>
          </cell>
          <cell r="J25" t="str">
            <v>068917</v>
          </cell>
          <cell r="K25">
            <v>2932</v>
          </cell>
          <cell r="L25">
            <v>2638800</v>
          </cell>
          <cell r="M25">
            <v>0</v>
          </cell>
          <cell r="N25">
            <v>2638800</v>
          </cell>
          <cell r="O25">
            <v>0</v>
          </cell>
          <cell r="P25">
            <v>0</v>
          </cell>
          <cell r="Q25">
            <v>0</v>
          </cell>
          <cell r="R25">
            <v>2638800</v>
          </cell>
          <cell r="S25">
            <v>0</v>
          </cell>
          <cell r="T25">
            <v>2638800</v>
          </cell>
          <cell r="U25">
            <v>0</v>
          </cell>
          <cell r="V25">
            <v>2638800</v>
          </cell>
          <cell r="W25">
            <v>2638800</v>
          </cell>
          <cell r="X25">
            <v>0</v>
          </cell>
        </row>
        <row r="26">
          <cell r="B26">
            <v>514100236922</v>
          </cell>
          <cell r="C26" t="str">
            <v>PUSKESMAS</v>
          </cell>
          <cell r="D26" t="str">
            <v>BRANGGAHAN</v>
          </cell>
          <cell r="G26" t="str">
            <v>S1</v>
          </cell>
          <cell r="H26">
            <v>1300</v>
          </cell>
          <cell r="I26" t="str">
            <v>202505</v>
          </cell>
          <cell r="J26" t="str">
            <v>065863</v>
          </cell>
          <cell r="K26">
            <v>52</v>
          </cell>
          <cell r="L26">
            <v>36816</v>
          </cell>
          <cell r="M26">
            <v>0</v>
          </cell>
          <cell r="N26">
            <v>36816</v>
          </cell>
          <cell r="O26">
            <v>0</v>
          </cell>
          <cell r="P26">
            <v>0</v>
          </cell>
          <cell r="Q26">
            <v>0</v>
          </cell>
          <cell r="R26">
            <v>36816</v>
          </cell>
          <cell r="S26">
            <v>0</v>
          </cell>
          <cell r="T26">
            <v>36816</v>
          </cell>
          <cell r="U26">
            <v>0</v>
          </cell>
          <cell r="V26">
            <v>36816</v>
          </cell>
          <cell r="W26">
            <v>36816</v>
          </cell>
          <cell r="X26">
            <v>0</v>
          </cell>
        </row>
        <row r="27">
          <cell r="B27">
            <v>514100285543</v>
          </cell>
          <cell r="C27" t="str">
            <v>PUSKESMAS PEMBANTU</v>
          </cell>
          <cell r="D27" t="str">
            <v>SILIR</v>
          </cell>
          <cell r="G27" t="str">
            <v>S1</v>
          </cell>
          <cell r="H27">
            <v>1300</v>
          </cell>
          <cell r="I27" t="str">
            <v>202505</v>
          </cell>
          <cell r="J27" t="str">
            <v>059383</v>
          </cell>
          <cell r="K27">
            <v>52</v>
          </cell>
          <cell r="L27">
            <v>36816</v>
          </cell>
          <cell r="M27">
            <v>0</v>
          </cell>
          <cell r="N27">
            <v>36816</v>
          </cell>
          <cell r="O27">
            <v>0</v>
          </cell>
          <cell r="P27">
            <v>0</v>
          </cell>
          <cell r="Q27">
            <v>3682</v>
          </cell>
          <cell r="R27">
            <v>40498</v>
          </cell>
          <cell r="S27">
            <v>3682</v>
          </cell>
          <cell r="T27">
            <v>36816</v>
          </cell>
          <cell r="U27">
            <v>0</v>
          </cell>
          <cell r="V27">
            <v>40498</v>
          </cell>
          <cell r="W27">
            <v>40498</v>
          </cell>
          <cell r="X27">
            <v>0</v>
          </cell>
        </row>
        <row r="28">
          <cell r="B28">
            <v>514100291393</v>
          </cell>
          <cell r="C28" t="str">
            <v>PUSKESMAS SB AGUNG</v>
          </cell>
          <cell r="D28" t="str">
            <v>SUMBERAGUNG</v>
          </cell>
          <cell r="G28" t="str">
            <v>S1</v>
          </cell>
          <cell r="H28">
            <v>1300</v>
          </cell>
          <cell r="I28" t="str">
            <v>202505</v>
          </cell>
          <cell r="J28" t="str">
            <v>063545</v>
          </cell>
          <cell r="K28">
            <v>52</v>
          </cell>
          <cell r="L28">
            <v>36816</v>
          </cell>
          <cell r="M28">
            <v>0</v>
          </cell>
          <cell r="N28">
            <v>36816</v>
          </cell>
          <cell r="O28">
            <v>0</v>
          </cell>
          <cell r="P28">
            <v>0</v>
          </cell>
          <cell r="Q28">
            <v>0</v>
          </cell>
          <cell r="R28">
            <v>36816</v>
          </cell>
          <cell r="S28">
            <v>0</v>
          </cell>
          <cell r="T28">
            <v>36816</v>
          </cell>
          <cell r="U28">
            <v>0</v>
          </cell>
          <cell r="V28">
            <v>36816</v>
          </cell>
          <cell r="W28">
            <v>36816</v>
          </cell>
          <cell r="X28">
            <v>0</v>
          </cell>
        </row>
        <row r="29">
          <cell r="B29">
            <v>514100306487</v>
          </cell>
          <cell r="C29" t="str">
            <v>PUSKESMAS PEMBANTU</v>
          </cell>
          <cell r="D29" t="str">
            <v>DUKUH</v>
          </cell>
          <cell r="G29" t="str">
            <v>S1</v>
          </cell>
          <cell r="H29">
            <v>1300</v>
          </cell>
          <cell r="I29" t="str">
            <v>202505</v>
          </cell>
          <cell r="J29" t="str">
            <v>050247</v>
          </cell>
          <cell r="K29">
            <v>52</v>
          </cell>
          <cell r="L29">
            <v>36816</v>
          </cell>
          <cell r="M29">
            <v>0</v>
          </cell>
          <cell r="N29">
            <v>36816</v>
          </cell>
          <cell r="O29">
            <v>0</v>
          </cell>
          <cell r="P29">
            <v>0</v>
          </cell>
          <cell r="Q29">
            <v>0</v>
          </cell>
          <cell r="R29">
            <v>36816</v>
          </cell>
          <cell r="S29">
            <v>0</v>
          </cell>
          <cell r="T29">
            <v>36816</v>
          </cell>
          <cell r="U29">
            <v>0</v>
          </cell>
          <cell r="V29">
            <v>36816</v>
          </cell>
          <cell r="W29">
            <v>36816</v>
          </cell>
          <cell r="X29">
            <v>0</v>
          </cell>
        </row>
        <row r="30">
          <cell r="B30">
            <v>514100381447</v>
          </cell>
          <cell r="C30" t="str">
            <v>PUSKESMAS KANDAT</v>
          </cell>
          <cell r="D30" t="str">
            <v>NGRECO</v>
          </cell>
          <cell r="G30" t="str">
            <v>S1</v>
          </cell>
          <cell r="H30">
            <v>1300</v>
          </cell>
          <cell r="I30" t="str">
            <v>202505</v>
          </cell>
          <cell r="J30" t="str">
            <v>052810</v>
          </cell>
          <cell r="K30">
            <v>75</v>
          </cell>
          <cell r="L30">
            <v>53100</v>
          </cell>
          <cell r="M30">
            <v>0</v>
          </cell>
          <cell r="N30">
            <v>53100</v>
          </cell>
          <cell r="O30">
            <v>0</v>
          </cell>
          <cell r="P30">
            <v>0</v>
          </cell>
          <cell r="Q30">
            <v>0</v>
          </cell>
          <cell r="R30">
            <v>53100</v>
          </cell>
          <cell r="S30">
            <v>0</v>
          </cell>
          <cell r="T30">
            <v>53100</v>
          </cell>
          <cell r="U30">
            <v>0</v>
          </cell>
          <cell r="V30">
            <v>53100</v>
          </cell>
          <cell r="W30">
            <v>53100</v>
          </cell>
          <cell r="X30">
            <v>0</v>
          </cell>
        </row>
        <row r="31">
          <cell r="B31">
            <v>514100401747</v>
          </cell>
          <cell r="C31" t="str">
            <v>PUSKESMAS BEDUG</v>
          </cell>
          <cell r="D31" t="str">
            <v>BEDUG NGADILUWIH</v>
          </cell>
          <cell r="G31" t="str">
            <v>S1</v>
          </cell>
          <cell r="H31">
            <v>1300</v>
          </cell>
          <cell r="I31" t="str">
            <v>202505</v>
          </cell>
          <cell r="J31" t="str">
            <v>062735</v>
          </cell>
          <cell r="K31">
            <v>52</v>
          </cell>
          <cell r="L31">
            <v>36816</v>
          </cell>
          <cell r="M31">
            <v>0</v>
          </cell>
          <cell r="N31">
            <v>36816</v>
          </cell>
          <cell r="O31">
            <v>0</v>
          </cell>
          <cell r="P31">
            <v>0</v>
          </cell>
          <cell r="Q31">
            <v>0</v>
          </cell>
          <cell r="R31">
            <v>36816</v>
          </cell>
          <cell r="S31">
            <v>0</v>
          </cell>
          <cell r="T31">
            <v>36816</v>
          </cell>
          <cell r="U31">
            <v>0</v>
          </cell>
          <cell r="V31">
            <v>36816</v>
          </cell>
          <cell r="W31">
            <v>36816</v>
          </cell>
          <cell r="X31">
            <v>0</v>
          </cell>
        </row>
        <row r="32">
          <cell r="B32">
            <v>514100401762</v>
          </cell>
          <cell r="C32" t="str">
            <v>PUSKESMAS BLABAK</v>
          </cell>
          <cell r="D32" t="str">
            <v>BLABAK</v>
          </cell>
          <cell r="G32" t="str">
            <v>S1</v>
          </cell>
          <cell r="H32">
            <v>23000</v>
          </cell>
          <cell r="I32" t="str">
            <v>202505</v>
          </cell>
          <cell r="J32" t="str">
            <v>069330</v>
          </cell>
          <cell r="K32">
            <v>3218</v>
          </cell>
          <cell r="L32">
            <v>2896200</v>
          </cell>
          <cell r="M32">
            <v>0</v>
          </cell>
          <cell r="N32">
            <v>2896200</v>
          </cell>
          <cell r="O32">
            <v>0</v>
          </cell>
          <cell r="P32">
            <v>0</v>
          </cell>
          <cell r="Q32">
            <v>0</v>
          </cell>
          <cell r="R32">
            <v>2896200</v>
          </cell>
          <cell r="S32">
            <v>0</v>
          </cell>
          <cell r="T32">
            <v>2896200</v>
          </cell>
          <cell r="U32">
            <v>0</v>
          </cell>
          <cell r="V32">
            <v>2896200</v>
          </cell>
          <cell r="W32">
            <v>2896200</v>
          </cell>
          <cell r="X32">
            <v>0</v>
          </cell>
        </row>
        <row r="33">
          <cell r="B33">
            <v>514100493982</v>
          </cell>
          <cell r="C33" t="str">
            <v>PUSKESMAN PELAS</v>
          </cell>
          <cell r="D33" t="str">
            <v>PELAS</v>
          </cell>
          <cell r="G33" t="str">
            <v>S1</v>
          </cell>
          <cell r="H33">
            <v>23000</v>
          </cell>
          <cell r="I33" t="str">
            <v>202505</v>
          </cell>
          <cell r="J33" t="str">
            <v>069106</v>
          </cell>
          <cell r="K33">
            <v>2264</v>
          </cell>
          <cell r="L33">
            <v>2037600</v>
          </cell>
          <cell r="M33">
            <v>0</v>
          </cell>
          <cell r="N33">
            <v>2037600</v>
          </cell>
          <cell r="O33">
            <v>0</v>
          </cell>
          <cell r="P33">
            <v>0</v>
          </cell>
          <cell r="Q33">
            <v>0</v>
          </cell>
          <cell r="R33">
            <v>2037600</v>
          </cell>
          <cell r="S33">
            <v>0</v>
          </cell>
          <cell r="T33">
            <v>2037600</v>
          </cell>
          <cell r="U33">
            <v>0</v>
          </cell>
          <cell r="V33">
            <v>2037600</v>
          </cell>
          <cell r="W33">
            <v>2037600</v>
          </cell>
          <cell r="X33">
            <v>0</v>
          </cell>
        </row>
        <row r="34">
          <cell r="B34">
            <v>514100497775</v>
          </cell>
          <cell r="C34" t="str">
            <v>PUSKESMAS</v>
          </cell>
          <cell r="D34" t="str">
            <v>BATUAJI</v>
          </cell>
          <cell r="G34" t="str">
            <v>S1</v>
          </cell>
          <cell r="H34">
            <v>1300</v>
          </cell>
          <cell r="I34" t="str">
            <v>202505</v>
          </cell>
          <cell r="J34" t="str">
            <v>066143</v>
          </cell>
          <cell r="K34">
            <v>52</v>
          </cell>
          <cell r="L34">
            <v>36816</v>
          </cell>
          <cell r="M34">
            <v>0</v>
          </cell>
          <cell r="N34">
            <v>36816</v>
          </cell>
          <cell r="O34">
            <v>0</v>
          </cell>
          <cell r="P34">
            <v>0</v>
          </cell>
          <cell r="Q34">
            <v>0</v>
          </cell>
          <cell r="R34">
            <v>36816</v>
          </cell>
          <cell r="S34">
            <v>0</v>
          </cell>
          <cell r="T34">
            <v>36816</v>
          </cell>
          <cell r="U34">
            <v>0</v>
          </cell>
          <cell r="V34">
            <v>36816</v>
          </cell>
          <cell r="W34">
            <v>36816</v>
          </cell>
          <cell r="X34">
            <v>0</v>
          </cell>
        </row>
        <row r="35">
          <cell r="B35">
            <v>514100497853</v>
          </cell>
          <cell r="C35" t="str">
            <v>PUSKESMAS</v>
          </cell>
          <cell r="D35" t="str">
            <v>PURWODADI</v>
          </cell>
          <cell r="G35" t="str">
            <v>S1</v>
          </cell>
          <cell r="H35">
            <v>1300</v>
          </cell>
          <cell r="I35" t="str">
            <v>202505</v>
          </cell>
          <cell r="J35" t="str">
            <v>067998</v>
          </cell>
          <cell r="K35">
            <v>52</v>
          </cell>
          <cell r="L35">
            <v>36816</v>
          </cell>
          <cell r="M35">
            <v>0</v>
          </cell>
          <cell r="N35">
            <v>36816</v>
          </cell>
          <cell r="O35">
            <v>0</v>
          </cell>
          <cell r="P35">
            <v>0</v>
          </cell>
          <cell r="Q35">
            <v>0</v>
          </cell>
          <cell r="R35">
            <v>36816</v>
          </cell>
          <cell r="S35">
            <v>0</v>
          </cell>
          <cell r="T35">
            <v>36816</v>
          </cell>
          <cell r="U35">
            <v>0</v>
          </cell>
          <cell r="V35">
            <v>36816</v>
          </cell>
          <cell r="W35">
            <v>36816</v>
          </cell>
          <cell r="X35">
            <v>0</v>
          </cell>
        </row>
        <row r="36">
          <cell r="B36">
            <v>514100503428</v>
          </cell>
          <cell r="C36" t="str">
            <v>RUMDIN DOKTER</v>
          </cell>
          <cell r="D36" t="str">
            <v>PELAS KRAS</v>
          </cell>
          <cell r="G36" t="str">
            <v>R1</v>
          </cell>
          <cell r="H36">
            <v>1300</v>
          </cell>
          <cell r="I36" t="str">
            <v>202505</v>
          </cell>
          <cell r="J36" t="str">
            <v>048542</v>
          </cell>
          <cell r="K36">
            <v>52</v>
          </cell>
          <cell r="L36">
            <v>75124</v>
          </cell>
          <cell r="M36">
            <v>0</v>
          </cell>
          <cell r="N36">
            <v>75124</v>
          </cell>
          <cell r="O36">
            <v>0</v>
          </cell>
          <cell r="P36">
            <v>0</v>
          </cell>
          <cell r="Q36">
            <v>0</v>
          </cell>
          <cell r="R36">
            <v>75124</v>
          </cell>
          <cell r="S36">
            <v>0</v>
          </cell>
          <cell r="T36">
            <v>75124</v>
          </cell>
          <cell r="U36">
            <v>0</v>
          </cell>
          <cell r="V36">
            <v>75124</v>
          </cell>
          <cell r="W36">
            <v>75124</v>
          </cell>
          <cell r="X36">
            <v>0</v>
          </cell>
        </row>
        <row r="37">
          <cell r="B37">
            <v>15683956</v>
          </cell>
          <cell r="C37">
            <v>0</v>
          </cell>
          <cell r="D37">
            <v>15683956</v>
          </cell>
          <cell r="E37">
            <v>0</v>
          </cell>
          <cell r="F37">
            <v>0</v>
          </cell>
          <cell r="G37">
            <v>3682</v>
          </cell>
          <cell r="H37">
            <v>15687638</v>
          </cell>
          <cell r="I37" t="str">
            <v>KEDIRI, May 2, 2025  14:56</v>
          </cell>
          <cell r="K37">
            <v>17556</v>
          </cell>
          <cell r="L37">
            <v>15683956</v>
          </cell>
          <cell r="M37">
            <v>0</v>
          </cell>
          <cell r="N37">
            <v>15683956</v>
          </cell>
          <cell r="O37">
            <v>0</v>
          </cell>
          <cell r="P37">
            <v>0</v>
          </cell>
          <cell r="Q37">
            <v>3682</v>
          </cell>
          <cell r="R37">
            <v>15687638</v>
          </cell>
          <cell r="S37">
            <v>3682</v>
          </cell>
          <cell r="T37">
            <v>15683956</v>
          </cell>
          <cell r="U37">
            <v>0</v>
          </cell>
          <cell r="V37">
            <v>15687638</v>
          </cell>
          <cell r="W37">
            <v>15687638</v>
          </cell>
          <cell r="X37">
            <v>0</v>
          </cell>
        </row>
        <row r="38">
          <cell r="H38">
            <v>134100</v>
          </cell>
          <cell r="M38"/>
          <cell r="S38"/>
          <cell r="T38"/>
          <cell r="U38"/>
          <cell r="V38"/>
          <cell r="W38"/>
          <cell r="X38"/>
        </row>
        <row r="39">
          <cell r="M39"/>
        </row>
        <row r="41">
          <cell r="B41"/>
        </row>
        <row r="43">
          <cell r="B43" t="str">
            <v>UP3 : KEDIRI
ULP : KEDIRI SELATAN</v>
          </cell>
          <cell r="C43" t="str">
            <v>LAPORAN TAGIHAN KODE KOLEKTIF NOTA BUKU
Bulan : MEI-2025</v>
          </cell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</row>
        <row r="44">
          <cell r="B44" t="str">
            <v>IDPEL</v>
          </cell>
          <cell r="C44" t="str">
            <v>NAMA</v>
          </cell>
          <cell r="D44" t="str">
            <v>ALAMAT</v>
          </cell>
          <cell r="E44" t="str">
            <v>TGL BAYAR</v>
          </cell>
          <cell r="F44" t="str">
            <v>KDPEMBAYAR</v>
          </cell>
          <cell r="G44" t="str">
            <v>TRP</v>
          </cell>
          <cell r="H44" t="str">
            <v>DAYA</v>
          </cell>
          <cell r="I44" t="str">
            <v>BLTH</v>
          </cell>
          <cell r="J44" t="str">
            <v>NOREK</v>
          </cell>
          <cell r="K44" t="str">
            <v>KWH</v>
          </cell>
          <cell r="L44" t="str">
            <v>PTL</v>
          </cell>
          <cell r="M44" t="str">
            <v>MAT</v>
          </cell>
          <cell r="N44" t="str">
            <v>PLN</v>
          </cell>
          <cell r="O44" t="str">
            <v>TRAFO</v>
          </cell>
          <cell r="P44" t="str">
            <v>PPN</v>
          </cell>
          <cell r="Q44" t="str">
            <v>PJU</v>
          </cell>
          <cell r="R44" t="str">
            <v>TAGIHAN</v>
          </cell>
        </row>
        <row r="45">
          <cell r="B45">
            <v>514100011091</v>
          </cell>
          <cell r="C45" t="str">
            <v>B.K.I.A.</v>
          </cell>
          <cell r="D45" t="str">
            <v>LETJEN SUTOYO</v>
          </cell>
          <cell r="E45"/>
          <cell r="F45"/>
          <cell r="G45" t="str">
            <v>R1M</v>
          </cell>
          <cell r="H45">
            <v>900</v>
          </cell>
          <cell r="I45" t="str">
            <v>202505</v>
          </cell>
          <cell r="J45" t="str">
            <v>064466</v>
          </cell>
          <cell r="K45">
            <v>36</v>
          </cell>
          <cell r="L45">
            <v>48672</v>
          </cell>
          <cell r="M45">
            <v>0</v>
          </cell>
          <cell r="N45">
            <v>48672</v>
          </cell>
          <cell r="O45">
            <v>0</v>
          </cell>
          <cell r="P45">
            <v>0</v>
          </cell>
          <cell r="Q45">
            <v>0</v>
          </cell>
          <cell r="R45">
            <v>48672</v>
          </cell>
          <cell r="S45">
            <v>0</v>
          </cell>
          <cell r="T45">
            <v>48672</v>
          </cell>
          <cell r="U45">
            <v>0</v>
          </cell>
          <cell r="V45">
            <v>48672</v>
          </cell>
          <cell r="W45">
            <v>48672</v>
          </cell>
          <cell r="X45">
            <v>0</v>
          </cell>
        </row>
        <row r="46">
          <cell r="B46">
            <v>514100028524</v>
          </cell>
          <cell r="C46" t="str">
            <v>PUSKESMAS KOTA MADYA</v>
          </cell>
          <cell r="D46" t="str">
            <v>CENDANA</v>
          </cell>
          <cell r="E46"/>
          <cell r="F46"/>
          <cell r="G46" t="str">
            <v>S1</v>
          </cell>
          <cell r="H46">
            <v>33000</v>
          </cell>
          <cell r="I46" t="str">
            <v>202505</v>
          </cell>
          <cell r="J46" t="str">
            <v>069281</v>
          </cell>
          <cell r="K46">
            <v>4819</v>
          </cell>
          <cell r="L46">
            <v>4337100</v>
          </cell>
          <cell r="M46">
            <v>0</v>
          </cell>
          <cell r="N46">
            <v>4337100</v>
          </cell>
          <cell r="O46">
            <v>0</v>
          </cell>
          <cell r="P46">
            <v>0</v>
          </cell>
          <cell r="Q46">
            <v>0</v>
          </cell>
          <cell r="R46">
            <v>4337100</v>
          </cell>
          <cell r="S46">
            <v>0</v>
          </cell>
          <cell r="T46">
            <v>4337100</v>
          </cell>
          <cell r="U46">
            <v>0</v>
          </cell>
          <cell r="V46">
            <v>4337100</v>
          </cell>
          <cell r="W46">
            <v>4337100</v>
          </cell>
          <cell r="X46">
            <v>0</v>
          </cell>
        </row>
        <row r="47">
          <cell r="B47">
            <v>514100038643</v>
          </cell>
          <cell r="C47" t="str">
            <v>RUMAH PEMB DOKTER</v>
          </cell>
          <cell r="D47" t="str">
            <v>CENDANA</v>
          </cell>
          <cell r="E47"/>
          <cell r="F47"/>
          <cell r="G47" t="str">
            <v>R2</v>
          </cell>
          <cell r="H47">
            <v>5500</v>
          </cell>
          <cell r="I47" t="str">
            <v>202505</v>
          </cell>
          <cell r="J47" t="str">
            <v>056224</v>
          </cell>
          <cell r="K47">
            <v>427</v>
          </cell>
          <cell r="L47">
            <v>725699</v>
          </cell>
          <cell r="M47">
            <v>0</v>
          </cell>
          <cell r="N47">
            <v>725699</v>
          </cell>
          <cell r="O47">
            <v>0</v>
          </cell>
          <cell r="P47">
            <v>0</v>
          </cell>
          <cell r="Q47">
            <v>0</v>
          </cell>
          <cell r="R47">
            <v>725699</v>
          </cell>
          <cell r="S47">
            <v>0</v>
          </cell>
          <cell r="T47">
            <v>725699</v>
          </cell>
          <cell r="U47">
            <v>0</v>
          </cell>
          <cell r="V47">
            <v>725699</v>
          </cell>
          <cell r="W47">
            <v>725699</v>
          </cell>
          <cell r="X47">
            <v>0</v>
          </cell>
        </row>
        <row r="48">
          <cell r="B48">
            <v>514100056193</v>
          </cell>
          <cell r="C48" t="str">
            <v>PUSKESMAS ST PANDE</v>
          </cell>
          <cell r="D48" t="str">
            <v>SETONOBETEK</v>
          </cell>
          <cell r="E48"/>
          <cell r="F48"/>
          <cell r="G48" t="str">
            <v>S1</v>
          </cell>
          <cell r="H48">
            <v>16500</v>
          </cell>
          <cell r="I48" t="str">
            <v>202505</v>
          </cell>
          <cell r="J48" t="str">
            <v>048748</v>
          </cell>
          <cell r="K48">
            <v>3538</v>
          </cell>
          <cell r="L48">
            <v>3184200</v>
          </cell>
          <cell r="M48">
            <v>0</v>
          </cell>
          <cell r="N48">
            <v>3184200</v>
          </cell>
          <cell r="O48">
            <v>0</v>
          </cell>
          <cell r="P48">
            <v>0</v>
          </cell>
          <cell r="Q48">
            <v>0</v>
          </cell>
          <cell r="R48">
            <v>3184200</v>
          </cell>
          <cell r="S48">
            <v>0</v>
          </cell>
          <cell r="T48">
            <v>3184200</v>
          </cell>
          <cell r="U48">
            <v>0</v>
          </cell>
          <cell r="V48">
            <v>3184200</v>
          </cell>
          <cell r="W48">
            <v>3184200</v>
          </cell>
          <cell r="X48">
            <v>0</v>
          </cell>
        </row>
        <row r="49">
          <cell r="B49">
            <v>514100056206</v>
          </cell>
          <cell r="C49" t="str">
            <v>RUMDIN DR PUSKESMAS</v>
          </cell>
          <cell r="D49" t="str">
            <v>SETONOBETEK</v>
          </cell>
          <cell r="E49"/>
          <cell r="F49"/>
          <cell r="G49" t="str">
            <v>R1</v>
          </cell>
          <cell r="H49">
            <v>1300</v>
          </cell>
          <cell r="I49" t="str">
            <v>202505</v>
          </cell>
          <cell r="J49" t="str">
            <v>056058</v>
          </cell>
          <cell r="K49">
            <v>52</v>
          </cell>
          <cell r="L49">
            <v>75124</v>
          </cell>
          <cell r="M49">
            <v>0</v>
          </cell>
          <cell r="N49">
            <v>75124</v>
          </cell>
          <cell r="O49">
            <v>0</v>
          </cell>
          <cell r="P49">
            <v>0</v>
          </cell>
          <cell r="Q49">
            <v>0</v>
          </cell>
          <cell r="R49">
            <v>75124</v>
          </cell>
          <cell r="S49">
            <v>0</v>
          </cell>
          <cell r="T49">
            <v>75124</v>
          </cell>
          <cell r="U49">
            <v>0</v>
          </cell>
          <cell r="V49">
            <v>75124</v>
          </cell>
          <cell r="W49">
            <v>75124</v>
          </cell>
          <cell r="X49">
            <v>0</v>
          </cell>
        </row>
        <row r="50">
          <cell r="B50">
            <v>514100056214</v>
          </cell>
          <cell r="C50" t="str">
            <v>RD MANTRI PUSKESMAS</v>
          </cell>
          <cell r="D50" t="str">
            <v>SETONOBETEK</v>
          </cell>
          <cell r="E50"/>
          <cell r="F50"/>
          <cell r="G50" t="str">
            <v>S1</v>
          </cell>
          <cell r="H50">
            <v>16500</v>
          </cell>
          <cell r="I50" t="str">
            <v>202505</v>
          </cell>
          <cell r="J50" t="str">
            <v>010349</v>
          </cell>
          <cell r="K50">
            <v>660</v>
          </cell>
          <cell r="L50">
            <v>594000</v>
          </cell>
          <cell r="M50">
            <v>0</v>
          </cell>
          <cell r="N50">
            <v>594000</v>
          </cell>
          <cell r="O50">
            <v>0</v>
          </cell>
          <cell r="P50">
            <v>0</v>
          </cell>
          <cell r="Q50">
            <v>0</v>
          </cell>
          <cell r="R50">
            <v>594000</v>
          </cell>
          <cell r="S50">
            <v>0</v>
          </cell>
          <cell r="T50">
            <v>594000</v>
          </cell>
          <cell r="U50">
            <v>0</v>
          </cell>
          <cell r="V50">
            <v>594000</v>
          </cell>
          <cell r="W50">
            <v>594000</v>
          </cell>
          <cell r="X50">
            <v>0</v>
          </cell>
        </row>
        <row r="51">
          <cell r="B51">
            <v>514100064180</v>
          </cell>
          <cell r="C51" t="str">
            <v>R D DOKTER PUSKESMAS</v>
          </cell>
          <cell r="D51" t="str">
            <v>KAPT TENDEAN</v>
          </cell>
          <cell r="E51"/>
          <cell r="F51"/>
          <cell r="G51" t="str">
            <v>R3</v>
          </cell>
          <cell r="H51">
            <v>13200</v>
          </cell>
          <cell r="I51" t="str">
            <v>202505</v>
          </cell>
          <cell r="J51" t="str">
            <v>069412</v>
          </cell>
          <cell r="K51">
            <v>3151</v>
          </cell>
          <cell r="L51">
            <v>5355219</v>
          </cell>
          <cell r="M51">
            <v>10000</v>
          </cell>
          <cell r="N51">
            <v>5365219</v>
          </cell>
          <cell r="O51">
            <v>0</v>
          </cell>
          <cell r="P51">
            <v>589074</v>
          </cell>
          <cell r="Q51">
            <v>0</v>
          </cell>
          <cell r="R51">
            <v>5944293</v>
          </cell>
          <cell r="S51">
            <v>589074</v>
          </cell>
          <cell r="T51">
            <v>5355219</v>
          </cell>
          <cell r="U51">
            <v>10000</v>
          </cell>
          <cell r="V51">
            <v>5954293</v>
          </cell>
          <cell r="W51">
            <v>5944293</v>
          </cell>
          <cell r="X51">
            <v>0</v>
          </cell>
        </row>
        <row r="52">
          <cell r="B52">
            <v>514100064198</v>
          </cell>
          <cell r="C52" t="str">
            <v>R D BIDAN PUSKESMAS</v>
          </cell>
          <cell r="D52" t="str">
            <v>KAPT TENDEAN</v>
          </cell>
          <cell r="E52"/>
          <cell r="F52"/>
          <cell r="G52" t="str">
            <v>R1</v>
          </cell>
          <cell r="H52">
            <v>450</v>
          </cell>
          <cell r="I52" t="str">
            <v>202505</v>
          </cell>
          <cell r="J52" t="str">
            <v>000468</v>
          </cell>
          <cell r="K52">
            <v>77</v>
          </cell>
          <cell r="L52">
            <v>29235</v>
          </cell>
          <cell r="M52">
            <v>0</v>
          </cell>
          <cell r="N52">
            <v>29235</v>
          </cell>
          <cell r="O52">
            <v>0</v>
          </cell>
          <cell r="P52">
            <v>0</v>
          </cell>
          <cell r="Q52">
            <v>0</v>
          </cell>
          <cell r="R52">
            <v>29235</v>
          </cell>
          <cell r="S52">
            <v>0</v>
          </cell>
          <cell r="T52">
            <v>29235</v>
          </cell>
          <cell r="U52">
            <v>0</v>
          </cell>
          <cell r="V52">
            <v>29235</v>
          </cell>
          <cell r="W52">
            <v>29235</v>
          </cell>
          <cell r="X52">
            <v>0</v>
          </cell>
        </row>
        <row r="53">
          <cell r="B53">
            <v>514100065867</v>
          </cell>
          <cell r="C53" t="str">
            <v>PUSKESMAS KOTA</v>
          </cell>
          <cell r="D53" t="str">
            <v>KAPT TENDEAN</v>
          </cell>
          <cell r="E53"/>
          <cell r="F53"/>
          <cell r="G53" t="str">
            <v>S1</v>
          </cell>
          <cell r="H53">
            <v>13200</v>
          </cell>
          <cell r="I53" t="str">
            <v>202505</v>
          </cell>
          <cell r="J53" t="str">
            <v>069444</v>
          </cell>
          <cell r="K53">
            <v>2119</v>
          </cell>
          <cell r="L53">
            <v>1907100</v>
          </cell>
          <cell r="M53">
            <v>0</v>
          </cell>
          <cell r="N53">
            <v>1907100</v>
          </cell>
          <cell r="O53">
            <v>0</v>
          </cell>
          <cell r="P53">
            <v>0</v>
          </cell>
          <cell r="Q53">
            <v>0</v>
          </cell>
          <cell r="R53">
            <v>1907100</v>
          </cell>
          <cell r="S53">
            <v>0</v>
          </cell>
          <cell r="T53">
            <v>1907100</v>
          </cell>
          <cell r="U53">
            <v>0</v>
          </cell>
          <cell r="V53">
            <v>1907100</v>
          </cell>
          <cell r="W53">
            <v>1907100</v>
          </cell>
          <cell r="X53">
            <v>0</v>
          </cell>
        </row>
        <row r="54">
          <cell r="B54">
            <v>514100153137</v>
          </cell>
          <cell r="C54" t="str">
            <v>B K I A</v>
          </cell>
          <cell r="D54" t="str">
            <v>BLABAK</v>
          </cell>
          <cell r="E54"/>
          <cell r="F54"/>
          <cell r="G54" t="str">
            <v>R1M</v>
          </cell>
          <cell r="H54">
            <v>900</v>
          </cell>
          <cell r="I54" t="str">
            <v>202505</v>
          </cell>
          <cell r="J54" t="str">
            <v>048571</v>
          </cell>
          <cell r="K54">
            <v>36</v>
          </cell>
          <cell r="L54">
            <v>48672</v>
          </cell>
          <cell r="M54">
            <v>0</v>
          </cell>
          <cell r="N54">
            <v>48672</v>
          </cell>
          <cell r="O54">
            <v>0</v>
          </cell>
          <cell r="P54">
            <v>0</v>
          </cell>
          <cell r="Q54">
            <v>0</v>
          </cell>
          <cell r="R54">
            <v>48672</v>
          </cell>
          <cell r="S54">
            <v>0</v>
          </cell>
          <cell r="T54">
            <v>48672</v>
          </cell>
          <cell r="U54">
            <v>0</v>
          </cell>
          <cell r="V54">
            <v>48672</v>
          </cell>
          <cell r="W54">
            <v>48672</v>
          </cell>
          <cell r="X54">
            <v>0</v>
          </cell>
        </row>
        <row r="55">
          <cell r="B55">
            <v>514100160147</v>
          </cell>
          <cell r="C55" t="str">
            <v>PUS KES MAS PEMBANTU</v>
          </cell>
          <cell r="D55" t="str">
            <v>URIP SUMOHARJO</v>
          </cell>
          <cell r="E55"/>
          <cell r="F55"/>
          <cell r="G55" t="str">
            <v>R1M</v>
          </cell>
          <cell r="H55">
            <v>900</v>
          </cell>
          <cell r="I55" t="str">
            <v>202505</v>
          </cell>
          <cell r="J55" t="str">
            <v>066042</v>
          </cell>
          <cell r="K55">
            <v>36</v>
          </cell>
          <cell r="L55">
            <v>48672</v>
          </cell>
          <cell r="M55">
            <v>0</v>
          </cell>
          <cell r="N55">
            <v>48672</v>
          </cell>
          <cell r="O55">
            <v>0</v>
          </cell>
          <cell r="P55">
            <v>0</v>
          </cell>
          <cell r="Q55">
            <v>0</v>
          </cell>
          <cell r="R55">
            <v>48672</v>
          </cell>
          <cell r="S55">
            <v>0</v>
          </cell>
          <cell r="T55">
            <v>48672</v>
          </cell>
          <cell r="U55">
            <v>0</v>
          </cell>
          <cell r="V55">
            <v>48672</v>
          </cell>
          <cell r="W55">
            <v>48672</v>
          </cell>
          <cell r="X55">
            <v>0</v>
          </cell>
        </row>
        <row r="56">
          <cell r="B56">
            <v>514100215295</v>
          </cell>
          <cell r="C56" t="str">
            <v>PUSKESMAS</v>
          </cell>
          <cell r="D56" t="str">
            <v>NGLETIH</v>
          </cell>
          <cell r="E56"/>
          <cell r="F56"/>
          <cell r="G56" t="str">
            <v>S1</v>
          </cell>
          <cell r="H56">
            <v>33000</v>
          </cell>
          <cell r="I56" t="str">
            <v>202505</v>
          </cell>
          <cell r="J56" t="str">
            <v>069365</v>
          </cell>
          <cell r="K56">
            <v>3278</v>
          </cell>
          <cell r="L56">
            <v>2950200</v>
          </cell>
          <cell r="M56">
            <v>0</v>
          </cell>
          <cell r="N56">
            <v>2950200</v>
          </cell>
          <cell r="O56">
            <v>0</v>
          </cell>
          <cell r="P56">
            <v>0</v>
          </cell>
          <cell r="Q56">
            <v>0</v>
          </cell>
          <cell r="R56">
            <v>2950200</v>
          </cell>
          <cell r="S56">
            <v>0</v>
          </cell>
          <cell r="T56">
            <v>2950200</v>
          </cell>
          <cell r="U56">
            <v>0</v>
          </cell>
          <cell r="V56">
            <v>2950200</v>
          </cell>
          <cell r="W56">
            <v>2950200</v>
          </cell>
          <cell r="X56">
            <v>0</v>
          </cell>
        </row>
        <row r="57">
          <cell r="B57">
            <v>514100266002</v>
          </cell>
          <cell r="C57" t="str">
            <v>PUSKESMAS PEMBANTU</v>
          </cell>
          <cell r="D57" t="str">
            <v>KLECO</v>
          </cell>
          <cell r="E57"/>
          <cell r="F57"/>
          <cell r="G57" t="str">
            <v>S1</v>
          </cell>
          <cell r="H57">
            <v>1300</v>
          </cell>
          <cell r="I57" t="str">
            <v>202505</v>
          </cell>
          <cell r="J57" t="str">
            <v>064159</v>
          </cell>
          <cell r="K57">
            <v>251</v>
          </cell>
          <cell r="L57">
            <v>177708</v>
          </cell>
          <cell r="M57">
            <v>0</v>
          </cell>
          <cell r="N57">
            <v>177708</v>
          </cell>
          <cell r="O57">
            <v>0</v>
          </cell>
          <cell r="P57">
            <v>0</v>
          </cell>
          <cell r="Q57">
            <v>0</v>
          </cell>
          <cell r="R57">
            <v>177708</v>
          </cell>
          <cell r="S57">
            <v>0</v>
          </cell>
          <cell r="T57">
            <v>177708</v>
          </cell>
          <cell r="U57">
            <v>0</v>
          </cell>
          <cell r="V57">
            <v>177708</v>
          </cell>
          <cell r="W57">
            <v>177708</v>
          </cell>
          <cell r="X57">
            <v>0</v>
          </cell>
        </row>
        <row r="58">
          <cell r="B58">
            <v>514100278127</v>
          </cell>
          <cell r="C58" t="str">
            <v>PUSKESMAS BANARAN</v>
          </cell>
          <cell r="D58" t="str">
            <v>BANARAN</v>
          </cell>
          <cell r="E58"/>
          <cell r="F58"/>
          <cell r="G58" t="str">
            <v>S1</v>
          </cell>
          <cell r="H58">
            <v>900</v>
          </cell>
          <cell r="I58" t="str">
            <v>202505</v>
          </cell>
          <cell r="J58" t="str">
            <v>048331</v>
          </cell>
          <cell r="K58">
            <v>11</v>
          </cell>
          <cell r="L58">
            <v>15700</v>
          </cell>
          <cell r="M58">
            <v>0</v>
          </cell>
          <cell r="N58">
            <v>15700</v>
          </cell>
          <cell r="O58">
            <v>0</v>
          </cell>
          <cell r="P58">
            <v>0</v>
          </cell>
          <cell r="Q58">
            <v>0</v>
          </cell>
          <cell r="R58">
            <v>15700</v>
          </cell>
          <cell r="S58">
            <v>0</v>
          </cell>
          <cell r="T58">
            <v>15700</v>
          </cell>
          <cell r="U58">
            <v>0</v>
          </cell>
          <cell r="V58">
            <v>15700</v>
          </cell>
          <cell r="W58">
            <v>15700</v>
          </cell>
          <cell r="X58">
            <v>0</v>
          </cell>
        </row>
        <row r="59">
          <cell r="B59">
            <v>514100312334</v>
          </cell>
          <cell r="C59" t="str">
            <v>GUDANG FARMASI D KES</v>
          </cell>
          <cell r="D59" t="str">
            <v>MAUNI</v>
          </cell>
          <cell r="E59"/>
          <cell r="F59"/>
          <cell r="G59" t="str">
            <v>P1</v>
          </cell>
          <cell r="H59">
            <v>16500</v>
          </cell>
          <cell r="I59" t="str">
            <v>202505</v>
          </cell>
          <cell r="J59" t="str">
            <v>054420</v>
          </cell>
          <cell r="K59">
            <v>4015</v>
          </cell>
          <cell r="L59">
            <v>6823613</v>
          </cell>
          <cell r="M59">
            <v>10000</v>
          </cell>
          <cell r="N59">
            <v>6833613</v>
          </cell>
          <cell r="O59">
            <v>0</v>
          </cell>
          <cell r="P59">
            <v>0</v>
          </cell>
          <cell r="Q59">
            <v>0</v>
          </cell>
          <cell r="R59">
            <v>6823613</v>
          </cell>
          <cell r="S59">
            <v>0</v>
          </cell>
          <cell r="T59">
            <v>6823613</v>
          </cell>
          <cell r="U59">
            <v>10000</v>
          </cell>
          <cell r="V59">
            <v>6833613</v>
          </cell>
          <cell r="W59">
            <v>6823613</v>
          </cell>
          <cell r="X59">
            <v>0</v>
          </cell>
        </row>
        <row r="60">
          <cell r="B60">
            <v>514100388713</v>
          </cell>
          <cell r="C60" t="str">
            <v>PUSKESMAS PEMBANTU</v>
          </cell>
          <cell r="D60" t="str">
            <v>KWANGKALAN</v>
          </cell>
          <cell r="E60"/>
          <cell r="F60"/>
          <cell r="G60" t="str">
            <v>S1</v>
          </cell>
          <cell r="H60">
            <v>450</v>
          </cell>
          <cell r="I60" t="str">
            <v>202505</v>
          </cell>
          <cell r="J60" t="str">
            <v>053794</v>
          </cell>
          <cell r="K60">
            <v>25</v>
          </cell>
          <cell r="L60">
            <v>7575</v>
          </cell>
          <cell r="M60">
            <v>0</v>
          </cell>
          <cell r="N60">
            <v>7575</v>
          </cell>
          <cell r="O60">
            <v>0</v>
          </cell>
          <cell r="P60">
            <v>0</v>
          </cell>
          <cell r="Q60">
            <v>0</v>
          </cell>
          <cell r="R60">
            <v>7575</v>
          </cell>
          <cell r="S60">
            <v>0</v>
          </cell>
          <cell r="T60">
            <v>7575</v>
          </cell>
          <cell r="U60">
            <v>0</v>
          </cell>
          <cell r="V60">
            <v>7575</v>
          </cell>
          <cell r="W60">
            <v>7575</v>
          </cell>
          <cell r="X60">
            <v>0</v>
          </cell>
        </row>
        <row r="61">
          <cell r="B61">
            <v>514100388721</v>
          </cell>
          <cell r="C61" t="str">
            <v>PUSKESMAS PEMBANTU</v>
          </cell>
          <cell r="D61" t="str">
            <v>BETET</v>
          </cell>
          <cell r="E61"/>
          <cell r="F61"/>
          <cell r="G61" t="str">
            <v>S1</v>
          </cell>
          <cell r="H61">
            <v>450</v>
          </cell>
          <cell r="I61" t="str">
            <v>202505</v>
          </cell>
          <cell r="J61" t="str">
            <v>058259</v>
          </cell>
          <cell r="K61">
            <v>19</v>
          </cell>
          <cell r="L61">
            <v>6837</v>
          </cell>
          <cell r="M61">
            <v>0</v>
          </cell>
          <cell r="N61">
            <v>6837</v>
          </cell>
          <cell r="O61">
            <v>0</v>
          </cell>
          <cell r="P61">
            <v>0</v>
          </cell>
          <cell r="Q61">
            <v>0</v>
          </cell>
          <cell r="R61">
            <v>6837</v>
          </cell>
          <cell r="S61">
            <v>0</v>
          </cell>
          <cell r="T61">
            <v>6837</v>
          </cell>
          <cell r="U61">
            <v>0</v>
          </cell>
          <cell r="V61">
            <v>6837</v>
          </cell>
          <cell r="W61">
            <v>6837</v>
          </cell>
          <cell r="X61">
            <v>0</v>
          </cell>
        </row>
        <row r="62">
          <cell r="B62">
            <v>514100418958</v>
          </cell>
          <cell r="C62" t="str">
            <v>RUMDIN PARAMEDIS</v>
          </cell>
          <cell r="D62" t="str">
            <v>DADAPAN</v>
          </cell>
          <cell r="E62"/>
          <cell r="F62"/>
          <cell r="G62" t="str">
            <v>R1</v>
          </cell>
          <cell r="H62">
            <v>450</v>
          </cell>
          <cell r="I62" t="str">
            <v>202505</v>
          </cell>
          <cell r="J62" t="str">
            <v>064175</v>
          </cell>
          <cell r="K62">
            <v>29</v>
          </cell>
          <cell r="L62">
            <v>9851</v>
          </cell>
          <cell r="M62">
            <v>0</v>
          </cell>
          <cell r="N62">
            <v>9851</v>
          </cell>
          <cell r="O62">
            <v>0</v>
          </cell>
          <cell r="P62">
            <v>0</v>
          </cell>
          <cell r="Q62">
            <v>0</v>
          </cell>
          <cell r="R62">
            <v>9851</v>
          </cell>
          <cell r="S62">
            <v>0</v>
          </cell>
          <cell r="T62">
            <v>9851</v>
          </cell>
          <cell r="U62">
            <v>0</v>
          </cell>
          <cell r="V62">
            <v>9851</v>
          </cell>
          <cell r="W62">
            <v>9851</v>
          </cell>
          <cell r="X62">
            <v>0</v>
          </cell>
        </row>
        <row r="63">
          <cell r="B63">
            <v>514100478547</v>
          </cell>
          <cell r="C63" t="str">
            <v>PUSKESMAS</v>
          </cell>
          <cell r="D63" t="str">
            <v>REJOMULYO</v>
          </cell>
          <cell r="E63"/>
          <cell r="F63"/>
          <cell r="G63" t="str">
            <v>S1</v>
          </cell>
          <cell r="H63">
            <v>450</v>
          </cell>
          <cell r="I63" t="str">
            <v>202505</v>
          </cell>
          <cell r="J63" t="str">
            <v>066651</v>
          </cell>
          <cell r="K63">
            <v>241</v>
          </cell>
          <cell r="L63">
            <v>81300</v>
          </cell>
          <cell r="M63">
            <v>0</v>
          </cell>
          <cell r="N63">
            <v>81300</v>
          </cell>
          <cell r="O63">
            <v>0</v>
          </cell>
          <cell r="P63">
            <v>0</v>
          </cell>
          <cell r="Q63">
            <v>0</v>
          </cell>
          <cell r="R63">
            <v>81300</v>
          </cell>
          <cell r="S63">
            <v>0</v>
          </cell>
          <cell r="T63">
            <v>81300</v>
          </cell>
          <cell r="U63">
            <v>0</v>
          </cell>
          <cell r="V63">
            <v>81300</v>
          </cell>
          <cell r="W63">
            <v>81300</v>
          </cell>
          <cell r="X63">
            <v>0</v>
          </cell>
        </row>
        <row r="64">
          <cell r="B64">
            <v>514100564122</v>
          </cell>
          <cell r="C64" t="str">
            <v>PUSKESMAS PEMBANTU</v>
          </cell>
          <cell r="D64" t="str">
            <v>GROGOL</v>
          </cell>
          <cell r="E64"/>
          <cell r="F64"/>
          <cell r="G64" t="str">
            <v>S1</v>
          </cell>
          <cell r="H64">
            <v>900</v>
          </cell>
          <cell r="I64" t="str">
            <v>202505</v>
          </cell>
          <cell r="J64" t="str">
            <v>056567</v>
          </cell>
          <cell r="K64">
            <v>16</v>
          </cell>
          <cell r="L64">
            <v>16700</v>
          </cell>
          <cell r="M64">
            <v>0</v>
          </cell>
          <cell r="N64">
            <v>16700</v>
          </cell>
          <cell r="O64">
            <v>0</v>
          </cell>
          <cell r="P64">
            <v>0</v>
          </cell>
          <cell r="Q64">
            <v>0</v>
          </cell>
          <cell r="R64">
            <v>16700</v>
          </cell>
          <cell r="S64">
            <v>0</v>
          </cell>
          <cell r="T64">
            <v>16700</v>
          </cell>
          <cell r="U64">
            <v>0</v>
          </cell>
          <cell r="V64">
            <v>16700</v>
          </cell>
          <cell r="W64">
            <v>16700</v>
          </cell>
          <cell r="X64">
            <v>0</v>
          </cell>
        </row>
        <row r="65">
          <cell r="B65">
            <v>514100675793</v>
          </cell>
          <cell r="C65" t="str">
            <v>RUMDIN. PUSKESMAS</v>
          </cell>
          <cell r="D65" t="str">
            <v>NGLETIH PESANTREN</v>
          </cell>
          <cell r="E65"/>
          <cell r="F65"/>
          <cell r="G65" t="str">
            <v>R1</v>
          </cell>
          <cell r="H65">
            <v>1300</v>
          </cell>
          <cell r="I65" t="str">
            <v>202505</v>
          </cell>
          <cell r="J65" t="str">
            <v>015963</v>
          </cell>
          <cell r="K65">
            <v>361</v>
          </cell>
          <cell r="L65">
            <v>521537</v>
          </cell>
          <cell r="M65">
            <v>0</v>
          </cell>
          <cell r="N65">
            <v>521537</v>
          </cell>
          <cell r="O65">
            <v>0</v>
          </cell>
          <cell r="P65">
            <v>0</v>
          </cell>
          <cell r="Q65">
            <v>0</v>
          </cell>
          <cell r="R65">
            <v>521537</v>
          </cell>
          <cell r="S65">
            <v>0</v>
          </cell>
          <cell r="T65">
            <v>521537</v>
          </cell>
          <cell r="U65">
            <v>0</v>
          </cell>
          <cell r="V65">
            <v>521537</v>
          </cell>
          <cell r="W65">
            <v>521537</v>
          </cell>
          <cell r="X65">
            <v>0</v>
          </cell>
        </row>
        <row r="66">
          <cell r="B66">
            <v>514100714276</v>
          </cell>
          <cell r="C66" t="str">
            <v>MARGIONO</v>
          </cell>
          <cell r="D66" t="str">
            <v>SINGONEGARAN</v>
          </cell>
          <cell r="E66"/>
          <cell r="F66"/>
          <cell r="G66" t="str">
            <v>R2</v>
          </cell>
          <cell r="H66">
            <v>5500</v>
          </cell>
          <cell r="I66" t="str">
            <v>202505</v>
          </cell>
          <cell r="J66" t="str">
            <v>048778</v>
          </cell>
          <cell r="K66">
            <v>345</v>
          </cell>
          <cell r="L66">
            <v>586338</v>
          </cell>
          <cell r="M66">
            <v>0</v>
          </cell>
          <cell r="N66">
            <v>586338</v>
          </cell>
          <cell r="O66">
            <v>0</v>
          </cell>
          <cell r="P66">
            <v>0</v>
          </cell>
          <cell r="Q66">
            <v>0</v>
          </cell>
          <cell r="R66">
            <v>586338</v>
          </cell>
          <cell r="S66">
            <v>0</v>
          </cell>
          <cell r="T66">
            <v>586338</v>
          </cell>
          <cell r="U66">
            <v>0</v>
          </cell>
          <cell r="V66">
            <v>586338</v>
          </cell>
          <cell r="W66">
            <v>586338</v>
          </cell>
          <cell r="X66">
            <v>0</v>
          </cell>
        </row>
        <row r="67">
          <cell r="B67">
            <v>514100722288</v>
          </cell>
          <cell r="C67" t="str">
            <v>PUSKESMAS PEMBANTU</v>
          </cell>
          <cell r="D67" t="str">
            <v>MANISRENGGO</v>
          </cell>
          <cell r="E67"/>
          <cell r="F67"/>
          <cell r="G67" t="str">
            <v>S1</v>
          </cell>
          <cell r="H67">
            <v>1300</v>
          </cell>
          <cell r="I67" t="str">
            <v>202505</v>
          </cell>
          <cell r="J67" t="str">
            <v>031781</v>
          </cell>
          <cell r="K67">
            <v>181</v>
          </cell>
          <cell r="L67">
            <v>128148</v>
          </cell>
          <cell r="M67">
            <v>0</v>
          </cell>
          <cell r="N67">
            <v>128148</v>
          </cell>
          <cell r="O67">
            <v>0</v>
          </cell>
          <cell r="P67">
            <v>0</v>
          </cell>
          <cell r="Q67">
            <v>0</v>
          </cell>
          <cell r="R67">
            <v>128148</v>
          </cell>
          <cell r="S67">
            <v>0</v>
          </cell>
          <cell r="T67">
            <v>128148</v>
          </cell>
          <cell r="U67">
            <v>0</v>
          </cell>
          <cell r="V67">
            <v>128148</v>
          </cell>
          <cell r="W67">
            <v>128148</v>
          </cell>
          <cell r="X67">
            <v>0</v>
          </cell>
        </row>
        <row r="68">
          <cell r="B68">
            <v>514100753573</v>
          </cell>
          <cell r="C68" t="str">
            <v>PUSKESMAS PESANTREN I</v>
          </cell>
          <cell r="D68" t="str">
            <v>MAUNI</v>
          </cell>
          <cell r="E68"/>
          <cell r="F68"/>
          <cell r="G68" t="str">
            <v>S1</v>
          </cell>
          <cell r="H68">
            <v>33000</v>
          </cell>
          <cell r="I68" t="str">
            <v>202505</v>
          </cell>
          <cell r="J68" t="str">
            <v>069265</v>
          </cell>
          <cell r="K68">
            <v>3533</v>
          </cell>
          <cell r="L68">
            <v>3179700</v>
          </cell>
          <cell r="M68">
            <v>0</v>
          </cell>
          <cell r="N68">
            <v>3179700</v>
          </cell>
          <cell r="O68">
            <v>0</v>
          </cell>
          <cell r="P68">
            <v>0</v>
          </cell>
          <cell r="Q68">
            <v>0</v>
          </cell>
          <cell r="R68">
            <v>3179700</v>
          </cell>
          <cell r="S68">
            <v>0</v>
          </cell>
          <cell r="T68">
            <v>3179700</v>
          </cell>
          <cell r="U68">
            <v>0</v>
          </cell>
          <cell r="V68">
            <v>3179700</v>
          </cell>
          <cell r="W68">
            <v>3179700</v>
          </cell>
          <cell r="X68">
            <v>0</v>
          </cell>
        </row>
        <row r="69">
          <cell r="B69">
            <v>514100764447</v>
          </cell>
          <cell r="C69" t="str">
            <v>SUMEDI, SKM, MM/PUSKESMAS</v>
          </cell>
          <cell r="D69" t="str">
            <v>BLABAK</v>
          </cell>
          <cell r="E69"/>
          <cell r="F69"/>
          <cell r="G69" t="str">
            <v>S1</v>
          </cell>
          <cell r="H69">
            <v>900</v>
          </cell>
          <cell r="I69" t="str">
            <v>202505</v>
          </cell>
          <cell r="J69" t="str">
            <v>068365</v>
          </cell>
          <cell r="K69">
            <v>30</v>
          </cell>
          <cell r="L69">
            <v>20450</v>
          </cell>
          <cell r="M69">
            <v>0</v>
          </cell>
          <cell r="N69">
            <v>20450</v>
          </cell>
          <cell r="O69">
            <v>0</v>
          </cell>
          <cell r="P69">
            <v>0</v>
          </cell>
          <cell r="Q69">
            <v>0</v>
          </cell>
          <cell r="R69">
            <v>20450</v>
          </cell>
          <cell r="S69">
            <v>0</v>
          </cell>
          <cell r="T69">
            <v>20450</v>
          </cell>
          <cell r="U69">
            <v>0</v>
          </cell>
          <cell r="V69">
            <v>20450</v>
          </cell>
          <cell r="W69">
            <v>20450</v>
          </cell>
          <cell r="X69">
            <v>0</v>
          </cell>
        </row>
        <row r="70">
          <cell r="B70">
            <v>514100764811</v>
          </cell>
          <cell r="C70" t="str">
            <v>PUSKESMAS(R.RADIOLOGI)</v>
          </cell>
          <cell r="D70" t="str">
            <v>NGLETIH</v>
          </cell>
          <cell r="E70"/>
          <cell r="F70"/>
          <cell r="G70" t="str">
            <v>S1</v>
          </cell>
          <cell r="H70">
            <v>5500</v>
          </cell>
          <cell r="I70" t="str">
            <v>202505</v>
          </cell>
          <cell r="J70" t="str">
            <v>001254</v>
          </cell>
          <cell r="K70">
            <v>220</v>
          </cell>
          <cell r="L70">
            <v>198000</v>
          </cell>
          <cell r="M70">
            <v>0</v>
          </cell>
          <cell r="N70">
            <v>198000</v>
          </cell>
          <cell r="O70">
            <v>0</v>
          </cell>
          <cell r="P70">
            <v>0</v>
          </cell>
          <cell r="Q70">
            <v>0</v>
          </cell>
          <cell r="R70">
            <v>198000</v>
          </cell>
          <cell r="S70">
            <v>0</v>
          </cell>
          <cell r="T70">
            <v>198000</v>
          </cell>
          <cell r="U70">
            <v>0</v>
          </cell>
          <cell r="V70">
            <v>198000</v>
          </cell>
          <cell r="W70">
            <v>198000</v>
          </cell>
          <cell r="X70">
            <v>0</v>
          </cell>
        </row>
        <row r="71">
          <cell r="B71">
            <v>514100764829</v>
          </cell>
          <cell r="C71" t="str">
            <v>PUSKESMAS(R.OPERASI)</v>
          </cell>
          <cell r="D71" t="str">
            <v>NGLETIH</v>
          </cell>
          <cell r="E71"/>
          <cell r="F71"/>
          <cell r="G71" t="str">
            <v>S1</v>
          </cell>
          <cell r="H71">
            <v>16500</v>
          </cell>
          <cell r="I71" t="str">
            <v>202505</v>
          </cell>
          <cell r="J71" t="str">
            <v>002409</v>
          </cell>
          <cell r="K71">
            <v>1579</v>
          </cell>
          <cell r="L71">
            <v>1421100</v>
          </cell>
          <cell r="M71">
            <v>0</v>
          </cell>
          <cell r="N71">
            <v>1421100</v>
          </cell>
          <cell r="O71">
            <v>0</v>
          </cell>
          <cell r="P71">
            <v>0</v>
          </cell>
          <cell r="Q71">
            <v>0</v>
          </cell>
          <cell r="R71">
            <v>1421100</v>
          </cell>
          <cell r="S71">
            <v>0</v>
          </cell>
          <cell r="T71">
            <v>1421100</v>
          </cell>
          <cell r="U71">
            <v>0</v>
          </cell>
          <cell r="V71">
            <v>1421100</v>
          </cell>
          <cell r="W71">
            <v>1421100</v>
          </cell>
          <cell r="X71">
            <v>0</v>
          </cell>
        </row>
        <row r="72">
          <cell r="B72">
            <v>32498450</v>
          </cell>
          <cell r="C72">
            <v>0</v>
          </cell>
          <cell r="D72">
            <v>32518450</v>
          </cell>
          <cell r="E72">
            <v>0</v>
          </cell>
          <cell r="F72">
            <v>589074</v>
          </cell>
          <cell r="G72">
            <v>0</v>
          </cell>
          <cell r="H72">
            <v>33087524</v>
          </cell>
          <cell r="I72" t="str">
            <v>KEDIRI, May 2, 2025  14:57</v>
          </cell>
          <cell r="J72"/>
          <cell r="K72">
            <v>29085</v>
          </cell>
          <cell r="L72">
            <v>32498450</v>
          </cell>
          <cell r="M72">
            <v>20000</v>
          </cell>
          <cell r="N72">
            <v>32518450</v>
          </cell>
          <cell r="O72">
            <v>0</v>
          </cell>
          <cell r="P72">
            <v>589074</v>
          </cell>
          <cell r="Q72">
            <v>0</v>
          </cell>
          <cell r="R72">
            <v>33087524</v>
          </cell>
          <cell r="S72">
            <v>589074</v>
          </cell>
          <cell r="T72">
            <v>32498450</v>
          </cell>
          <cell r="U72">
            <v>20000</v>
          </cell>
          <cell r="V72">
            <v>33107524</v>
          </cell>
          <cell r="W72">
            <v>33087524</v>
          </cell>
          <cell r="X72">
            <v>0</v>
          </cell>
        </row>
        <row r="73">
          <cell r="B73"/>
          <cell r="C73"/>
          <cell r="D73"/>
          <cell r="E73"/>
          <cell r="F73"/>
          <cell r="G73"/>
          <cell r="H73">
            <v>220750</v>
          </cell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>
            <v>32518450</v>
          </cell>
          <cell r="V73"/>
          <cell r="W73"/>
          <cell r="X73"/>
        </row>
        <row r="76">
          <cell r="B76"/>
        </row>
        <row r="78">
          <cell r="B78" t="str">
            <v>UP3 : KEDIRI
ULP : KEDIRI SELATAN</v>
          </cell>
          <cell r="C78" t="str">
            <v>LAPORAN TAGIHAN KODE KOLEKTIF NOTA BUKU
Bulan : MEI-2025</v>
          </cell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</row>
        <row r="79">
          <cell r="B79" t="str">
            <v>IDPEL</v>
          </cell>
          <cell r="C79" t="str">
            <v>NAMA</v>
          </cell>
          <cell r="D79" t="str">
            <v>ALAMAT</v>
          </cell>
          <cell r="E79" t="str">
            <v>TGL BAYAR</v>
          </cell>
          <cell r="F79" t="str">
            <v>KDPEMBAYAR</v>
          </cell>
          <cell r="G79" t="str">
            <v>TRP</v>
          </cell>
          <cell r="H79" t="str">
            <v>DAYA</v>
          </cell>
          <cell r="I79" t="str">
            <v>BLTH</v>
          </cell>
          <cell r="J79" t="str">
            <v>NOREK</v>
          </cell>
          <cell r="K79" t="str">
            <v>KWH</v>
          </cell>
          <cell r="L79" t="str">
            <v>PTL</v>
          </cell>
          <cell r="M79" t="str">
            <v>MAT</v>
          </cell>
          <cell r="N79" t="str">
            <v>PLN</v>
          </cell>
          <cell r="O79" t="str">
            <v>TRAFO</v>
          </cell>
          <cell r="P79" t="str">
            <v>PPN</v>
          </cell>
          <cell r="Q79" t="str">
            <v>PJU</v>
          </cell>
          <cell r="R79" t="str">
            <v>TAGIHAN</v>
          </cell>
        </row>
        <row r="80">
          <cell r="B80">
            <v>514100496669</v>
          </cell>
          <cell r="C80" t="str">
            <v>TRAFFIC LIGHT</v>
          </cell>
          <cell r="D80" t="str">
            <v>SAMBI</v>
          </cell>
          <cell r="E80"/>
          <cell r="F80"/>
          <cell r="G80" t="str">
            <v>P3</v>
          </cell>
          <cell r="H80">
            <v>1300</v>
          </cell>
          <cell r="I80" t="str">
            <v>202505</v>
          </cell>
          <cell r="J80" t="str">
            <v>048729</v>
          </cell>
          <cell r="K80">
            <v>89</v>
          </cell>
          <cell r="L80">
            <v>151258</v>
          </cell>
          <cell r="M80">
            <v>0</v>
          </cell>
          <cell r="N80">
            <v>151258</v>
          </cell>
          <cell r="O80">
            <v>0</v>
          </cell>
          <cell r="P80">
            <v>0</v>
          </cell>
          <cell r="Q80">
            <v>0</v>
          </cell>
          <cell r="R80">
            <v>151258</v>
          </cell>
          <cell r="S80">
            <v>0</v>
          </cell>
          <cell r="T80">
            <v>151258</v>
          </cell>
          <cell r="U80">
            <v>0</v>
          </cell>
          <cell r="V80">
            <v>151258</v>
          </cell>
          <cell r="W80">
            <v>151258</v>
          </cell>
          <cell r="X80">
            <v>0</v>
          </cell>
        </row>
        <row r="81">
          <cell r="B81">
            <v>514100585417</v>
          </cell>
          <cell r="C81" t="str">
            <v>TRAFFIC LIGHT / PJU</v>
          </cell>
          <cell r="D81" t="str">
            <v>RINGINSARI</v>
          </cell>
          <cell r="E81"/>
          <cell r="F81"/>
          <cell r="G81" t="str">
            <v>P3</v>
          </cell>
          <cell r="H81">
            <v>1300</v>
          </cell>
          <cell r="I81" t="str">
            <v>202505</v>
          </cell>
          <cell r="J81" t="str">
            <v>048337</v>
          </cell>
          <cell r="K81">
            <v>80</v>
          </cell>
          <cell r="L81">
            <v>135962</v>
          </cell>
          <cell r="M81">
            <v>0</v>
          </cell>
          <cell r="N81">
            <v>135962</v>
          </cell>
          <cell r="O81">
            <v>0</v>
          </cell>
          <cell r="P81">
            <v>0</v>
          </cell>
          <cell r="Q81">
            <v>0</v>
          </cell>
          <cell r="R81">
            <v>135962</v>
          </cell>
          <cell r="S81">
            <v>0</v>
          </cell>
          <cell r="T81">
            <v>135962</v>
          </cell>
          <cell r="U81">
            <v>0</v>
          </cell>
          <cell r="V81">
            <v>135962</v>
          </cell>
          <cell r="W81">
            <v>135962</v>
          </cell>
          <cell r="X81">
            <v>0</v>
          </cell>
        </row>
        <row r="82">
          <cell r="B82">
            <v>514100689032</v>
          </cell>
          <cell r="C82" t="str">
            <v>TRAFFIC LIGHT SIMPANG II</v>
          </cell>
          <cell r="D82" t="str">
            <v>NGADILUWIH</v>
          </cell>
          <cell r="E82"/>
          <cell r="F82"/>
          <cell r="G82" t="str">
            <v>P3</v>
          </cell>
          <cell r="H82">
            <v>1300</v>
          </cell>
          <cell r="I82" t="str">
            <v>202505</v>
          </cell>
          <cell r="J82" t="str">
            <v>048482</v>
          </cell>
          <cell r="K82">
            <v>52</v>
          </cell>
          <cell r="L82">
            <v>88376</v>
          </cell>
          <cell r="M82">
            <v>0</v>
          </cell>
          <cell r="N82">
            <v>88376</v>
          </cell>
          <cell r="O82">
            <v>0</v>
          </cell>
          <cell r="P82">
            <v>0</v>
          </cell>
          <cell r="Q82">
            <v>0</v>
          </cell>
          <cell r="R82">
            <v>88376</v>
          </cell>
          <cell r="S82">
            <v>0</v>
          </cell>
          <cell r="T82">
            <v>88376</v>
          </cell>
          <cell r="U82">
            <v>0</v>
          </cell>
          <cell r="V82">
            <v>88376</v>
          </cell>
          <cell r="W82">
            <v>88376</v>
          </cell>
          <cell r="X82">
            <v>0</v>
          </cell>
        </row>
        <row r="83">
          <cell r="B83">
            <v>514101187560</v>
          </cell>
          <cell r="C83" t="str">
            <v>TRAFFIC LIGHT SIMPANG 4</v>
          </cell>
          <cell r="D83" t="str">
            <v>BRANGGAHAN</v>
          </cell>
          <cell r="E83"/>
          <cell r="F83"/>
          <cell r="G83" t="str">
            <v>P3</v>
          </cell>
          <cell r="H83">
            <v>1300</v>
          </cell>
          <cell r="I83" t="str">
            <v>202505</v>
          </cell>
          <cell r="J83" t="str">
            <v>056458</v>
          </cell>
          <cell r="K83">
            <v>97</v>
          </cell>
          <cell r="L83">
            <v>164854</v>
          </cell>
          <cell r="M83">
            <v>0</v>
          </cell>
          <cell r="N83">
            <v>164854</v>
          </cell>
          <cell r="O83">
            <v>0</v>
          </cell>
          <cell r="P83">
            <v>0</v>
          </cell>
          <cell r="Q83">
            <v>0</v>
          </cell>
          <cell r="R83">
            <v>164854</v>
          </cell>
          <cell r="S83">
            <v>0</v>
          </cell>
          <cell r="T83">
            <v>164854</v>
          </cell>
          <cell r="U83">
            <v>0</v>
          </cell>
          <cell r="V83">
            <v>164854</v>
          </cell>
          <cell r="W83">
            <v>164854</v>
          </cell>
          <cell r="X83">
            <v>0</v>
          </cell>
        </row>
        <row r="84">
          <cell r="B84">
            <v>514101187578</v>
          </cell>
          <cell r="C84" t="str">
            <v>FLASHING AMBER SIMPANG 4</v>
          </cell>
          <cell r="D84" t="str">
            <v>BATUAJI</v>
          </cell>
          <cell r="E84"/>
          <cell r="F84"/>
          <cell r="G84" t="str">
            <v>P3</v>
          </cell>
          <cell r="H84">
            <v>450</v>
          </cell>
          <cell r="I84" t="str">
            <v>202505</v>
          </cell>
          <cell r="J84" t="str">
            <v>021550</v>
          </cell>
          <cell r="K84">
            <v>18</v>
          </cell>
          <cell r="L84">
            <v>30592</v>
          </cell>
          <cell r="M84">
            <v>0</v>
          </cell>
          <cell r="N84">
            <v>30592</v>
          </cell>
          <cell r="O84">
            <v>0</v>
          </cell>
          <cell r="P84">
            <v>0</v>
          </cell>
          <cell r="Q84">
            <v>0</v>
          </cell>
          <cell r="R84">
            <v>30592</v>
          </cell>
          <cell r="S84">
            <v>0</v>
          </cell>
          <cell r="T84">
            <v>30592</v>
          </cell>
          <cell r="U84">
            <v>0</v>
          </cell>
          <cell r="V84">
            <v>30592</v>
          </cell>
          <cell r="W84">
            <v>30592</v>
          </cell>
          <cell r="X84">
            <v>0</v>
          </cell>
        </row>
        <row r="85">
          <cell r="B85">
            <v>514101187586</v>
          </cell>
          <cell r="C85" t="str">
            <v>FLASHING AMBER SIMPANG 4</v>
          </cell>
          <cell r="D85" t="str">
            <v>DAWUNG</v>
          </cell>
          <cell r="E85"/>
          <cell r="F85"/>
          <cell r="G85" t="str">
            <v>P3</v>
          </cell>
          <cell r="H85">
            <v>450</v>
          </cell>
          <cell r="I85" t="str">
            <v>202505</v>
          </cell>
          <cell r="J85" t="str">
            <v>023748</v>
          </cell>
          <cell r="K85">
            <v>18</v>
          </cell>
          <cell r="L85">
            <v>30592</v>
          </cell>
          <cell r="M85">
            <v>0</v>
          </cell>
          <cell r="N85">
            <v>30592</v>
          </cell>
          <cell r="O85">
            <v>0</v>
          </cell>
          <cell r="P85">
            <v>0</v>
          </cell>
          <cell r="Q85">
            <v>0</v>
          </cell>
          <cell r="R85">
            <v>30592</v>
          </cell>
          <cell r="S85">
            <v>0</v>
          </cell>
          <cell r="T85">
            <v>30592</v>
          </cell>
          <cell r="U85">
            <v>0</v>
          </cell>
          <cell r="V85">
            <v>30592</v>
          </cell>
          <cell r="W85">
            <v>30592</v>
          </cell>
          <cell r="X85">
            <v>0</v>
          </cell>
        </row>
        <row r="86">
          <cell r="B86">
            <v>514101202410</v>
          </cell>
          <cell r="C86" t="str">
            <v>FLASHING AMBER SIMPANG 4</v>
          </cell>
          <cell r="D86" t="str">
            <v>BANGLE</v>
          </cell>
          <cell r="E86"/>
          <cell r="F86"/>
          <cell r="G86" t="str">
            <v>P3</v>
          </cell>
          <cell r="H86">
            <v>450</v>
          </cell>
          <cell r="I86" t="str">
            <v>202505</v>
          </cell>
          <cell r="J86" t="str">
            <v>055156</v>
          </cell>
          <cell r="K86">
            <v>24</v>
          </cell>
          <cell r="L86">
            <v>40789</v>
          </cell>
          <cell r="M86">
            <v>0</v>
          </cell>
          <cell r="N86">
            <v>40789</v>
          </cell>
          <cell r="O86">
            <v>0</v>
          </cell>
          <cell r="P86">
            <v>0</v>
          </cell>
          <cell r="Q86">
            <v>0</v>
          </cell>
          <cell r="R86">
            <v>40789</v>
          </cell>
          <cell r="S86">
            <v>0</v>
          </cell>
          <cell r="T86">
            <v>40789</v>
          </cell>
          <cell r="U86">
            <v>0</v>
          </cell>
          <cell r="V86">
            <v>40789</v>
          </cell>
          <cell r="W86">
            <v>40789</v>
          </cell>
          <cell r="X86">
            <v>0</v>
          </cell>
        </row>
        <row r="87">
          <cell r="B87">
            <v>514101257553</v>
          </cell>
          <cell r="C87" t="str">
            <v>FA SIMPANG 4 NGLETIH</v>
          </cell>
          <cell r="D87" t="str">
            <v>NGLETIH</v>
          </cell>
          <cell r="E87"/>
          <cell r="F87"/>
          <cell r="G87" t="str">
            <v>P3</v>
          </cell>
          <cell r="H87">
            <v>450</v>
          </cell>
          <cell r="I87" t="str">
            <v>202505</v>
          </cell>
          <cell r="J87" t="str">
            <v>016605</v>
          </cell>
          <cell r="K87">
            <v>29</v>
          </cell>
          <cell r="L87">
            <v>49286</v>
          </cell>
          <cell r="M87">
            <v>0</v>
          </cell>
          <cell r="N87">
            <v>49286</v>
          </cell>
          <cell r="O87">
            <v>0</v>
          </cell>
          <cell r="P87">
            <v>0</v>
          </cell>
          <cell r="Q87">
            <v>0</v>
          </cell>
          <cell r="R87">
            <v>49286</v>
          </cell>
          <cell r="S87">
            <v>0</v>
          </cell>
          <cell r="T87">
            <v>49286</v>
          </cell>
          <cell r="U87">
            <v>0</v>
          </cell>
          <cell r="V87">
            <v>49286</v>
          </cell>
          <cell r="W87">
            <v>49286</v>
          </cell>
          <cell r="X87">
            <v>0</v>
          </cell>
        </row>
        <row r="88">
          <cell r="B88">
            <v>514101257561</v>
          </cell>
          <cell r="C88" t="str">
            <v>FA SIMPANG 4 DUKUH</v>
          </cell>
          <cell r="D88" t="str">
            <v>DUKUH</v>
          </cell>
          <cell r="E88"/>
          <cell r="F88"/>
          <cell r="G88" t="str">
            <v>P3</v>
          </cell>
          <cell r="H88">
            <v>450</v>
          </cell>
          <cell r="I88" t="str">
            <v>202505</v>
          </cell>
          <cell r="J88" t="str">
            <v>063591</v>
          </cell>
          <cell r="K88">
            <v>18</v>
          </cell>
          <cell r="L88">
            <v>30592</v>
          </cell>
          <cell r="M88">
            <v>0</v>
          </cell>
          <cell r="N88">
            <v>30592</v>
          </cell>
          <cell r="O88">
            <v>0</v>
          </cell>
          <cell r="P88">
            <v>0</v>
          </cell>
          <cell r="Q88">
            <v>0</v>
          </cell>
          <cell r="R88">
            <v>30592</v>
          </cell>
          <cell r="S88">
            <v>0</v>
          </cell>
          <cell r="T88">
            <v>30592</v>
          </cell>
          <cell r="U88">
            <v>0</v>
          </cell>
          <cell r="V88">
            <v>30592</v>
          </cell>
          <cell r="W88">
            <v>30592</v>
          </cell>
          <cell r="X88">
            <v>0</v>
          </cell>
        </row>
        <row r="89">
          <cell r="B89">
            <v>514101281564</v>
          </cell>
          <cell r="C89" t="str">
            <v>WARNING LIGHT TAMTAMA</v>
          </cell>
          <cell r="D89" t="str">
            <v>SPG 4 TIMUR PASAR NGADILUWIH</v>
          </cell>
          <cell r="E89"/>
          <cell r="F89"/>
          <cell r="G89" t="str">
            <v>P3</v>
          </cell>
          <cell r="H89">
            <v>450</v>
          </cell>
          <cell r="I89" t="str">
            <v>202505</v>
          </cell>
          <cell r="J89" t="str">
            <v>052429</v>
          </cell>
          <cell r="K89">
            <v>18</v>
          </cell>
          <cell r="L89">
            <v>30592</v>
          </cell>
          <cell r="M89">
            <v>0</v>
          </cell>
          <cell r="N89">
            <v>30592</v>
          </cell>
          <cell r="O89">
            <v>0</v>
          </cell>
          <cell r="P89">
            <v>0</v>
          </cell>
          <cell r="Q89">
            <v>0</v>
          </cell>
          <cell r="R89">
            <v>30592</v>
          </cell>
          <cell r="S89">
            <v>0</v>
          </cell>
          <cell r="T89">
            <v>30592</v>
          </cell>
          <cell r="U89">
            <v>0</v>
          </cell>
          <cell r="V89">
            <v>30592</v>
          </cell>
          <cell r="W89">
            <v>30592</v>
          </cell>
          <cell r="X89">
            <v>0</v>
          </cell>
        </row>
        <row r="90">
          <cell r="B90">
            <v>514101281572</v>
          </cell>
          <cell r="C90" t="str">
            <v>WARNING LIGHT WONOREJO</v>
          </cell>
          <cell r="D90" t="str">
            <v>SIMPANG 3 WONOREJO</v>
          </cell>
          <cell r="E90"/>
          <cell r="F90"/>
          <cell r="G90" t="str">
            <v>P3</v>
          </cell>
          <cell r="H90">
            <v>450</v>
          </cell>
          <cell r="I90" t="str">
            <v>202505</v>
          </cell>
          <cell r="J90" t="str">
            <v>002392</v>
          </cell>
          <cell r="K90">
            <v>18</v>
          </cell>
          <cell r="L90">
            <v>30592</v>
          </cell>
          <cell r="M90">
            <v>0</v>
          </cell>
          <cell r="N90">
            <v>30592</v>
          </cell>
          <cell r="O90">
            <v>0</v>
          </cell>
          <cell r="P90">
            <v>0</v>
          </cell>
          <cell r="Q90">
            <v>0</v>
          </cell>
          <cell r="R90">
            <v>30592</v>
          </cell>
          <cell r="S90">
            <v>0</v>
          </cell>
          <cell r="T90">
            <v>30592</v>
          </cell>
          <cell r="U90">
            <v>0</v>
          </cell>
          <cell r="V90">
            <v>30592</v>
          </cell>
          <cell r="W90">
            <v>30592</v>
          </cell>
          <cell r="X90">
            <v>0</v>
          </cell>
        </row>
        <row r="91">
          <cell r="B91">
            <v>514101281730</v>
          </cell>
          <cell r="C91" t="str">
            <v>WARNING LIGHT DEYENG</v>
          </cell>
          <cell r="D91" t="str">
            <v>SIMPANG 4 DEYENG</v>
          </cell>
          <cell r="E91"/>
          <cell r="F91"/>
          <cell r="G91" t="str">
            <v>P3</v>
          </cell>
          <cell r="H91">
            <v>450</v>
          </cell>
          <cell r="I91" t="str">
            <v>202505</v>
          </cell>
          <cell r="J91" t="str">
            <v>048406</v>
          </cell>
          <cell r="K91">
            <v>18</v>
          </cell>
          <cell r="L91">
            <v>30592</v>
          </cell>
          <cell r="M91">
            <v>0</v>
          </cell>
          <cell r="N91">
            <v>30592</v>
          </cell>
          <cell r="O91">
            <v>0</v>
          </cell>
          <cell r="P91">
            <v>0</v>
          </cell>
          <cell r="Q91">
            <v>0</v>
          </cell>
          <cell r="R91">
            <v>30592</v>
          </cell>
          <cell r="S91">
            <v>0</v>
          </cell>
          <cell r="T91">
            <v>30592</v>
          </cell>
          <cell r="U91">
            <v>0</v>
          </cell>
          <cell r="V91">
            <v>30592</v>
          </cell>
          <cell r="W91">
            <v>30592</v>
          </cell>
          <cell r="X91">
            <v>0</v>
          </cell>
        </row>
        <row r="92">
          <cell r="B92">
            <v>514101282828</v>
          </cell>
          <cell r="C92" t="str">
            <v>WARNING LIGHT CENDONO</v>
          </cell>
          <cell r="D92" t="str">
            <v>SIMPANG 4 CENDONO</v>
          </cell>
          <cell r="E92"/>
          <cell r="F92"/>
          <cell r="G92" t="str">
            <v>P3</v>
          </cell>
          <cell r="H92">
            <v>450</v>
          </cell>
          <cell r="I92" t="str">
            <v>202505</v>
          </cell>
          <cell r="J92" t="str">
            <v>048338</v>
          </cell>
          <cell r="K92">
            <v>18</v>
          </cell>
          <cell r="L92">
            <v>30592</v>
          </cell>
          <cell r="M92">
            <v>0</v>
          </cell>
          <cell r="N92">
            <v>30592</v>
          </cell>
          <cell r="O92">
            <v>0</v>
          </cell>
          <cell r="P92">
            <v>0</v>
          </cell>
          <cell r="Q92">
            <v>0</v>
          </cell>
          <cell r="R92">
            <v>30592</v>
          </cell>
          <cell r="S92">
            <v>0</v>
          </cell>
          <cell r="T92">
            <v>30592</v>
          </cell>
          <cell r="U92">
            <v>0</v>
          </cell>
          <cell r="V92">
            <v>30592</v>
          </cell>
          <cell r="W92">
            <v>30592</v>
          </cell>
          <cell r="X92">
            <v>0</v>
          </cell>
        </row>
        <row r="93">
          <cell r="B93">
            <v>514101306902</v>
          </cell>
          <cell r="C93" t="str">
            <v>FA SIMPANG 4 SDN 2 SAMBI</v>
          </cell>
          <cell r="D93" t="str">
            <v>SAMBI</v>
          </cell>
          <cell r="E93"/>
          <cell r="F93"/>
          <cell r="G93" t="str">
            <v>P3</v>
          </cell>
          <cell r="H93">
            <v>900</v>
          </cell>
          <cell r="I93" t="str">
            <v>202505</v>
          </cell>
          <cell r="J93" t="str">
            <v>033150</v>
          </cell>
          <cell r="K93">
            <v>36</v>
          </cell>
          <cell r="L93">
            <v>61183</v>
          </cell>
          <cell r="M93">
            <v>0</v>
          </cell>
          <cell r="N93">
            <v>61183</v>
          </cell>
          <cell r="O93">
            <v>0</v>
          </cell>
          <cell r="P93">
            <v>0</v>
          </cell>
          <cell r="Q93">
            <v>0</v>
          </cell>
          <cell r="R93">
            <v>61183</v>
          </cell>
          <cell r="S93">
            <v>0</v>
          </cell>
          <cell r="T93">
            <v>61183</v>
          </cell>
          <cell r="U93">
            <v>0</v>
          </cell>
          <cell r="V93">
            <v>61183</v>
          </cell>
          <cell r="W93">
            <v>61183</v>
          </cell>
          <cell r="X93">
            <v>0</v>
          </cell>
        </row>
        <row r="94">
          <cell r="B94">
            <v>514101308781</v>
          </cell>
          <cell r="C94" t="str">
            <v>FAS 4RINGINREJO</v>
          </cell>
          <cell r="D94" t="str">
            <v>RINGINREJO</v>
          </cell>
          <cell r="E94"/>
          <cell r="F94"/>
          <cell r="G94" t="str">
            <v>P3</v>
          </cell>
          <cell r="H94">
            <v>900</v>
          </cell>
          <cell r="I94" t="str">
            <v>202505</v>
          </cell>
          <cell r="J94" t="str">
            <v>044242</v>
          </cell>
          <cell r="K94">
            <v>36</v>
          </cell>
          <cell r="L94">
            <v>61183</v>
          </cell>
          <cell r="M94">
            <v>0</v>
          </cell>
          <cell r="N94">
            <v>61183</v>
          </cell>
          <cell r="O94">
            <v>0</v>
          </cell>
          <cell r="P94">
            <v>0</v>
          </cell>
          <cell r="Q94">
            <v>0</v>
          </cell>
          <cell r="R94">
            <v>61183</v>
          </cell>
          <cell r="S94">
            <v>0</v>
          </cell>
          <cell r="T94">
            <v>61183</v>
          </cell>
          <cell r="U94">
            <v>0</v>
          </cell>
          <cell r="V94">
            <v>61183</v>
          </cell>
          <cell r="W94">
            <v>61183</v>
          </cell>
          <cell r="X94">
            <v>0</v>
          </cell>
        </row>
        <row r="95">
          <cell r="B95">
            <v>967035</v>
          </cell>
          <cell r="C95">
            <v>0</v>
          </cell>
          <cell r="D95">
            <v>967035</v>
          </cell>
          <cell r="E95">
            <v>0</v>
          </cell>
          <cell r="F95">
            <v>0</v>
          </cell>
          <cell r="G95">
            <v>0</v>
          </cell>
          <cell r="H95">
            <v>967035</v>
          </cell>
          <cell r="I95" t="str">
            <v>KEDIRI, May 2, 2025  14:57</v>
          </cell>
          <cell r="J95"/>
          <cell r="K95">
            <v>569</v>
          </cell>
          <cell r="L95">
            <v>967035</v>
          </cell>
          <cell r="M95">
            <v>0</v>
          </cell>
          <cell r="N95">
            <v>967035</v>
          </cell>
          <cell r="O95">
            <v>0</v>
          </cell>
          <cell r="P95">
            <v>0</v>
          </cell>
          <cell r="Q95">
            <v>0</v>
          </cell>
          <cell r="R95">
            <v>967035</v>
          </cell>
          <cell r="S95">
            <v>0</v>
          </cell>
          <cell r="T95">
            <v>967035</v>
          </cell>
          <cell r="U95">
            <v>0</v>
          </cell>
          <cell r="V95">
            <v>967035</v>
          </cell>
          <cell r="W95">
            <v>967035</v>
          </cell>
          <cell r="X95">
            <v>0</v>
          </cell>
        </row>
        <row r="96">
          <cell r="B96"/>
          <cell r="C96"/>
          <cell r="D96"/>
          <cell r="E96"/>
          <cell r="F96"/>
          <cell r="G96"/>
          <cell r="H96">
            <v>11050</v>
          </cell>
          <cell r="I96"/>
          <cell r="J96"/>
          <cell r="K96"/>
          <cell r="L96"/>
          <cell r="M96"/>
          <cell r="N96"/>
          <cell r="O96"/>
          <cell r="P96"/>
          <cell r="Q96"/>
          <cell r="R96"/>
        </row>
        <row r="97">
          <cell r="B97"/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</row>
        <row r="99">
          <cell r="B99"/>
        </row>
        <row r="101">
          <cell r="B101" t="str">
            <v>UP3 : KEDIRI
ULP : KEDIRI SELATAN</v>
          </cell>
          <cell r="C101" t="str">
            <v>LAPORAN TAGIHAN KODE KOLEKTIF NOTA BUKU
Bulan : MEI-2025</v>
          </cell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</row>
        <row r="102">
          <cell r="B102" t="str">
            <v>IDPEL</v>
          </cell>
          <cell r="C102" t="str">
            <v>NAMA</v>
          </cell>
          <cell r="D102" t="str">
            <v>ALAMAT</v>
          </cell>
          <cell r="E102" t="str">
            <v>TGL BAYAR</v>
          </cell>
          <cell r="F102" t="str">
            <v>KDPEMBAYAR</v>
          </cell>
          <cell r="G102" t="str">
            <v>TRP</v>
          </cell>
          <cell r="H102" t="str">
            <v>DAYA</v>
          </cell>
          <cell r="I102" t="str">
            <v>BLTH</v>
          </cell>
          <cell r="J102" t="str">
            <v>NOREK</v>
          </cell>
          <cell r="K102" t="str">
            <v>KWH</v>
          </cell>
          <cell r="L102" t="str">
            <v>PTL</v>
          </cell>
          <cell r="M102" t="str">
            <v>MAT</v>
          </cell>
          <cell r="N102" t="str">
            <v>PLN</v>
          </cell>
          <cell r="O102" t="str">
            <v>TRAFO</v>
          </cell>
          <cell r="P102" t="str">
            <v>PPN</v>
          </cell>
          <cell r="Q102" t="str">
            <v>PJU</v>
          </cell>
          <cell r="R102" t="str">
            <v>TAGIHAN</v>
          </cell>
        </row>
        <row r="103">
          <cell r="B103">
            <v>514101288387</v>
          </cell>
          <cell r="C103" t="str">
            <v>POS JAGA KA BRANGGAHAN</v>
          </cell>
          <cell r="D103" t="str">
            <v>BRANGGAHAN</v>
          </cell>
          <cell r="E103"/>
          <cell r="F103"/>
          <cell r="G103" t="str">
            <v>P3</v>
          </cell>
          <cell r="H103">
            <v>2200</v>
          </cell>
          <cell r="I103" t="str">
            <v>202505</v>
          </cell>
          <cell r="J103" t="str">
            <v>048370</v>
          </cell>
          <cell r="K103">
            <v>89</v>
          </cell>
          <cell r="L103">
            <v>151258</v>
          </cell>
          <cell r="M103">
            <v>0</v>
          </cell>
          <cell r="N103">
            <v>151258</v>
          </cell>
          <cell r="O103">
            <v>0</v>
          </cell>
          <cell r="P103">
            <v>0</v>
          </cell>
          <cell r="Q103">
            <v>0</v>
          </cell>
          <cell r="R103">
            <v>151258</v>
          </cell>
          <cell r="S103">
            <v>0</v>
          </cell>
          <cell r="T103">
            <v>151258</v>
          </cell>
          <cell r="U103">
            <v>0</v>
          </cell>
          <cell r="V103">
            <v>151258</v>
          </cell>
          <cell r="W103">
            <v>151258</v>
          </cell>
          <cell r="X103">
            <v>0</v>
          </cell>
        </row>
        <row r="104">
          <cell r="B104">
            <v>514101334635</v>
          </cell>
          <cell r="C104" t="str">
            <v>DISHUB DS REMBANG</v>
          </cell>
          <cell r="D104" t="str">
            <v>REMBANG NGADILUWIH</v>
          </cell>
          <cell r="E104"/>
          <cell r="F104"/>
          <cell r="G104" t="str">
            <v>P1</v>
          </cell>
          <cell r="H104">
            <v>900</v>
          </cell>
          <cell r="I104" t="str">
            <v>202505</v>
          </cell>
          <cell r="J104" t="str">
            <v>048806</v>
          </cell>
          <cell r="K104">
            <v>93</v>
          </cell>
          <cell r="L104">
            <v>77940</v>
          </cell>
          <cell r="M104">
            <v>0</v>
          </cell>
          <cell r="N104">
            <v>77940</v>
          </cell>
          <cell r="O104">
            <v>0</v>
          </cell>
          <cell r="P104">
            <v>0</v>
          </cell>
          <cell r="Q104">
            <v>0</v>
          </cell>
          <cell r="R104">
            <v>77940</v>
          </cell>
          <cell r="S104">
            <v>0</v>
          </cell>
          <cell r="T104">
            <v>77940</v>
          </cell>
          <cell r="U104">
            <v>0</v>
          </cell>
          <cell r="V104">
            <v>77940</v>
          </cell>
          <cell r="W104">
            <v>77940</v>
          </cell>
          <cell r="X104">
            <v>0</v>
          </cell>
        </row>
        <row r="105">
          <cell r="B105">
            <v>229198</v>
          </cell>
          <cell r="C105">
            <v>0</v>
          </cell>
          <cell r="D105">
            <v>229198</v>
          </cell>
          <cell r="E105">
            <v>0</v>
          </cell>
          <cell r="F105">
            <v>0</v>
          </cell>
          <cell r="G105">
            <v>0</v>
          </cell>
          <cell r="H105">
            <v>229198</v>
          </cell>
          <cell r="I105" t="str">
            <v>KEDIRI, May 2, 2025  14:57</v>
          </cell>
          <cell r="J105"/>
          <cell r="K105"/>
          <cell r="L105">
            <v>229198</v>
          </cell>
          <cell r="M105">
            <v>0</v>
          </cell>
          <cell r="N105">
            <v>229198</v>
          </cell>
          <cell r="O105">
            <v>0</v>
          </cell>
          <cell r="P105">
            <v>0</v>
          </cell>
          <cell r="Q105">
            <v>0</v>
          </cell>
          <cell r="R105">
            <v>229198</v>
          </cell>
          <cell r="S105">
            <v>0</v>
          </cell>
          <cell r="T105">
            <v>229198</v>
          </cell>
          <cell r="U105">
            <v>0</v>
          </cell>
          <cell r="V105">
            <v>229198</v>
          </cell>
          <cell r="W105">
            <v>229198</v>
          </cell>
          <cell r="X105">
            <v>0</v>
          </cell>
        </row>
        <row r="106">
          <cell r="B106"/>
          <cell r="C106"/>
          <cell r="D106"/>
          <cell r="E106"/>
          <cell r="F106"/>
          <cell r="G106"/>
          <cell r="H106">
            <v>3100</v>
          </cell>
          <cell r="I106"/>
          <cell r="J106"/>
          <cell r="K106">
            <v>182</v>
          </cell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</row>
        <row r="109">
          <cell r="B109"/>
        </row>
        <row r="111">
          <cell r="B111" t="str">
            <v>UP3 : KEDIRI
ULP : KEDIRI SELATAN</v>
          </cell>
          <cell r="C111" t="str">
            <v>LAPORAN TAGIHAN KODE KOLEKTIF NOTA BUKU
Bulan : MEI-2025</v>
          </cell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</row>
        <row r="112">
          <cell r="B112" t="str">
            <v>IDPEL</v>
          </cell>
          <cell r="C112" t="str">
            <v>NAMA</v>
          </cell>
          <cell r="D112" t="str">
            <v>ALAMAT</v>
          </cell>
          <cell r="E112" t="str">
            <v>TGL BAYAR</v>
          </cell>
          <cell r="F112" t="str">
            <v>KDPEMBAYAR</v>
          </cell>
          <cell r="G112" t="str">
            <v>TRP</v>
          </cell>
          <cell r="H112" t="str">
            <v>DAYA</v>
          </cell>
          <cell r="I112" t="str">
            <v>BLTH</v>
          </cell>
          <cell r="J112" t="str">
            <v>NOREK</v>
          </cell>
          <cell r="K112" t="str">
            <v>KWH</v>
          </cell>
          <cell r="L112" t="str">
            <v>PTL</v>
          </cell>
          <cell r="M112" t="str">
            <v>MAT</v>
          </cell>
          <cell r="N112" t="str">
            <v>PLN</v>
          </cell>
          <cell r="O112" t="str">
            <v>TRAFO</v>
          </cell>
          <cell r="P112" t="str">
            <v>PPN</v>
          </cell>
          <cell r="Q112" t="str">
            <v>PJU</v>
          </cell>
          <cell r="R112" t="str">
            <v>TAGIHAN</v>
          </cell>
        </row>
        <row r="113">
          <cell r="B113">
            <v>514011074656</v>
          </cell>
          <cell r="C113" t="str">
            <v>WARNING LIGHT SP GG CARIK</v>
          </cell>
          <cell r="D113" t="str">
            <v>HOS COKROAMINOTO</v>
          </cell>
          <cell r="E113"/>
          <cell r="F113"/>
          <cell r="G113" t="str">
            <v>P3</v>
          </cell>
          <cell r="H113">
            <v>450</v>
          </cell>
          <cell r="I113" t="str">
            <v>202505</v>
          </cell>
          <cell r="J113" t="str">
            <v>049931</v>
          </cell>
          <cell r="K113">
            <v>18</v>
          </cell>
          <cell r="L113">
            <v>30592</v>
          </cell>
          <cell r="M113">
            <v>0</v>
          </cell>
          <cell r="N113">
            <v>30592</v>
          </cell>
          <cell r="O113">
            <v>0</v>
          </cell>
          <cell r="P113">
            <v>0</v>
          </cell>
          <cell r="Q113">
            <v>0</v>
          </cell>
          <cell r="R113">
            <v>30592</v>
          </cell>
          <cell r="S113">
            <v>0</v>
          </cell>
          <cell r="T113">
            <v>30592</v>
          </cell>
          <cell r="U113">
            <v>0</v>
          </cell>
          <cell r="V113">
            <v>30592</v>
          </cell>
          <cell r="W113">
            <v>30592</v>
          </cell>
          <cell r="X113">
            <v>0</v>
          </cell>
        </row>
        <row r="114">
          <cell r="B114">
            <v>514100283210</v>
          </cell>
          <cell r="C114" t="str">
            <v>TL BENCE</v>
          </cell>
          <cell r="D114" t="str">
            <v>SIMPANG EMPAT</v>
          </cell>
          <cell r="E114"/>
          <cell r="F114"/>
          <cell r="G114" t="str">
            <v>P3</v>
          </cell>
          <cell r="H114">
            <v>1300</v>
          </cell>
          <cell r="I114" t="str">
            <v>202505</v>
          </cell>
          <cell r="J114" t="str">
            <v>048718</v>
          </cell>
          <cell r="K114">
            <v>93</v>
          </cell>
          <cell r="L114">
            <v>158056</v>
          </cell>
          <cell r="M114">
            <v>0</v>
          </cell>
          <cell r="N114">
            <v>158056</v>
          </cell>
          <cell r="O114">
            <v>0</v>
          </cell>
          <cell r="P114">
            <v>0</v>
          </cell>
          <cell r="Q114">
            <v>0</v>
          </cell>
          <cell r="R114">
            <v>158056</v>
          </cell>
          <cell r="S114">
            <v>0</v>
          </cell>
          <cell r="T114">
            <v>158056</v>
          </cell>
          <cell r="U114">
            <v>0</v>
          </cell>
          <cell r="V114">
            <v>158056</v>
          </cell>
          <cell r="W114">
            <v>158056</v>
          </cell>
          <cell r="X114">
            <v>0</v>
          </cell>
        </row>
        <row r="115">
          <cell r="B115">
            <v>514100421130</v>
          </cell>
          <cell r="C115" t="str">
            <v>TL SIMPANG JETIS</v>
          </cell>
          <cell r="D115" t="str">
            <v>URIP SUMOHARJO</v>
          </cell>
          <cell r="E115"/>
          <cell r="F115"/>
          <cell r="G115" t="str">
            <v>P3</v>
          </cell>
          <cell r="H115">
            <v>5500</v>
          </cell>
          <cell r="I115" t="str">
            <v>202505</v>
          </cell>
          <cell r="J115" t="str">
            <v>048790</v>
          </cell>
          <cell r="K115">
            <v>220</v>
          </cell>
          <cell r="L115">
            <v>373897</v>
          </cell>
          <cell r="M115">
            <v>0</v>
          </cell>
          <cell r="N115">
            <v>373897</v>
          </cell>
          <cell r="O115">
            <v>0</v>
          </cell>
          <cell r="P115">
            <v>0</v>
          </cell>
          <cell r="Q115">
            <v>0</v>
          </cell>
          <cell r="R115">
            <v>373897</v>
          </cell>
          <cell r="S115">
            <v>0</v>
          </cell>
          <cell r="T115">
            <v>373897</v>
          </cell>
          <cell r="U115">
            <v>0</v>
          </cell>
          <cell r="V115">
            <v>373897</v>
          </cell>
          <cell r="W115">
            <v>373897</v>
          </cell>
          <cell r="X115">
            <v>0</v>
          </cell>
        </row>
        <row r="116">
          <cell r="B116">
            <v>514100465150</v>
          </cell>
          <cell r="C116" t="str">
            <v>TL SIMPANG ALUN ALUN</v>
          </cell>
          <cell r="D116" t="str">
            <v>KAMPUNG DALEM</v>
          </cell>
          <cell r="E116"/>
          <cell r="F116"/>
          <cell r="G116" t="str">
            <v>P3</v>
          </cell>
          <cell r="H116">
            <v>2200</v>
          </cell>
          <cell r="I116" t="str">
            <v>202505</v>
          </cell>
          <cell r="J116" t="str">
            <v>048810</v>
          </cell>
          <cell r="K116">
            <v>175</v>
          </cell>
          <cell r="L116">
            <v>297418</v>
          </cell>
          <cell r="M116">
            <v>0</v>
          </cell>
          <cell r="N116">
            <v>297418</v>
          </cell>
          <cell r="O116">
            <v>0</v>
          </cell>
          <cell r="P116">
            <v>0</v>
          </cell>
          <cell r="Q116">
            <v>0</v>
          </cell>
          <cell r="R116">
            <v>297418</v>
          </cell>
          <cell r="S116">
            <v>0</v>
          </cell>
          <cell r="T116">
            <v>297418</v>
          </cell>
          <cell r="U116">
            <v>0</v>
          </cell>
          <cell r="V116">
            <v>297418</v>
          </cell>
          <cell r="W116">
            <v>297418</v>
          </cell>
          <cell r="X116">
            <v>0</v>
          </cell>
        </row>
        <row r="117">
          <cell r="B117">
            <v>514100585259</v>
          </cell>
          <cell r="C117" t="str">
            <v>TL SIMPANG BANGSAL</v>
          </cell>
          <cell r="D117" t="str">
            <v>PATIMURA</v>
          </cell>
          <cell r="E117"/>
          <cell r="F117"/>
          <cell r="G117" t="str">
            <v>P3</v>
          </cell>
          <cell r="H117">
            <v>1300</v>
          </cell>
          <cell r="I117" t="str">
            <v>202505</v>
          </cell>
          <cell r="J117" t="str">
            <v>048474</v>
          </cell>
          <cell r="K117">
            <v>54</v>
          </cell>
          <cell r="L117">
            <v>91775</v>
          </cell>
          <cell r="M117">
            <v>0</v>
          </cell>
          <cell r="N117">
            <v>91775</v>
          </cell>
          <cell r="O117">
            <v>0</v>
          </cell>
          <cell r="P117">
            <v>0</v>
          </cell>
          <cell r="Q117">
            <v>0</v>
          </cell>
          <cell r="R117">
            <v>91775</v>
          </cell>
          <cell r="S117">
            <v>0</v>
          </cell>
          <cell r="T117">
            <v>91775</v>
          </cell>
          <cell r="U117">
            <v>0</v>
          </cell>
          <cell r="V117">
            <v>91775</v>
          </cell>
          <cell r="W117">
            <v>91775</v>
          </cell>
          <cell r="X117">
            <v>0</v>
          </cell>
        </row>
        <row r="118">
          <cell r="B118">
            <v>514100585283</v>
          </cell>
          <cell r="C118" t="str">
            <v>TL SIMPANG BARUNA</v>
          </cell>
          <cell r="D118" t="str">
            <v>KILISUCI BRIG KAT</v>
          </cell>
          <cell r="E118"/>
          <cell r="F118"/>
          <cell r="G118" t="str">
            <v>P3</v>
          </cell>
          <cell r="H118">
            <v>3500</v>
          </cell>
          <cell r="I118" t="str">
            <v>202505</v>
          </cell>
          <cell r="J118" t="str">
            <v>048684</v>
          </cell>
          <cell r="K118">
            <v>140</v>
          </cell>
          <cell r="L118">
            <v>237934</v>
          </cell>
          <cell r="M118">
            <v>0</v>
          </cell>
          <cell r="N118">
            <v>237934</v>
          </cell>
          <cell r="O118">
            <v>0</v>
          </cell>
          <cell r="P118">
            <v>0</v>
          </cell>
          <cell r="Q118">
            <v>0</v>
          </cell>
          <cell r="R118">
            <v>237934</v>
          </cell>
          <cell r="S118">
            <v>0</v>
          </cell>
          <cell r="T118">
            <v>237934</v>
          </cell>
          <cell r="U118">
            <v>0</v>
          </cell>
          <cell r="V118">
            <v>237934</v>
          </cell>
          <cell r="W118">
            <v>237934</v>
          </cell>
          <cell r="X118">
            <v>0</v>
          </cell>
        </row>
        <row r="119">
          <cell r="B119">
            <v>514100585291</v>
          </cell>
          <cell r="C119" t="str">
            <v>TL SIMPANG RECOPENTUNG</v>
          </cell>
          <cell r="D119" t="str">
            <v>BRIGJEND KATAMSO</v>
          </cell>
          <cell r="E119"/>
          <cell r="F119"/>
          <cell r="G119" t="str">
            <v>P3</v>
          </cell>
          <cell r="H119">
            <v>2200</v>
          </cell>
          <cell r="I119" t="str">
            <v>202505</v>
          </cell>
          <cell r="J119" t="str">
            <v>048287</v>
          </cell>
          <cell r="K119">
            <v>111</v>
          </cell>
          <cell r="L119">
            <v>188648</v>
          </cell>
          <cell r="M119">
            <v>0</v>
          </cell>
          <cell r="N119">
            <v>188648</v>
          </cell>
          <cell r="O119">
            <v>0</v>
          </cell>
          <cell r="P119">
            <v>0</v>
          </cell>
          <cell r="Q119">
            <v>0</v>
          </cell>
          <cell r="R119">
            <v>188648</v>
          </cell>
          <cell r="S119">
            <v>0</v>
          </cell>
          <cell r="T119">
            <v>188648</v>
          </cell>
          <cell r="U119">
            <v>0</v>
          </cell>
          <cell r="V119">
            <v>188648</v>
          </cell>
          <cell r="W119">
            <v>188648</v>
          </cell>
          <cell r="X119">
            <v>0</v>
          </cell>
        </row>
        <row r="120">
          <cell r="B120">
            <v>514100603562</v>
          </cell>
          <cell r="C120" t="str">
            <v>LAMPU FLASER SUPERSEMAR</v>
          </cell>
          <cell r="D120" t="str">
            <v>SUPER SEMAR KEDIRI</v>
          </cell>
          <cell r="E120"/>
          <cell r="F120"/>
          <cell r="G120" t="str">
            <v>P3</v>
          </cell>
          <cell r="H120">
            <v>450</v>
          </cell>
          <cell r="I120" t="str">
            <v>202505</v>
          </cell>
          <cell r="J120" t="str">
            <v>048580</v>
          </cell>
          <cell r="K120">
            <v>324</v>
          </cell>
          <cell r="L120">
            <v>550648</v>
          </cell>
          <cell r="M120">
            <v>0</v>
          </cell>
          <cell r="N120">
            <v>550648</v>
          </cell>
          <cell r="O120">
            <v>0</v>
          </cell>
          <cell r="P120">
            <v>0</v>
          </cell>
          <cell r="Q120">
            <v>0</v>
          </cell>
          <cell r="R120">
            <v>550648</v>
          </cell>
          <cell r="S120">
            <v>0</v>
          </cell>
          <cell r="T120">
            <v>550648</v>
          </cell>
          <cell r="U120">
            <v>0</v>
          </cell>
          <cell r="V120">
            <v>550648</v>
          </cell>
          <cell r="W120">
            <v>550648</v>
          </cell>
          <cell r="X120">
            <v>0</v>
          </cell>
        </row>
        <row r="121">
          <cell r="B121">
            <v>514100612464</v>
          </cell>
          <cell r="C121" t="str">
            <v>LAMPU FRAZER SMUN 4</v>
          </cell>
          <cell r="D121" t="str">
            <v>SERSAN SUHARMAJI</v>
          </cell>
          <cell r="E121"/>
          <cell r="F121"/>
          <cell r="G121" t="str">
            <v>P3</v>
          </cell>
          <cell r="H121">
            <v>450</v>
          </cell>
          <cell r="I121" t="str">
            <v>202505</v>
          </cell>
          <cell r="J121" t="str">
            <v>048494</v>
          </cell>
          <cell r="K121">
            <v>324</v>
          </cell>
          <cell r="L121">
            <v>550648</v>
          </cell>
          <cell r="M121">
            <v>0</v>
          </cell>
          <cell r="N121">
            <v>550648</v>
          </cell>
          <cell r="O121">
            <v>0</v>
          </cell>
          <cell r="P121">
            <v>0</v>
          </cell>
          <cell r="Q121">
            <v>0</v>
          </cell>
          <cell r="R121">
            <v>550648</v>
          </cell>
          <cell r="S121">
            <v>0</v>
          </cell>
          <cell r="T121">
            <v>550648</v>
          </cell>
          <cell r="U121">
            <v>0</v>
          </cell>
          <cell r="V121">
            <v>550648</v>
          </cell>
          <cell r="W121">
            <v>550648</v>
          </cell>
          <cell r="X121">
            <v>0</v>
          </cell>
        </row>
        <row r="122">
          <cell r="B122">
            <v>514100666236</v>
          </cell>
          <cell r="C122" t="str">
            <v>TL SUMBERJIPUT</v>
          </cell>
          <cell r="D122" t="str">
            <v>SUPER SEMAR KEDIRI</v>
          </cell>
          <cell r="E122"/>
          <cell r="F122"/>
          <cell r="G122" t="str">
            <v>P3</v>
          </cell>
          <cell r="H122">
            <v>1300</v>
          </cell>
          <cell r="I122" t="str">
            <v>202505</v>
          </cell>
          <cell r="J122" t="str">
            <v>048381</v>
          </cell>
          <cell r="K122">
            <v>54</v>
          </cell>
          <cell r="L122">
            <v>91775</v>
          </cell>
          <cell r="M122">
            <v>0</v>
          </cell>
          <cell r="N122">
            <v>91775</v>
          </cell>
          <cell r="O122">
            <v>0</v>
          </cell>
          <cell r="P122">
            <v>0</v>
          </cell>
          <cell r="Q122">
            <v>0</v>
          </cell>
          <cell r="R122">
            <v>91775</v>
          </cell>
          <cell r="S122">
            <v>0</v>
          </cell>
          <cell r="T122">
            <v>91775</v>
          </cell>
          <cell r="U122">
            <v>0</v>
          </cell>
          <cell r="V122">
            <v>91775</v>
          </cell>
          <cell r="W122">
            <v>91775</v>
          </cell>
          <cell r="X122">
            <v>0</v>
          </cell>
        </row>
        <row r="123">
          <cell r="B123">
            <v>514100666244</v>
          </cell>
          <cell r="C123" t="str">
            <v>TL SIMPANG TOSAREN</v>
          </cell>
          <cell r="D123" t="str">
            <v>TOSAREN PESANTREN</v>
          </cell>
          <cell r="E123"/>
          <cell r="F123"/>
          <cell r="G123" t="str">
            <v>P3</v>
          </cell>
          <cell r="H123">
            <v>2200</v>
          </cell>
          <cell r="I123" t="str">
            <v>202505</v>
          </cell>
          <cell r="J123" t="str">
            <v>048723</v>
          </cell>
          <cell r="K123">
            <v>112</v>
          </cell>
          <cell r="L123">
            <v>190347</v>
          </cell>
          <cell r="M123">
            <v>0</v>
          </cell>
          <cell r="N123">
            <v>190347</v>
          </cell>
          <cell r="O123">
            <v>0</v>
          </cell>
          <cell r="P123">
            <v>0</v>
          </cell>
          <cell r="Q123">
            <v>0</v>
          </cell>
          <cell r="R123">
            <v>190347</v>
          </cell>
          <cell r="S123">
            <v>0</v>
          </cell>
          <cell r="T123">
            <v>190347</v>
          </cell>
          <cell r="U123">
            <v>0</v>
          </cell>
          <cell r="V123">
            <v>190347</v>
          </cell>
          <cell r="W123">
            <v>190347</v>
          </cell>
          <cell r="X123">
            <v>0</v>
          </cell>
        </row>
        <row r="124">
          <cell r="B124">
            <v>514100720760</v>
          </cell>
          <cell r="C124" t="str">
            <v>WL NGASINAN</v>
          </cell>
          <cell r="D124" t="str">
            <v>KAPTEN TENDEAN</v>
          </cell>
          <cell r="E124"/>
          <cell r="F124"/>
          <cell r="G124" t="str">
            <v>P3</v>
          </cell>
          <cell r="H124">
            <v>1300</v>
          </cell>
          <cell r="I124" t="str">
            <v>202505</v>
          </cell>
          <cell r="J124" t="str">
            <v>048786</v>
          </cell>
          <cell r="K124">
            <v>52</v>
          </cell>
          <cell r="L124">
            <v>88376</v>
          </cell>
          <cell r="M124">
            <v>0</v>
          </cell>
          <cell r="N124">
            <v>88376</v>
          </cell>
          <cell r="O124">
            <v>0</v>
          </cell>
          <cell r="P124">
            <v>0</v>
          </cell>
          <cell r="Q124">
            <v>0</v>
          </cell>
          <cell r="R124">
            <v>88376</v>
          </cell>
          <cell r="S124">
            <v>0</v>
          </cell>
          <cell r="T124">
            <v>88376</v>
          </cell>
          <cell r="U124">
            <v>0</v>
          </cell>
          <cell r="V124">
            <v>88376</v>
          </cell>
          <cell r="W124">
            <v>88376</v>
          </cell>
          <cell r="X124">
            <v>0</v>
          </cell>
        </row>
        <row r="125">
          <cell r="B125">
            <v>514100720778</v>
          </cell>
          <cell r="C125" t="str">
            <v>WL PERMATA HIJAU</v>
          </cell>
          <cell r="D125" t="str">
            <v>KAPTEN TENDEAN</v>
          </cell>
          <cell r="E125"/>
          <cell r="F125"/>
          <cell r="G125" t="str">
            <v>P3</v>
          </cell>
          <cell r="H125">
            <v>1300</v>
          </cell>
          <cell r="I125" t="str">
            <v>202505</v>
          </cell>
          <cell r="J125" t="str">
            <v>048717</v>
          </cell>
          <cell r="K125">
            <v>52</v>
          </cell>
          <cell r="L125">
            <v>88376</v>
          </cell>
          <cell r="M125">
            <v>0</v>
          </cell>
          <cell r="N125">
            <v>88376</v>
          </cell>
          <cell r="O125">
            <v>0</v>
          </cell>
          <cell r="P125">
            <v>0</v>
          </cell>
          <cell r="Q125">
            <v>0</v>
          </cell>
          <cell r="R125">
            <v>88376</v>
          </cell>
          <cell r="S125">
            <v>0</v>
          </cell>
          <cell r="T125">
            <v>88376</v>
          </cell>
          <cell r="U125">
            <v>0</v>
          </cell>
          <cell r="V125">
            <v>88376</v>
          </cell>
          <cell r="W125">
            <v>88376</v>
          </cell>
          <cell r="X125">
            <v>0</v>
          </cell>
        </row>
        <row r="126">
          <cell r="B126">
            <v>514100720807</v>
          </cell>
          <cell r="C126" t="str">
            <v>WL KANTOR POS TENDEAN</v>
          </cell>
          <cell r="D126" t="str">
            <v>KAPTEN TENDEAN</v>
          </cell>
          <cell r="E126"/>
          <cell r="F126"/>
          <cell r="G126" t="str">
            <v>P3</v>
          </cell>
          <cell r="H126">
            <v>1300</v>
          </cell>
          <cell r="I126" t="str">
            <v>202505</v>
          </cell>
          <cell r="J126" t="str">
            <v>048454</v>
          </cell>
          <cell r="K126">
            <v>52</v>
          </cell>
          <cell r="L126">
            <v>88376</v>
          </cell>
          <cell r="M126">
            <v>0</v>
          </cell>
          <cell r="N126">
            <v>88376</v>
          </cell>
          <cell r="O126">
            <v>0</v>
          </cell>
          <cell r="P126">
            <v>0</v>
          </cell>
          <cell r="Q126">
            <v>0</v>
          </cell>
          <cell r="R126">
            <v>88376</v>
          </cell>
          <cell r="S126">
            <v>0</v>
          </cell>
          <cell r="T126">
            <v>88376</v>
          </cell>
          <cell r="U126">
            <v>0</v>
          </cell>
          <cell r="V126">
            <v>88376</v>
          </cell>
          <cell r="W126">
            <v>88376</v>
          </cell>
          <cell r="X126">
            <v>0</v>
          </cell>
        </row>
        <row r="127">
          <cell r="B127">
            <v>514100720815</v>
          </cell>
          <cell r="C127" t="str">
            <v>LAMPU FLASHING NGRONGGO</v>
          </cell>
          <cell r="D127" t="str">
            <v>SUPER SEMAR KEDIRI</v>
          </cell>
          <cell r="E127"/>
          <cell r="F127"/>
          <cell r="G127" t="str">
            <v>P3</v>
          </cell>
          <cell r="H127">
            <v>450</v>
          </cell>
          <cell r="I127" t="str">
            <v>202505</v>
          </cell>
          <cell r="J127" t="str">
            <v>048627</v>
          </cell>
          <cell r="K127">
            <v>324</v>
          </cell>
          <cell r="L127">
            <v>550648</v>
          </cell>
          <cell r="M127">
            <v>0</v>
          </cell>
          <cell r="N127">
            <v>550648</v>
          </cell>
          <cell r="O127">
            <v>0</v>
          </cell>
          <cell r="P127">
            <v>0</v>
          </cell>
          <cell r="Q127">
            <v>0</v>
          </cell>
          <cell r="R127">
            <v>550648</v>
          </cell>
          <cell r="S127">
            <v>0</v>
          </cell>
          <cell r="T127">
            <v>550648</v>
          </cell>
          <cell r="U127">
            <v>0</v>
          </cell>
          <cell r="V127">
            <v>550648</v>
          </cell>
          <cell r="W127">
            <v>550648</v>
          </cell>
          <cell r="X127">
            <v>0</v>
          </cell>
        </row>
        <row r="128">
          <cell r="B128">
            <v>514100746132</v>
          </cell>
          <cell r="C128" t="str">
            <v>WL BANGSAL SUPITURANG</v>
          </cell>
          <cell r="D128" t="str">
            <v>KELURAHAN BANGSAL</v>
          </cell>
          <cell r="E128"/>
          <cell r="F128"/>
          <cell r="G128" t="str">
            <v>P3</v>
          </cell>
          <cell r="H128">
            <v>1300</v>
          </cell>
          <cell r="I128" t="str">
            <v>202505</v>
          </cell>
          <cell r="J128" t="str">
            <v>048514</v>
          </cell>
          <cell r="K128">
            <v>52</v>
          </cell>
          <cell r="L128">
            <v>88376</v>
          </cell>
          <cell r="M128">
            <v>0</v>
          </cell>
          <cell r="N128">
            <v>88376</v>
          </cell>
          <cell r="O128">
            <v>0</v>
          </cell>
          <cell r="P128">
            <v>0</v>
          </cell>
          <cell r="Q128">
            <v>0</v>
          </cell>
          <cell r="R128">
            <v>88376</v>
          </cell>
          <cell r="S128">
            <v>0</v>
          </cell>
          <cell r="T128">
            <v>88376</v>
          </cell>
          <cell r="U128">
            <v>0</v>
          </cell>
          <cell r="V128">
            <v>88376</v>
          </cell>
          <cell r="W128">
            <v>88376</v>
          </cell>
          <cell r="X128">
            <v>0</v>
          </cell>
        </row>
        <row r="129">
          <cell r="B129">
            <v>514100746140</v>
          </cell>
          <cell r="C129" t="str">
            <v>RAMBU-RAMBU SIMPANG TIGA</v>
          </cell>
          <cell r="D129" t="str">
            <v>NGRONGGO</v>
          </cell>
          <cell r="E129"/>
          <cell r="F129"/>
          <cell r="G129" t="str">
            <v>P3</v>
          </cell>
          <cell r="H129">
            <v>450</v>
          </cell>
          <cell r="I129" t="str">
            <v>202505</v>
          </cell>
          <cell r="J129" t="str">
            <v>048432</v>
          </cell>
          <cell r="K129">
            <v>324</v>
          </cell>
          <cell r="L129">
            <v>550648</v>
          </cell>
          <cell r="M129">
            <v>0</v>
          </cell>
          <cell r="N129">
            <v>550648</v>
          </cell>
          <cell r="O129">
            <v>0</v>
          </cell>
          <cell r="P129">
            <v>0</v>
          </cell>
          <cell r="Q129">
            <v>0</v>
          </cell>
          <cell r="R129">
            <v>550648</v>
          </cell>
          <cell r="S129">
            <v>0</v>
          </cell>
          <cell r="T129">
            <v>550648</v>
          </cell>
          <cell r="U129">
            <v>0</v>
          </cell>
          <cell r="V129">
            <v>550648</v>
          </cell>
          <cell r="W129">
            <v>550648</v>
          </cell>
          <cell r="X129">
            <v>0</v>
          </cell>
        </row>
        <row r="130">
          <cell r="B130">
            <v>514100755266</v>
          </cell>
          <cell r="C130" t="str">
            <v>WL GG CARIK</v>
          </cell>
          <cell r="D130" t="str">
            <v>HOS COKROAMINOTO</v>
          </cell>
          <cell r="E130"/>
          <cell r="F130"/>
          <cell r="G130" t="str">
            <v>P3</v>
          </cell>
          <cell r="H130">
            <v>1300</v>
          </cell>
          <cell r="I130" t="str">
            <v>202505</v>
          </cell>
          <cell r="J130" t="str">
            <v>048429</v>
          </cell>
          <cell r="K130">
            <v>52</v>
          </cell>
          <cell r="L130">
            <v>88376</v>
          </cell>
          <cell r="M130">
            <v>0</v>
          </cell>
          <cell r="N130">
            <v>88376</v>
          </cell>
          <cell r="O130">
            <v>0</v>
          </cell>
          <cell r="P130">
            <v>0</v>
          </cell>
          <cell r="Q130">
            <v>0</v>
          </cell>
          <cell r="R130">
            <v>88376</v>
          </cell>
          <cell r="S130">
            <v>0</v>
          </cell>
          <cell r="T130">
            <v>88376</v>
          </cell>
          <cell r="U130">
            <v>0</v>
          </cell>
          <cell r="V130">
            <v>88376</v>
          </cell>
          <cell r="W130">
            <v>88376</v>
          </cell>
          <cell r="X130">
            <v>0</v>
          </cell>
        </row>
        <row r="131">
          <cell r="B131">
            <v>514100759551</v>
          </cell>
          <cell r="C131" t="str">
            <v>WL BAWANG</v>
          </cell>
          <cell r="D131" t="str">
            <v>NGLETIH</v>
          </cell>
          <cell r="E131"/>
          <cell r="F131"/>
          <cell r="G131" t="str">
            <v>P3</v>
          </cell>
          <cell r="H131">
            <v>1300</v>
          </cell>
          <cell r="I131" t="str">
            <v>202505</v>
          </cell>
          <cell r="J131" t="str">
            <v>048603</v>
          </cell>
          <cell r="K131">
            <v>52</v>
          </cell>
          <cell r="L131">
            <v>88376</v>
          </cell>
          <cell r="M131">
            <v>0</v>
          </cell>
          <cell r="N131">
            <v>88376</v>
          </cell>
          <cell r="O131">
            <v>0</v>
          </cell>
          <cell r="P131">
            <v>0</v>
          </cell>
          <cell r="Q131">
            <v>0</v>
          </cell>
          <cell r="R131">
            <v>88376</v>
          </cell>
          <cell r="S131">
            <v>0</v>
          </cell>
          <cell r="T131">
            <v>88376</v>
          </cell>
          <cell r="U131">
            <v>0</v>
          </cell>
          <cell r="V131">
            <v>88376</v>
          </cell>
          <cell r="W131">
            <v>88376</v>
          </cell>
          <cell r="X131">
            <v>0</v>
          </cell>
        </row>
        <row r="132">
          <cell r="B132">
            <v>514100759888</v>
          </cell>
          <cell r="C132" t="str">
            <v>TL SIMPANG PATIUNUS</v>
          </cell>
          <cell r="D132" t="str">
            <v>PATIUNUS</v>
          </cell>
          <cell r="E132"/>
          <cell r="F132"/>
          <cell r="G132" t="str">
            <v>P3</v>
          </cell>
          <cell r="H132">
            <v>1300</v>
          </cell>
          <cell r="I132" t="str">
            <v>202505</v>
          </cell>
          <cell r="J132" t="str">
            <v>048483</v>
          </cell>
          <cell r="K132">
            <v>85</v>
          </cell>
          <cell r="L132">
            <v>144460</v>
          </cell>
          <cell r="M132">
            <v>0</v>
          </cell>
          <cell r="N132">
            <v>144460</v>
          </cell>
          <cell r="O132">
            <v>0</v>
          </cell>
          <cell r="P132">
            <v>0</v>
          </cell>
          <cell r="Q132">
            <v>0</v>
          </cell>
          <cell r="R132">
            <v>144460</v>
          </cell>
          <cell r="S132">
            <v>0</v>
          </cell>
          <cell r="T132">
            <v>144460</v>
          </cell>
          <cell r="U132">
            <v>0</v>
          </cell>
          <cell r="V132">
            <v>144460</v>
          </cell>
          <cell r="W132">
            <v>144460</v>
          </cell>
          <cell r="X132">
            <v>0</v>
          </cell>
        </row>
        <row r="133">
          <cell r="B133">
            <v>514100904569</v>
          </cell>
          <cell r="C133" t="str">
            <v>WL MTS CENTONG</v>
          </cell>
          <cell r="D133" t="str">
            <v>BAWANG</v>
          </cell>
          <cell r="E133"/>
          <cell r="F133"/>
          <cell r="G133" t="str">
            <v>P3</v>
          </cell>
          <cell r="H133">
            <v>1300</v>
          </cell>
          <cell r="I133" t="str">
            <v>202505</v>
          </cell>
          <cell r="J133" t="str">
            <v>048366</v>
          </cell>
          <cell r="K133">
            <v>52</v>
          </cell>
          <cell r="L133">
            <v>88376</v>
          </cell>
          <cell r="M133">
            <v>0</v>
          </cell>
          <cell r="N133">
            <v>88376</v>
          </cell>
          <cell r="O133">
            <v>0</v>
          </cell>
          <cell r="P133">
            <v>0</v>
          </cell>
          <cell r="Q133">
            <v>0</v>
          </cell>
          <cell r="R133">
            <v>88376</v>
          </cell>
          <cell r="S133">
            <v>0</v>
          </cell>
          <cell r="T133">
            <v>88376</v>
          </cell>
          <cell r="U133">
            <v>0</v>
          </cell>
          <cell r="V133">
            <v>88376</v>
          </cell>
          <cell r="W133">
            <v>88376</v>
          </cell>
          <cell r="X133">
            <v>0</v>
          </cell>
        </row>
        <row r="134">
          <cell r="B134">
            <v>514100904577</v>
          </cell>
          <cell r="C134" t="str">
            <v>WL PALANG MERAH</v>
          </cell>
          <cell r="D134" t="str">
            <v>PAGUT</v>
          </cell>
          <cell r="E134"/>
          <cell r="F134"/>
          <cell r="G134" t="str">
            <v>P3</v>
          </cell>
          <cell r="H134">
            <v>1300</v>
          </cell>
          <cell r="I134" t="str">
            <v>202505</v>
          </cell>
          <cell r="J134" t="str">
            <v>048771</v>
          </cell>
          <cell r="K134">
            <v>52</v>
          </cell>
          <cell r="L134">
            <v>88376</v>
          </cell>
          <cell r="M134">
            <v>0</v>
          </cell>
          <cell r="N134">
            <v>88376</v>
          </cell>
          <cell r="O134">
            <v>0</v>
          </cell>
          <cell r="P134">
            <v>0</v>
          </cell>
          <cell r="Q134">
            <v>0</v>
          </cell>
          <cell r="R134">
            <v>88376</v>
          </cell>
          <cell r="S134">
            <v>0</v>
          </cell>
          <cell r="T134">
            <v>88376</v>
          </cell>
          <cell r="U134">
            <v>0</v>
          </cell>
          <cell r="V134">
            <v>88376</v>
          </cell>
          <cell r="W134">
            <v>88376</v>
          </cell>
          <cell r="X134">
            <v>0</v>
          </cell>
        </row>
        <row r="135">
          <cell r="B135">
            <v>514100963290</v>
          </cell>
          <cell r="C135" t="str">
            <v>TL SIMPANG BAPTIS</v>
          </cell>
          <cell r="D135" t="str">
            <v>LETJEN SUTOYO</v>
          </cell>
          <cell r="E135"/>
          <cell r="F135"/>
          <cell r="G135" t="str">
            <v>P3</v>
          </cell>
          <cell r="H135">
            <v>1300</v>
          </cell>
          <cell r="I135" t="str">
            <v>202505</v>
          </cell>
          <cell r="J135" t="str">
            <v>048735</v>
          </cell>
          <cell r="K135">
            <v>92</v>
          </cell>
          <cell r="L135">
            <v>156357</v>
          </cell>
          <cell r="M135">
            <v>0</v>
          </cell>
          <cell r="N135">
            <v>156357</v>
          </cell>
          <cell r="O135">
            <v>0</v>
          </cell>
          <cell r="P135">
            <v>0</v>
          </cell>
          <cell r="Q135">
            <v>0</v>
          </cell>
          <cell r="R135">
            <v>156357</v>
          </cell>
          <cell r="S135">
            <v>0</v>
          </cell>
          <cell r="T135">
            <v>156357</v>
          </cell>
          <cell r="U135">
            <v>0</v>
          </cell>
          <cell r="V135">
            <v>156357</v>
          </cell>
          <cell r="W135">
            <v>156357</v>
          </cell>
          <cell r="X135">
            <v>0</v>
          </cell>
        </row>
        <row r="136">
          <cell r="B136">
            <v>514100967623</v>
          </cell>
          <cell r="C136" t="str">
            <v>WL PPMB</v>
          </cell>
          <cell r="D136" t="str">
            <v>KAPTEN TENDEAN</v>
          </cell>
          <cell r="E136"/>
          <cell r="F136"/>
          <cell r="G136" t="str">
            <v>P3</v>
          </cell>
          <cell r="H136">
            <v>1300</v>
          </cell>
          <cell r="I136" t="str">
            <v>202505</v>
          </cell>
          <cell r="J136" t="str">
            <v>048534</v>
          </cell>
          <cell r="K136">
            <v>52</v>
          </cell>
          <cell r="L136">
            <v>88376</v>
          </cell>
          <cell r="M136">
            <v>0</v>
          </cell>
          <cell r="N136">
            <v>88376</v>
          </cell>
          <cell r="O136">
            <v>0</v>
          </cell>
          <cell r="P136">
            <v>0</v>
          </cell>
          <cell r="Q136">
            <v>0</v>
          </cell>
          <cell r="R136">
            <v>88376</v>
          </cell>
          <cell r="S136">
            <v>0</v>
          </cell>
          <cell r="T136">
            <v>88376</v>
          </cell>
          <cell r="U136">
            <v>0</v>
          </cell>
          <cell r="V136">
            <v>88376</v>
          </cell>
          <cell r="W136">
            <v>88376</v>
          </cell>
          <cell r="X136">
            <v>0</v>
          </cell>
        </row>
        <row r="137">
          <cell r="B137">
            <v>514100967631</v>
          </cell>
          <cell r="C137" t="str">
            <v>WL PLN TENDEAN</v>
          </cell>
          <cell r="D137" t="str">
            <v>KAPTEN TENDEAN</v>
          </cell>
          <cell r="E137"/>
          <cell r="F137"/>
          <cell r="G137" t="str">
            <v>P3</v>
          </cell>
          <cell r="H137">
            <v>1300</v>
          </cell>
          <cell r="I137" t="str">
            <v>202505</v>
          </cell>
          <cell r="J137" t="str">
            <v>048567</v>
          </cell>
          <cell r="K137">
            <v>52</v>
          </cell>
          <cell r="L137">
            <v>88376</v>
          </cell>
          <cell r="M137">
            <v>0</v>
          </cell>
          <cell r="N137">
            <v>88376</v>
          </cell>
          <cell r="O137">
            <v>0</v>
          </cell>
          <cell r="P137">
            <v>0</v>
          </cell>
          <cell r="Q137">
            <v>0</v>
          </cell>
          <cell r="R137">
            <v>88376</v>
          </cell>
          <cell r="S137">
            <v>0</v>
          </cell>
          <cell r="T137">
            <v>88376</v>
          </cell>
          <cell r="U137">
            <v>0</v>
          </cell>
          <cell r="V137">
            <v>88376</v>
          </cell>
          <cell r="W137">
            <v>88376</v>
          </cell>
          <cell r="X137">
            <v>0</v>
          </cell>
        </row>
        <row r="138">
          <cell r="B138">
            <v>514100967649</v>
          </cell>
          <cell r="C138" t="str">
            <v>WL BTN REJOMULYO</v>
          </cell>
          <cell r="D138" t="str">
            <v>KAPTEN TENDEAN</v>
          </cell>
          <cell r="E138"/>
          <cell r="F138"/>
          <cell r="G138" t="str">
            <v>P3</v>
          </cell>
          <cell r="H138">
            <v>1300</v>
          </cell>
          <cell r="I138" t="str">
            <v>202505</v>
          </cell>
          <cell r="J138" t="str">
            <v>048295</v>
          </cell>
          <cell r="K138">
            <v>52</v>
          </cell>
          <cell r="L138">
            <v>88376</v>
          </cell>
          <cell r="M138">
            <v>0</v>
          </cell>
          <cell r="N138">
            <v>88376</v>
          </cell>
          <cell r="O138">
            <v>0</v>
          </cell>
          <cell r="P138">
            <v>0</v>
          </cell>
          <cell r="Q138">
            <v>0</v>
          </cell>
          <cell r="R138">
            <v>88376</v>
          </cell>
          <cell r="S138">
            <v>0</v>
          </cell>
          <cell r="T138">
            <v>88376</v>
          </cell>
          <cell r="U138">
            <v>0</v>
          </cell>
          <cell r="V138">
            <v>88376</v>
          </cell>
          <cell r="W138">
            <v>88376</v>
          </cell>
          <cell r="X138">
            <v>0</v>
          </cell>
        </row>
        <row r="139">
          <cell r="B139">
            <v>514100967656</v>
          </cell>
          <cell r="C139" t="str">
            <v>WL BUMI ASRI</v>
          </cell>
          <cell r="D139" t="str">
            <v>TEMBUS KALIOMBO</v>
          </cell>
          <cell r="E139"/>
          <cell r="F139"/>
          <cell r="G139" t="str">
            <v>P3</v>
          </cell>
          <cell r="H139">
            <v>1300</v>
          </cell>
          <cell r="I139" t="str">
            <v>202505</v>
          </cell>
          <cell r="J139" t="str">
            <v>048775</v>
          </cell>
          <cell r="K139">
            <v>52</v>
          </cell>
          <cell r="L139">
            <v>88376</v>
          </cell>
          <cell r="M139">
            <v>0</v>
          </cell>
          <cell r="N139">
            <v>88376</v>
          </cell>
          <cell r="O139">
            <v>0</v>
          </cell>
          <cell r="P139">
            <v>0</v>
          </cell>
          <cell r="Q139">
            <v>0</v>
          </cell>
          <cell r="R139">
            <v>88376</v>
          </cell>
          <cell r="S139">
            <v>0</v>
          </cell>
          <cell r="T139">
            <v>88376</v>
          </cell>
          <cell r="U139">
            <v>0</v>
          </cell>
          <cell r="V139">
            <v>88376</v>
          </cell>
          <cell r="W139">
            <v>88376</v>
          </cell>
          <cell r="X139">
            <v>0</v>
          </cell>
        </row>
        <row r="140">
          <cell r="B140">
            <v>514100967664</v>
          </cell>
          <cell r="C140" t="str">
            <v>LAMPU PEREMPATAN NGLETIH</v>
          </cell>
          <cell r="D140" t="str">
            <v>BETET BAWANG</v>
          </cell>
          <cell r="E140"/>
          <cell r="F140"/>
          <cell r="G140" t="str">
            <v>P3</v>
          </cell>
          <cell r="H140">
            <v>450</v>
          </cell>
          <cell r="I140" t="str">
            <v>202505</v>
          </cell>
          <cell r="J140" t="str">
            <v>048480</v>
          </cell>
          <cell r="K140">
            <v>324</v>
          </cell>
          <cell r="L140">
            <v>550648</v>
          </cell>
          <cell r="M140">
            <v>0</v>
          </cell>
          <cell r="N140">
            <v>550648</v>
          </cell>
          <cell r="O140">
            <v>0</v>
          </cell>
          <cell r="P140">
            <v>0</v>
          </cell>
          <cell r="Q140">
            <v>0</v>
          </cell>
          <cell r="R140">
            <v>550648</v>
          </cell>
          <cell r="S140">
            <v>0</v>
          </cell>
          <cell r="T140">
            <v>550648</v>
          </cell>
          <cell r="U140">
            <v>0</v>
          </cell>
          <cell r="V140">
            <v>550648</v>
          </cell>
          <cell r="W140">
            <v>550648</v>
          </cell>
          <cell r="X140">
            <v>0</v>
          </cell>
        </row>
        <row r="141">
          <cell r="B141">
            <v>514100967672</v>
          </cell>
          <cell r="C141" t="str">
            <v>LAMPU DPN LAP GAJAH MADA</v>
          </cell>
          <cell r="D141" t="str">
            <v>KOMBES S BAHRI</v>
          </cell>
          <cell r="E141"/>
          <cell r="F141"/>
          <cell r="G141" t="str">
            <v>P3</v>
          </cell>
          <cell r="H141">
            <v>450</v>
          </cell>
          <cell r="I141" t="str">
            <v>202505</v>
          </cell>
          <cell r="J141" t="str">
            <v>048364</v>
          </cell>
          <cell r="K141">
            <v>324</v>
          </cell>
          <cell r="L141">
            <v>550648</v>
          </cell>
          <cell r="M141">
            <v>0</v>
          </cell>
          <cell r="N141">
            <v>550648</v>
          </cell>
          <cell r="O141">
            <v>0</v>
          </cell>
          <cell r="P141">
            <v>0</v>
          </cell>
          <cell r="Q141">
            <v>0</v>
          </cell>
          <cell r="R141">
            <v>550648</v>
          </cell>
          <cell r="S141">
            <v>0</v>
          </cell>
          <cell r="T141">
            <v>550648</v>
          </cell>
          <cell r="U141">
            <v>0</v>
          </cell>
          <cell r="V141">
            <v>550648</v>
          </cell>
          <cell r="W141">
            <v>550648</v>
          </cell>
          <cell r="X141">
            <v>0</v>
          </cell>
        </row>
        <row r="142">
          <cell r="B142">
            <v>514100993056</v>
          </cell>
          <cell r="C142" t="str">
            <v>LAMPU WARNING LIGHT</v>
          </cell>
          <cell r="D142" t="str">
            <v>SETIA BUDI KEDIRI</v>
          </cell>
          <cell r="E142"/>
          <cell r="F142"/>
          <cell r="G142" t="str">
            <v>P3</v>
          </cell>
          <cell r="H142">
            <v>450</v>
          </cell>
          <cell r="I142" t="str">
            <v>202505</v>
          </cell>
          <cell r="J142" t="str">
            <v>048626</v>
          </cell>
          <cell r="K142">
            <v>324</v>
          </cell>
          <cell r="L142">
            <v>550648</v>
          </cell>
          <cell r="M142">
            <v>0</v>
          </cell>
          <cell r="N142">
            <v>550648</v>
          </cell>
          <cell r="O142">
            <v>0</v>
          </cell>
          <cell r="P142">
            <v>0</v>
          </cell>
          <cell r="Q142">
            <v>0</v>
          </cell>
          <cell r="R142">
            <v>550648</v>
          </cell>
          <cell r="S142">
            <v>0</v>
          </cell>
          <cell r="T142">
            <v>550648</v>
          </cell>
          <cell r="U142">
            <v>0</v>
          </cell>
          <cell r="V142">
            <v>550648</v>
          </cell>
          <cell r="W142">
            <v>550648</v>
          </cell>
          <cell r="X142">
            <v>0</v>
          </cell>
        </row>
        <row r="143">
          <cell r="B143">
            <v>514100993064</v>
          </cell>
          <cell r="C143" t="str">
            <v>LAMPU WARNING LIGHT</v>
          </cell>
          <cell r="D143" t="str">
            <v>SMU 6 ( SUMBER JIPUT )</v>
          </cell>
          <cell r="E143"/>
          <cell r="F143"/>
          <cell r="G143" t="str">
            <v>P3</v>
          </cell>
          <cell r="H143">
            <v>450</v>
          </cell>
          <cell r="I143" t="str">
            <v>202505</v>
          </cell>
          <cell r="J143" t="str">
            <v>048312</v>
          </cell>
          <cell r="K143">
            <v>324</v>
          </cell>
          <cell r="L143">
            <v>550648</v>
          </cell>
          <cell r="M143">
            <v>0</v>
          </cell>
          <cell r="N143">
            <v>550648</v>
          </cell>
          <cell r="O143">
            <v>0</v>
          </cell>
          <cell r="P143">
            <v>0</v>
          </cell>
          <cell r="Q143">
            <v>0</v>
          </cell>
          <cell r="R143">
            <v>550648</v>
          </cell>
          <cell r="S143">
            <v>0</v>
          </cell>
          <cell r="T143">
            <v>550648</v>
          </cell>
          <cell r="U143">
            <v>0</v>
          </cell>
          <cell r="V143">
            <v>550648</v>
          </cell>
          <cell r="W143">
            <v>550648</v>
          </cell>
          <cell r="X143">
            <v>0</v>
          </cell>
        </row>
        <row r="144">
          <cell r="B144">
            <v>514101067859</v>
          </cell>
          <cell r="C144" t="str">
            <v>WARNING LIGHT KALIOMBO</v>
          </cell>
          <cell r="D144" t="str">
            <v>KALIOMBO KEDIRI</v>
          </cell>
          <cell r="E144"/>
          <cell r="F144"/>
          <cell r="G144" t="str">
            <v>P3</v>
          </cell>
          <cell r="H144">
            <v>450</v>
          </cell>
          <cell r="I144" t="str">
            <v>202505</v>
          </cell>
          <cell r="J144" t="str">
            <v>048613</v>
          </cell>
          <cell r="K144">
            <v>324</v>
          </cell>
          <cell r="L144">
            <v>550648</v>
          </cell>
          <cell r="M144">
            <v>0</v>
          </cell>
          <cell r="N144">
            <v>550648</v>
          </cell>
          <cell r="O144">
            <v>0</v>
          </cell>
          <cell r="P144">
            <v>0</v>
          </cell>
          <cell r="Q144">
            <v>0</v>
          </cell>
          <cell r="R144">
            <v>550648</v>
          </cell>
          <cell r="S144">
            <v>0</v>
          </cell>
          <cell r="T144">
            <v>550648</v>
          </cell>
          <cell r="U144">
            <v>0</v>
          </cell>
          <cell r="V144">
            <v>550648</v>
          </cell>
          <cell r="W144">
            <v>550648</v>
          </cell>
          <cell r="X144">
            <v>0</v>
          </cell>
        </row>
        <row r="145">
          <cell r="B145">
            <v>514101067867</v>
          </cell>
          <cell r="C145" t="str">
            <v>WARNING LIGHT TINALAN</v>
          </cell>
          <cell r="D145" t="str">
            <v>TINALAN KEDIRI</v>
          </cell>
          <cell r="E145"/>
          <cell r="F145"/>
          <cell r="G145" t="str">
            <v>P3</v>
          </cell>
          <cell r="H145">
            <v>450</v>
          </cell>
          <cell r="I145" t="str">
            <v>202505</v>
          </cell>
          <cell r="J145" t="str">
            <v>048645</v>
          </cell>
          <cell r="K145">
            <v>324</v>
          </cell>
          <cell r="L145">
            <v>550648</v>
          </cell>
          <cell r="M145">
            <v>0</v>
          </cell>
          <cell r="N145">
            <v>550648</v>
          </cell>
          <cell r="O145">
            <v>0</v>
          </cell>
          <cell r="P145">
            <v>0</v>
          </cell>
          <cell r="Q145">
            <v>0</v>
          </cell>
          <cell r="R145">
            <v>550648</v>
          </cell>
          <cell r="S145">
            <v>0</v>
          </cell>
          <cell r="T145">
            <v>550648</v>
          </cell>
          <cell r="U145">
            <v>0</v>
          </cell>
          <cell r="V145">
            <v>550648</v>
          </cell>
          <cell r="W145">
            <v>550648</v>
          </cell>
          <cell r="X145">
            <v>0</v>
          </cell>
        </row>
        <row r="146">
          <cell r="B146">
            <v>514101068461</v>
          </cell>
          <cell r="C146" t="str">
            <v>WARNING LIGHT TOSAREN</v>
          </cell>
          <cell r="D146" t="str">
            <v>TOSAREN KEDIRI</v>
          </cell>
          <cell r="E146"/>
          <cell r="F146"/>
          <cell r="G146" t="str">
            <v>P3</v>
          </cell>
          <cell r="H146">
            <v>450</v>
          </cell>
          <cell r="I146" t="str">
            <v>202505</v>
          </cell>
          <cell r="J146" t="str">
            <v>048679</v>
          </cell>
          <cell r="K146">
            <v>324</v>
          </cell>
          <cell r="L146">
            <v>550648</v>
          </cell>
          <cell r="M146">
            <v>0</v>
          </cell>
          <cell r="N146">
            <v>550648</v>
          </cell>
          <cell r="O146">
            <v>0</v>
          </cell>
          <cell r="P146">
            <v>0</v>
          </cell>
          <cell r="Q146">
            <v>0</v>
          </cell>
          <cell r="R146">
            <v>550648</v>
          </cell>
          <cell r="S146">
            <v>0</v>
          </cell>
          <cell r="T146">
            <v>550648</v>
          </cell>
          <cell r="U146">
            <v>0</v>
          </cell>
          <cell r="V146">
            <v>550648</v>
          </cell>
          <cell r="W146">
            <v>550648</v>
          </cell>
          <cell r="X146">
            <v>0</v>
          </cell>
        </row>
        <row r="147">
          <cell r="B147">
            <v>514101101730</v>
          </cell>
          <cell r="C147" t="str">
            <v>WARNING LIGH TINALAN III</v>
          </cell>
          <cell r="D147" t="str">
            <v>SIMPANG EMPAT TINALAN II</v>
          </cell>
          <cell r="E147"/>
          <cell r="F147"/>
          <cell r="G147" t="str">
            <v>P3</v>
          </cell>
          <cell r="H147">
            <v>450</v>
          </cell>
          <cell r="I147" t="str">
            <v>202505</v>
          </cell>
          <cell r="J147" t="str">
            <v>048300</v>
          </cell>
          <cell r="K147">
            <v>324</v>
          </cell>
          <cell r="L147">
            <v>550648</v>
          </cell>
          <cell r="M147">
            <v>0</v>
          </cell>
          <cell r="N147">
            <v>550648</v>
          </cell>
          <cell r="O147">
            <v>0</v>
          </cell>
          <cell r="P147">
            <v>0</v>
          </cell>
          <cell r="Q147">
            <v>0</v>
          </cell>
          <cell r="R147">
            <v>550648</v>
          </cell>
          <cell r="S147">
            <v>0</v>
          </cell>
          <cell r="T147">
            <v>550648</v>
          </cell>
          <cell r="U147">
            <v>0</v>
          </cell>
          <cell r="V147">
            <v>550648</v>
          </cell>
          <cell r="W147">
            <v>550648</v>
          </cell>
          <cell r="X147">
            <v>0</v>
          </cell>
        </row>
        <row r="148">
          <cell r="B148">
            <v>514101162578</v>
          </cell>
          <cell r="C148" t="str">
            <v>WARNING LIGHT PASAR LOAK</v>
          </cell>
          <cell r="D148" t="str">
            <v>KALIOMBO</v>
          </cell>
          <cell r="E148"/>
          <cell r="F148"/>
          <cell r="G148" t="str">
            <v>P3</v>
          </cell>
          <cell r="H148">
            <v>450</v>
          </cell>
          <cell r="I148" t="str">
            <v>202505</v>
          </cell>
          <cell r="J148" t="str">
            <v>000282</v>
          </cell>
          <cell r="K148">
            <v>18</v>
          </cell>
          <cell r="L148">
            <v>30592</v>
          </cell>
          <cell r="M148">
            <v>0</v>
          </cell>
          <cell r="N148">
            <v>30592</v>
          </cell>
          <cell r="O148">
            <v>0</v>
          </cell>
          <cell r="P148">
            <v>0</v>
          </cell>
          <cell r="Q148">
            <v>0</v>
          </cell>
          <cell r="R148">
            <v>30592</v>
          </cell>
          <cell r="S148">
            <v>0</v>
          </cell>
          <cell r="T148">
            <v>30592</v>
          </cell>
          <cell r="U148">
            <v>0</v>
          </cell>
          <cell r="V148">
            <v>30592</v>
          </cell>
          <cell r="W148">
            <v>30592</v>
          </cell>
          <cell r="X148">
            <v>0</v>
          </cell>
        </row>
        <row r="149">
          <cell r="B149">
            <v>514101176759</v>
          </cell>
          <cell r="C149" t="str">
            <v>WARNING LIGHT ST PANDE</v>
          </cell>
          <cell r="D149" t="str">
            <v>KILISUCI</v>
          </cell>
          <cell r="E149"/>
          <cell r="F149"/>
          <cell r="G149" t="str">
            <v>P3</v>
          </cell>
          <cell r="H149">
            <v>450</v>
          </cell>
          <cell r="I149" t="str">
            <v>202505</v>
          </cell>
          <cell r="J149" t="str">
            <v>022004</v>
          </cell>
          <cell r="K149">
            <v>18</v>
          </cell>
          <cell r="L149">
            <v>30592</v>
          </cell>
          <cell r="M149">
            <v>0</v>
          </cell>
          <cell r="N149">
            <v>30592</v>
          </cell>
          <cell r="O149">
            <v>0</v>
          </cell>
          <cell r="P149">
            <v>0</v>
          </cell>
          <cell r="Q149">
            <v>0</v>
          </cell>
          <cell r="R149">
            <v>30592</v>
          </cell>
          <cell r="S149">
            <v>0</v>
          </cell>
          <cell r="T149">
            <v>30592</v>
          </cell>
          <cell r="U149">
            <v>0</v>
          </cell>
          <cell r="V149">
            <v>30592</v>
          </cell>
          <cell r="W149">
            <v>30592</v>
          </cell>
          <cell r="X149">
            <v>0</v>
          </cell>
        </row>
        <row r="150">
          <cell r="B150">
            <v>514101301848</v>
          </cell>
          <cell r="C150" t="str">
            <v>TRAFFIC LIGHT SIMP4 BETET</v>
          </cell>
          <cell r="D150" t="str">
            <v>SIMPANG 4 BETET DS BETET KEC P</v>
          </cell>
          <cell r="E150"/>
          <cell r="F150"/>
          <cell r="G150" t="str">
            <v>P3</v>
          </cell>
          <cell r="H150">
            <v>1300</v>
          </cell>
          <cell r="I150" t="str">
            <v>202505</v>
          </cell>
          <cell r="J150" t="str">
            <v>048294</v>
          </cell>
          <cell r="K150">
            <v>101</v>
          </cell>
          <cell r="L150">
            <v>171653</v>
          </cell>
          <cell r="M150">
            <v>0</v>
          </cell>
          <cell r="N150">
            <v>171653</v>
          </cell>
          <cell r="O150">
            <v>0</v>
          </cell>
          <cell r="P150">
            <v>0</v>
          </cell>
          <cell r="Q150">
            <v>0</v>
          </cell>
          <cell r="R150">
            <v>171653</v>
          </cell>
          <cell r="S150">
            <v>0</v>
          </cell>
          <cell r="T150">
            <v>171653</v>
          </cell>
          <cell r="U150">
            <v>0</v>
          </cell>
          <cell r="V150">
            <v>171653</v>
          </cell>
          <cell r="W150">
            <v>171653</v>
          </cell>
          <cell r="X150">
            <v>0</v>
          </cell>
        </row>
        <row r="151">
          <cell r="B151">
            <v>514101302824</v>
          </cell>
          <cell r="C151" t="str">
            <v>WARNING LIGHT MASJID</v>
          </cell>
          <cell r="D151" t="str">
            <v>CENDANA SINGONEGARAN</v>
          </cell>
          <cell r="E151"/>
          <cell r="F151"/>
          <cell r="G151" t="str">
            <v>P3</v>
          </cell>
          <cell r="H151">
            <v>900</v>
          </cell>
          <cell r="I151" t="str">
            <v>202505</v>
          </cell>
          <cell r="J151" t="str">
            <v>048785</v>
          </cell>
          <cell r="K151">
            <v>36</v>
          </cell>
          <cell r="L151">
            <v>61183</v>
          </cell>
          <cell r="M151">
            <v>0</v>
          </cell>
          <cell r="N151">
            <v>61183</v>
          </cell>
          <cell r="O151">
            <v>0</v>
          </cell>
          <cell r="P151">
            <v>0</v>
          </cell>
          <cell r="Q151">
            <v>0</v>
          </cell>
          <cell r="R151">
            <v>61183</v>
          </cell>
          <cell r="S151">
            <v>0</v>
          </cell>
          <cell r="T151">
            <v>61183</v>
          </cell>
          <cell r="U151">
            <v>0</v>
          </cell>
          <cell r="V151">
            <v>61183</v>
          </cell>
          <cell r="W151">
            <v>61183</v>
          </cell>
          <cell r="X151">
            <v>0</v>
          </cell>
        </row>
        <row r="152">
          <cell r="B152">
            <v>514101302832</v>
          </cell>
          <cell r="C152" t="str">
            <v>WARNING LIGHT MASJID</v>
          </cell>
          <cell r="D152" t="str">
            <v>RAYA PAGUT BLABAK</v>
          </cell>
          <cell r="E152"/>
          <cell r="F152"/>
          <cell r="G152" t="str">
            <v>P3</v>
          </cell>
          <cell r="H152">
            <v>900</v>
          </cell>
          <cell r="I152" t="str">
            <v>202505</v>
          </cell>
          <cell r="J152" t="str">
            <v>048553</v>
          </cell>
          <cell r="K152">
            <v>36</v>
          </cell>
          <cell r="L152">
            <v>61183</v>
          </cell>
          <cell r="M152">
            <v>0</v>
          </cell>
          <cell r="N152">
            <v>61183</v>
          </cell>
          <cell r="O152">
            <v>0</v>
          </cell>
          <cell r="P152">
            <v>0</v>
          </cell>
          <cell r="Q152">
            <v>0</v>
          </cell>
          <cell r="R152">
            <v>61183</v>
          </cell>
          <cell r="S152">
            <v>0</v>
          </cell>
          <cell r="T152">
            <v>61183</v>
          </cell>
          <cell r="U152">
            <v>0</v>
          </cell>
          <cell r="V152">
            <v>61183</v>
          </cell>
          <cell r="W152">
            <v>61183</v>
          </cell>
          <cell r="X152">
            <v>0</v>
          </cell>
        </row>
        <row r="153">
          <cell r="B153">
            <v>514101302840</v>
          </cell>
          <cell r="C153" t="str">
            <v>WARNING LIGHT TIKUNGAN</v>
          </cell>
          <cell r="D153" t="str">
            <v>RAYA PAGUT</v>
          </cell>
          <cell r="E153"/>
          <cell r="F153"/>
          <cell r="G153" t="str">
            <v>P3</v>
          </cell>
          <cell r="H153">
            <v>900</v>
          </cell>
          <cell r="I153" t="str">
            <v>202505</v>
          </cell>
          <cell r="J153" t="str">
            <v>048382</v>
          </cell>
          <cell r="K153">
            <v>36</v>
          </cell>
          <cell r="L153">
            <v>61183</v>
          </cell>
          <cell r="M153">
            <v>0</v>
          </cell>
          <cell r="N153">
            <v>61183</v>
          </cell>
          <cell r="O153">
            <v>0</v>
          </cell>
          <cell r="P153">
            <v>0</v>
          </cell>
          <cell r="Q153">
            <v>0</v>
          </cell>
          <cell r="R153">
            <v>61183</v>
          </cell>
          <cell r="S153">
            <v>0</v>
          </cell>
          <cell r="T153">
            <v>61183</v>
          </cell>
          <cell r="U153">
            <v>0</v>
          </cell>
          <cell r="V153">
            <v>61183</v>
          </cell>
          <cell r="W153">
            <v>61183</v>
          </cell>
          <cell r="X153">
            <v>0</v>
          </cell>
        </row>
        <row r="154">
          <cell r="B154">
            <v>514101330095</v>
          </cell>
          <cell r="C154" t="str">
            <v>PALANG PINTU KERETA API</v>
          </cell>
          <cell r="D154" t="str">
            <v>MANISRENGGO</v>
          </cell>
          <cell r="E154"/>
          <cell r="F154"/>
          <cell r="G154" t="str">
            <v>P3</v>
          </cell>
          <cell r="H154">
            <v>3500</v>
          </cell>
          <cell r="I154" t="str">
            <v>202505</v>
          </cell>
          <cell r="J154" t="str">
            <v>004149</v>
          </cell>
          <cell r="K154">
            <v>140</v>
          </cell>
          <cell r="L154">
            <v>237934</v>
          </cell>
          <cell r="M154">
            <v>0</v>
          </cell>
          <cell r="N154">
            <v>237934</v>
          </cell>
          <cell r="O154">
            <v>0</v>
          </cell>
          <cell r="P154">
            <v>0</v>
          </cell>
          <cell r="Q154">
            <v>0</v>
          </cell>
          <cell r="R154">
            <v>237934</v>
          </cell>
          <cell r="S154">
            <v>0</v>
          </cell>
          <cell r="T154">
            <v>237934</v>
          </cell>
          <cell r="U154">
            <v>0</v>
          </cell>
          <cell r="V154">
            <v>237934</v>
          </cell>
          <cell r="W154">
            <v>237934</v>
          </cell>
          <cell r="X154">
            <v>0</v>
          </cell>
        </row>
        <row r="155">
          <cell r="B155">
            <v>514101331981</v>
          </cell>
          <cell r="C155" t="str">
            <v>PALANG PINTU KERETA API</v>
          </cell>
          <cell r="D155" t="str">
            <v>KALIOMBO</v>
          </cell>
          <cell r="E155"/>
          <cell r="F155"/>
          <cell r="G155" t="str">
            <v>P3</v>
          </cell>
          <cell r="H155">
            <v>3500</v>
          </cell>
          <cell r="I155" t="str">
            <v>202505</v>
          </cell>
          <cell r="J155" t="str">
            <v>048498</v>
          </cell>
          <cell r="K155">
            <v>140</v>
          </cell>
          <cell r="L155">
            <v>237934</v>
          </cell>
          <cell r="M155">
            <v>0</v>
          </cell>
          <cell r="N155">
            <v>237934</v>
          </cell>
          <cell r="O155">
            <v>0</v>
          </cell>
          <cell r="P155">
            <v>0</v>
          </cell>
          <cell r="Q155">
            <v>0</v>
          </cell>
          <cell r="R155">
            <v>237934</v>
          </cell>
          <cell r="S155">
            <v>0</v>
          </cell>
          <cell r="T155">
            <v>237934</v>
          </cell>
          <cell r="U155">
            <v>0</v>
          </cell>
          <cell r="V155">
            <v>237934</v>
          </cell>
          <cell r="W155">
            <v>237934</v>
          </cell>
          <cell r="X155">
            <v>0</v>
          </cell>
        </row>
        <row r="156">
          <cell r="B156">
            <v>514101331999</v>
          </cell>
          <cell r="C156" t="str">
            <v>PALANG PINTU KERETA API</v>
          </cell>
          <cell r="D156" t="str">
            <v>KALIOMBO</v>
          </cell>
          <cell r="E156"/>
          <cell r="F156"/>
          <cell r="G156" t="str">
            <v>P3</v>
          </cell>
          <cell r="H156">
            <v>3500</v>
          </cell>
          <cell r="I156" t="str">
            <v>202505</v>
          </cell>
          <cell r="J156" t="str">
            <v>048386</v>
          </cell>
          <cell r="K156">
            <v>140</v>
          </cell>
          <cell r="L156">
            <v>237934</v>
          </cell>
          <cell r="M156">
            <v>0</v>
          </cell>
          <cell r="N156">
            <v>237934</v>
          </cell>
          <cell r="O156">
            <v>0</v>
          </cell>
          <cell r="P156">
            <v>0</v>
          </cell>
          <cell r="Q156">
            <v>0</v>
          </cell>
          <cell r="R156">
            <v>237934</v>
          </cell>
          <cell r="S156">
            <v>0</v>
          </cell>
          <cell r="T156">
            <v>237934</v>
          </cell>
          <cell r="U156">
            <v>0</v>
          </cell>
          <cell r="V156">
            <v>237934</v>
          </cell>
          <cell r="W156">
            <v>237934</v>
          </cell>
          <cell r="X156">
            <v>0</v>
          </cell>
        </row>
        <row r="157">
          <cell r="B157">
            <v>514101332074</v>
          </cell>
          <cell r="C157" t="str">
            <v>PALANG PINTU KERETA API</v>
          </cell>
          <cell r="D157" t="str">
            <v>NGRONGGO</v>
          </cell>
          <cell r="E157"/>
          <cell r="F157"/>
          <cell r="G157" t="str">
            <v>P3</v>
          </cell>
          <cell r="H157">
            <v>3500</v>
          </cell>
          <cell r="I157" t="str">
            <v>202505</v>
          </cell>
          <cell r="J157" t="str">
            <v>048628</v>
          </cell>
          <cell r="K157">
            <v>140</v>
          </cell>
          <cell r="L157">
            <v>237934</v>
          </cell>
          <cell r="M157">
            <v>0</v>
          </cell>
          <cell r="N157">
            <v>237934</v>
          </cell>
          <cell r="O157">
            <v>0</v>
          </cell>
          <cell r="P157">
            <v>0</v>
          </cell>
          <cell r="Q157">
            <v>0</v>
          </cell>
          <cell r="R157">
            <v>237934</v>
          </cell>
          <cell r="S157">
            <v>0</v>
          </cell>
          <cell r="T157">
            <v>237934</v>
          </cell>
          <cell r="U157">
            <v>0</v>
          </cell>
          <cell r="V157">
            <v>237934</v>
          </cell>
          <cell r="W157">
            <v>237934</v>
          </cell>
          <cell r="X157">
            <v>0</v>
          </cell>
        </row>
        <row r="158">
          <cell r="B158">
            <v>514101332082</v>
          </cell>
          <cell r="C158" t="str">
            <v>PALANG PINTU KERETA API</v>
          </cell>
          <cell r="D158" t="str">
            <v>MANISRENGGO</v>
          </cell>
          <cell r="E158"/>
          <cell r="F158"/>
          <cell r="G158" t="str">
            <v>P3</v>
          </cell>
          <cell r="H158">
            <v>3500</v>
          </cell>
          <cell r="I158" t="str">
            <v>202505</v>
          </cell>
          <cell r="J158" t="str">
            <v>048467</v>
          </cell>
          <cell r="K158">
            <v>140</v>
          </cell>
          <cell r="L158">
            <v>237934</v>
          </cell>
          <cell r="M158">
            <v>0</v>
          </cell>
          <cell r="N158">
            <v>237934</v>
          </cell>
          <cell r="O158">
            <v>0</v>
          </cell>
          <cell r="P158">
            <v>0</v>
          </cell>
          <cell r="Q158">
            <v>0</v>
          </cell>
          <cell r="R158">
            <v>237934</v>
          </cell>
          <cell r="S158">
            <v>0</v>
          </cell>
          <cell r="T158">
            <v>237934</v>
          </cell>
          <cell r="U158">
            <v>0</v>
          </cell>
          <cell r="V158">
            <v>237934</v>
          </cell>
          <cell r="W158">
            <v>237934</v>
          </cell>
          <cell r="X158">
            <v>0</v>
          </cell>
        </row>
        <row r="159">
          <cell r="B159">
            <v>514101334627</v>
          </cell>
          <cell r="C159" t="str">
            <v>DISHUB DS MANISRENGGO</v>
          </cell>
          <cell r="D159" t="str">
            <v>MANISRENGGO</v>
          </cell>
          <cell r="E159"/>
          <cell r="F159"/>
          <cell r="G159" t="str">
            <v>P1</v>
          </cell>
          <cell r="H159">
            <v>900</v>
          </cell>
          <cell r="I159" t="str">
            <v>202505</v>
          </cell>
          <cell r="J159" t="str">
            <v>048568</v>
          </cell>
          <cell r="K159">
            <v>48</v>
          </cell>
          <cell r="L159">
            <v>50940</v>
          </cell>
          <cell r="M159">
            <v>0</v>
          </cell>
          <cell r="N159">
            <v>50940</v>
          </cell>
          <cell r="O159">
            <v>0</v>
          </cell>
          <cell r="P159">
            <v>0</v>
          </cell>
          <cell r="Q159">
            <v>0</v>
          </cell>
          <cell r="R159">
            <v>50940</v>
          </cell>
          <cell r="S159">
            <v>0</v>
          </cell>
          <cell r="T159">
            <v>50940</v>
          </cell>
          <cell r="U159">
            <v>0</v>
          </cell>
          <cell r="V159">
            <v>50940</v>
          </cell>
          <cell r="W159">
            <v>50940</v>
          </cell>
          <cell r="X159">
            <v>0</v>
          </cell>
        </row>
        <row r="160">
          <cell r="B160">
            <v>514101369077</v>
          </cell>
          <cell r="C160" t="str">
            <v>PELICAN CROSSING SMP 9</v>
          </cell>
          <cell r="D160" t="str">
            <v>PALANG MERAH</v>
          </cell>
          <cell r="E160"/>
          <cell r="F160"/>
          <cell r="G160" t="str">
            <v>P3</v>
          </cell>
          <cell r="H160">
            <v>1300</v>
          </cell>
          <cell r="I160" t="str">
            <v>202505</v>
          </cell>
          <cell r="J160" t="str">
            <v>048706</v>
          </cell>
          <cell r="K160">
            <v>52</v>
          </cell>
          <cell r="L160">
            <v>88376</v>
          </cell>
          <cell r="M160">
            <v>0</v>
          </cell>
          <cell r="N160">
            <v>88376</v>
          </cell>
          <cell r="O160">
            <v>0</v>
          </cell>
          <cell r="P160">
            <v>0</v>
          </cell>
          <cell r="Q160">
            <v>0</v>
          </cell>
          <cell r="R160">
            <v>88376</v>
          </cell>
          <cell r="S160">
            <v>0</v>
          </cell>
          <cell r="T160">
            <v>88376</v>
          </cell>
          <cell r="U160">
            <v>0</v>
          </cell>
          <cell r="V160">
            <v>88376</v>
          </cell>
          <cell r="W160">
            <v>88376</v>
          </cell>
          <cell r="X160">
            <v>0</v>
          </cell>
        </row>
        <row r="161">
          <cell r="B161">
            <v>514101375077</v>
          </cell>
          <cell r="C161" t="str">
            <v>CCTV JEMBATAN ALUN ALUN</v>
          </cell>
          <cell r="D161" t="str">
            <v>BANDAR NGALIM KEL.KAMPUNG DALE</v>
          </cell>
          <cell r="E161"/>
          <cell r="F161"/>
          <cell r="G161" t="str">
            <v>B1</v>
          </cell>
          <cell r="H161">
            <v>1300</v>
          </cell>
          <cell r="I161" t="str">
            <v>202505</v>
          </cell>
          <cell r="J161" t="str">
            <v>020136</v>
          </cell>
          <cell r="K161">
            <v>52</v>
          </cell>
          <cell r="L161">
            <v>50232</v>
          </cell>
          <cell r="M161">
            <v>0</v>
          </cell>
          <cell r="N161">
            <v>50232</v>
          </cell>
          <cell r="O161">
            <v>0</v>
          </cell>
          <cell r="P161">
            <v>0</v>
          </cell>
          <cell r="Q161">
            <v>0</v>
          </cell>
          <cell r="R161">
            <v>50232</v>
          </cell>
          <cell r="S161">
            <v>0</v>
          </cell>
          <cell r="T161">
            <v>50232</v>
          </cell>
          <cell r="U161">
            <v>0</v>
          </cell>
          <cell r="V161">
            <v>50232</v>
          </cell>
          <cell r="W161">
            <v>50232</v>
          </cell>
          <cell r="X161">
            <v>0</v>
          </cell>
        </row>
        <row r="162">
          <cell r="B162">
            <v>514101375994</v>
          </cell>
          <cell r="C162" t="str">
            <v>WARNING LIGHT BETET BAWAN</v>
          </cell>
          <cell r="D162" t="str">
            <v>JL BETET BAWANG</v>
          </cell>
          <cell r="E162"/>
          <cell r="F162"/>
          <cell r="G162" t="str">
            <v>P3</v>
          </cell>
          <cell r="H162">
            <v>900</v>
          </cell>
          <cell r="I162" t="str">
            <v>202505</v>
          </cell>
          <cell r="J162" t="str">
            <v>048347</v>
          </cell>
          <cell r="K162">
            <v>36</v>
          </cell>
          <cell r="L162">
            <v>61183</v>
          </cell>
          <cell r="M162">
            <v>0</v>
          </cell>
          <cell r="N162">
            <v>61183</v>
          </cell>
          <cell r="O162">
            <v>0</v>
          </cell>
          <cell r="P162">
            <v>0</v>
          </cell>
          <cell r="Q162">
            <v>0</v>
          </cell>
          <cell r="R162">
            <v>61183</v>
          </cell>
          <cell r="S162">
            <v>0</v>
          </cell>
          <cell r="T162">
            <v>61183</v>
          </cell>
          <cell r="U162">
            <v>0</v>
          </cell>
          <cell r="V162">
            <v>61183</v>
          </cell>
          <cell r="W162">
            <v>61183</v>
          </cell>
          <cell r="X162">
            <v>0</v>
          </cell>
        </row>
        <row r="163">
          <cell r="B163">
            <v>11486334</v>
          </cell>
          <cell r="C163">
            <v>0</v>
          </cell>
          <cell r="D163">
            <v>11486334</v>
          </cell>
          <cell r="E163">
            <v>0</v>
          </cell>
          <cell r="F163">
            <v>0</v>
          </cell>
          <cell r="G163">
            <v>0</v>
          </cell>
          <cell r="H163">
            <v>11486334</v>
          </cell>
          <cell r="I163" t="str">
            <v>KEDIRI, May 2, 2025  14:58</v>
          </cell>
          <cell r="J163"/>
          <cell r="K163"/>
          <cell r="L163">
            <v>11486334</v>
          </cell>
          <cell r="M163">
            <v>0</v>
          </cell>
          <cell r="N163">
            <v>11486334</v>
          </cell>
          <cell r="O163">
            <v>0</v>
          </cell>
          <cell r="P163">
            <v>0</v>
          </cell>
          <cell r="Q163">
            <v>0</v>
          </cell>
          <cell r="R163">
            <v>11486334</v>
          </cell>
          <cell r="S163">
            <v>0</v>
          </cell>
          <cell r="T163">
            <v>11486334</v>
          </cell>
          <cell r="U163">
            <v>0</v>
          </cell>
          <cell r="V163">
            <v>11486334</v>
          </cell>
          <cell r="W163">
            <v>11486334</v>
          </cell>
          <cell r="X163">
            <v>0</v>
          </cell>
        </row>
        <row r="164">
          <cell r="B164"/>
          <cell r="C164"/>
          <cell r="D164"/>
          <cell r="E164"/>
          <cell r="F164"/>
          <cell r="G164"/>
          <cell r="H164">
            <v>70350</v>
          </cell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</row>
        <row r="167">
          <cell r="B167"/>
        </row>
        <row r="169">
          <cell r="B169" t="str">
            <v>UP3 : KEDIRI
ULP : KEDIRI SELATAN</v>
          </cell>
          <cell r="C169" t="str">
            <v>LAPORAN TAGIHAN KODE KOLEKTIF NOTA BUKU
Bulan : MEI-2025</v>
          </cell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</row>
        <row r="170">
          <cell r="B170" t="str">
            <v>IDPEL</v>
          </cell>
          <cell r="C170" t="str">
            <v>NAMA</v>
          </cell>
          <cell r="D170" t="str">
            <v>ALAMAT</v>
          </cell>
          <cell r="E170" t="str">
            <v>TGL BAYAR</v>
          </cell>
          <cell r="F170" t="str">
            <v>KDPEMBAYAR</v>
          </cell>
          <cell r="G170" t="str">
            <v>TRP</v>
          </cell>
          <cell r="H170" t="str">
            <v>DAYA</v>
          </cell>
          <cell r="I170" t="str">
            <v>BLTH</v>
          </cell>
          <cell r="J170" t="str">
            <v>NOREK</v>
          </cell>
          <cell r="K170" t="str">
            <v>KWH</v>
          </cell>
          <cell r="L170" t="str">
            <v>PTL</v>
          </cell>
          <cell r="M170" t="str">
            <v>MAT</v>
          </cell>
          <cell r="N170" t="str">
            <v>PLN</v>
          </cell>
          <cell r="O170" t="str">
            <v>TRAFO</v>
          </cell>
          <cell r="P170" t="str">
            <v>PPN</v>
          </cell>
          <cell r="Q170" t="str">
            <v>PJU</v>
          </cell>
          <cell r="R170" t="str">
            <v>TAGIHAN</v>
          </cell>
        </row>
        <row r="171">
          <cell r="B171">
            <v>514100276752</v>
          </cell>
          <cell r="C171" t="str">
            <v>PJU LAMPU TAMAN ALUN-ALUN</v>
          </cell>
          <cell r="D171" t="str">
            <v>PANG SUDIRMAN</v>
          </cell>
          <cell r="E171"/>
          <cell r="F171"/>
          <cell r="G171" t="str">
            <v>P3</v>
          </cell>
          <cell r="H171">
            <v>105000</v>
          </cell>
          <cell r="I171" t="str">
            <v>202505</v>
          </cell>
          <cell r="J171" t="str">
            <v>069236</v>
          </cell>
          <cell r="K171">
            <v>4200</v>
          </cell>
          <cell r="L171">
            <v>7138026</v>
          </cell>
          <cell r="M171">
            <v>10000</v>
          </cell>
          <cell r="N171">
            <v>7148026</v>
          </cell>
          <cell r="O171">
            <v>0</v>
          </cell>
          <cell r="P171">
            <v>0</v>
          </cell>
          <cell r="Q171">
            <v>0</v>
          </cell>
          <cell r="R171">
            <v>7138026</v>
          </cell>
          <cell r="S171">
            <v>0</v>
          </cell>
          <cell r="T171">
            <v>7138026</v>
          </cell>
          <cell r="U171">
            <v>10000</v>
          </cell>
          <cell r="V171">
            <v>7148026</v>
          </cell>
          <cell r="W171">
            <v>7138026</v>
          </cell>
          <cell r="X171">
            <v>0</v>
          </cell>
        </row>
        <row r="172">
          <cell r="B172">
            <v>514100366578</v>
          </cell>
          <cell r="C172" t="str">
            <v>PEMDA KODYA DATI 2</v>
          </cell>
          <cell r="D172" t="str">
            <v>KAMPUNG DALEM</v>
          </cell>
          <cell r="E172"/>
          <cell r="F172"/>
          <cell r="G172" t="str">
            <v>P1</v>
          </cell>
          <cell r="H172">
            <v>900</v>
          </cell>
          <cell r="I172" t="str">
            <v>202505</v>
          </cell>
          <cell r="J172" t="str">
            <v>055707</v>
          </cell>
          <cell r="K172">
            <v>0</v>
          </cell>
          <cell r="L172">
            <v>22140</v>
          </cell>
          <cell r="M172">
            <v>0</v>
          </cell>
          <cell r="N172">
            <v>22140</v>
          </cell>
          <cell r="O172">
            <v>0</v>
          </cell>
          <cell r="P172">
            <v>0</v>
          </cell>
          <cell r="Q172">
            <v>0</v>
          </cell>
          <cell r="R172">
            <v>22140</v>
          </cell>
          <cell r="S172">
            <v>0</v>
          </cell>
          <cell r="T172">
            <v>22140</v>
          </cell>
          <cell r="U172">
            <v>0</v>
          </cell>
          <cell r="V172">
            <v>22140</v>
          </cell>
          <cell r="W172">
            <v>22140</v>
          </cell>
          <cell r="X172">
            <v>0</v>
          </cell>
        </row>
        <row r="173">
          <cell r="B173">
            <v>514100935223</v>
          </cell>
          <cell r="C173" t="str">
            <v>KANTOR UPDK</v>
          </cell>
          <cell r="D173" t="str">
            <v>KALIOMBO</v>
          </cell>
          <cell r="E173"/>
          <cell r="F173"/>
          <cell r="G173" t="str">
            <v>P1</v>
          </cell>
          <cell r="H173">
            <v>1300</v>
          </cell>
          <cell r="I173" t="str">
            <v>202505</v>
          </cell>
          <cell r="J173" t="str">
            <v>048313</v>
          </cell>
          <cell r="K173">
            <v>52</v>
          </cell>
          <cell r="L173">
            <v>54548</v>
          </cell>
          <cell r="M173">
            <v>0</v>
          </cell>
          <cell r="N173">
            <v>54548</v>
          </cell>
          <cell r="O173">
            <v>0</v>
          </cell>
          <cell r="P173">
            <v>0</v>
          </cell>
          <cell r="Q173">
            <v>0</v>
          </cell>
          <cell r="R173">
            <v>54548</v>
          </cell>
          <cell r="S173">
            <v>0</v>
          </cell>
          <cell r="T173">
            <v>54548</v>
          </cell>
          <cell r="U173">
            <v>0</v>
          </cell>
          <cell r="V173">
            <v>54548</v>
          </cell>
          <cell r="W173">
            <v>54548</v>
          </cell>
          <cell r="X173">
            <v>0</v>
          </cell>
        </row>
        <row r="174">
          <cell r="B174">
            <v>514100954905</v>
          </cell>
          <cell r="C174" t="str">
            <v>DKP KOTA KEDIRI</v>
          </cell>
          <cell r="D174" t="str">
            <v>P. KEMERDEKAAN</v>
          </cell>
          <cell r="E174"/>
          <cell r="F174"/>
          <cell r="G174" t="str">
            <v>P3</v>
          </cell>
          <cell r="H174">
            <v>900</v>
          </cell>
          <cell r="I174" t="str">
            <v>202505</v>
          </cell>
          <cell r="J174" t="str">
            <v>048710</v>
          </cell>
          <cell r="K174">
            <v>36</v>
          </cell>
          <cell r="L174">
            <v>61183</v>
          </cell>
          <cell r="M174">
            <v>0</v>
          </cell>
          <cell r="N174">
            <v>61183</v>
          </cell>
          <cell r="O174">
            <v>0</v>
          </cell>
          <cell r="P174">
            <v>0</v>
          </cell>
          <cell r="Q174">
            <v>0</v>
          </cell>
          <cell r="R174">
            <v>61183</v>
          </cell>
          <cell r="S174">
            <v>0</v>
          </cell>
          <cell r="T174">
            <v>61183</v>
          </cell>
          <cell r="U174">
            <v>0</v>
          </cell>
          <cell r="V174">
            <v>61183</v>
          </cell>
          <cell r="W174">
            <v>61183</v>
          </cell>
          <cell r="X174">
            <v>0</v>
          </cell>
        </row>
        <row r="175">
          <cell r="B175">
            <v>514101008666</v>
          </cell>
          <cell r="C175" t="str">
            <v>TPS PESANTREN</v>
          </cell>
          <cell r="D175" t="str">
            <v>PESANTREN</v>
          </cell>
          <cell r="E175"/>
          <cell r="F175"/>
          <cell r="G175" t="str">
            <v>P1</v>
          </cell>
          <cell r="H175">
            <v>900</v>
          </cell>
          <cell r="I175" t="str">
            <v>202505</v>
          </cell>
          <cell r="J175" t="str">
            <v>048665</v>
          </cell>
          <cell r="K175">
            <v>27</v>
          </cell>
          <cell r="L175">
            <v>38340</v>
          </cell>
          <cell r="M175">
            <v>0</v>
          </cell>
          <cell r="N175">
            <v>38340</v>
          </cell>
          <cell r="O175">
            <v>0</v>
          </cell>
          <cell r="P175">
            <v>0</v>
          </cell>
          <cell r="Q175">
            <v>0</v>
          </cell>
          <cell r="R175">
            <v>38340</v>
          </cell>
          <cell r="S175">
            <v>0</v>
          </cell>
          <cell r="T175">
            <v>38340</v>
          </cell>
          <cell r="U175">
            <v>0</v>
          </cell>
          <cell r="V175">
            <v>38340</v>
          </cell>
          <cell r="W175">
            <v>38340</v>
          </cell>
          <cell r="X175">
            <v>0</v>
          </cell>
        </row>
        <row r="176">
          <cell r="B176">
            <v>514101016645</v>
          </cell>
          <cell r="C176" t="str">
            <v>PJU TAMAN NGRONGGO</v>
          </cell>
          <cell r="D176" t="str">
            <v>PERINTIS KEMERDEKAAN</v>
          </cell>
          <cell r="E176"/>
          <cell r="F176"/>
          <cell r="G176" t="str">
            <v>P3</v>
          </cell>
          <cell r="H176">
            <v>7700</v>
          </cell>
          <cell r="I176" t="str">
            <v>202505</v>
          </cell>
          <cell r="J176" t="str">
            <v>048532</v>
          </cell>
          <cell r="K176">
            <v>826</v>
          </cell>
          <cell r="L176">
            <v>1403812</v>
          </cell>
          <cell r="M176">
            <v>0</v>
          </cell>
          <cell r="N176">
            <v>1403812</v>
          </cell>
          <cell r="O176">
            <v>0</v>
          </cell>
          <cell r="P176">
            <v>0</v>
          </cell>
          <cell r="Q176">
            <v>0</v>
          </cell>
          <cell r="R176">
            <v>1403812</v>
          </cell>
          <cell r="S176">
            <v>0</v>
          </cell>
          <cell r="T176">
            <v>1403812</v>
          </cell>
          <cell r="U176">
            <v>0</v>
          </cell>
          <cell r="V176">
            <v>1403812</v>
          </cell>
          <cell r="W176">
            <v>1403812</v>
          </cell>
          <cell r="X176">
            <v>0</v>
          </cell>
        </row>
        <row r="177">
          <cell r="B177">
            <v>514101053021</v>
          </cell>
          <cell r="C177" t="str">
            <v>TPS PASAR NGRONGGO</v>
          </cell>
          <cell r="D177" t="str">
            <v>NGRONGGO</v>
          </cell>
          <cell r="E177"/>
          <cell r="F177"/>
          <cell r="G177" t="str">
            <v>P1</v>
          </cell>
          <cell r="H177">
            <v>900</v>
          </cell>
          <cell r="I177" t="str">
            <v>202505</v>
          </cell>
          <cell r="J177" t="str">
            <v>065647</v>
          </cell>
          <cell r="K177">
            <v>60</v>
          </cell>
          <cell r="L177">
            <v>58140</v>
          </cell>
          <cell r="M177">
            <v>0</v>
          </cell>
          <cell r="N177">
            <v>58140</v>
          </cell>
          <cell r="O177">
            <v>0</v>
          </cell>
          <cell r="P177">
            <v>0</v>
          </cell>
          <cell r="Q177">
            <v>0</v>
          </cell>
          <cell r="R177">
            <v>58140</v>
          </cell>
          <cell r="S177">
            <v>0</v>
          </cell>
          <cell r="T177">
            <v>58140</v>
          </cell>
          <cell r="U177">
            <v>0</v>
          </cell>
          <cell r="V177">
            <v>58140</v>
          </cell>
          <cell r="W177">
            <v>58140</v>
          </cell>
          <cell r="X177">
            <v>0</v>
          </cell>
        </row>
        <row r="178">
          <cell r="B178">
            <v>514101079932</v>
          </cell>
          <cell r="C178" t="str">
            <v>TAMAN KOTA</v>
          </cell>
          <cell r="D178" t="str">
            <v>PESANTREN KEL TEMPUREJO KEC PE</v>
          </cell>
          <cell r="E178"/>
          <cell r="F178"/>
          <cell r="G178" t="str">
            <v>P3</v>
          </cell>
          <cell r="H178">
            <v>6600</v>
          </cell>
          <cell r="I178" t="str">
            <v>202505</v>
          </cell>
          <cell r="J178" t="str">
            <v>010644</v>
          </cell>
          <cell r="K178">
            <v>2564</v>
          </cell>
          <cell r="L178">
            <v>4357595</v>
          </cell>
          <cell r="M178">
            <v>0</v>
          </cell>
          <cell r="N178">
            <v>4357595</v>
          </cell>
          <cell r="O178">
            <v>0</v>
          </cell>
          <cell r="P178">
            <v>0</v>
          </cell>
          <cell r="Q178">
            <v>0</v>
          </cell>
          <cell r="R178">
            <v>4357595</v>
          </cell>
          <cell r="S178">
            <v>0</v>
          </cell>
          <cell r="T178">
            <v>4357595</v>
          </cell>
          <cell r="U178">
            <v>0</v>
          </cell>
          <cell r="V178">
            <v>4357595</v>
          </cell>
          <cell r="W178">
            <v>4357595</v>
          </cell>
          <cell r="X178">
            <v>0</v>
          </cell>
        </row>
        <row r="179">
          <cell r="B179">
            <v>514101112246</v>
          </cell>
          <cell r="C179" t="str">
            <v>TPS TINALAN</v>
          </cell>
          <cell r="D179" t="str">
            <v>JAMSAREN</v>
          </cell>
          <cell r="E179"/>
          <cell r="F179"/>
          <cell r="G179" t="str">
            <v>P1</v>
          </cell>
          <cell r="H179">
            <v>3500</v>
          </cell>
          <cell r="I179" t="str">
            <v>202505</v>
          </cell>
          <cell r="J179" t="str">
            <v>048672</v>
          </cell>
          <cell r="K179">
            <v>140</v>
          </cell>
          <cell r="L179">
            <v>150640</v>
          </cell>
          <cell r="M179">
            <v>0</v>
          </cell>
          <cell r="N179">
            <v>150640</v>
          </cell>
          <cell r="O179">
            <v>0</v>
          </cell>
          <cell r="P179">
            <v>0</v>
          </cell>
          <cell r="Q179">
            <v>0</v>
          </cell>
          <cell r="R179">
            <v>150640</v>
          </cell>
          <cell r="S179">
            <v>0</v>
          </cell>
          <cell r="T179">
            <v>150640</v>
          </cell>
          <cell r="U179">
            <v>0</v>
          </cell>
          <cell r="V179">
            <v>150640</v>
          </cell>
          <cell r="W179">
            <v>150640</v>
          </cell>
          <cell r="X179">
            <v>0</v>
          </cell>
        </row>
        <row r="180">
          <cell r="B180">
            <v>514101112253</v>
          </cell>
          <cell r="C180" t="str">
            <v>TPS KEL. KETAMI</v>
          </cell>
          <cell r="D180" t="str">
            <v>KETAMI</v>
          </cell>
          <cell r="E180"/>
          <cell r="F180"/>
          <cell r="G180" t="str">
            <v>P1</v>
          </cell>
          <cell r="H180">
            <v>2200</v>
          </cell>
          <cell r="I180" t="str">
            <v>202505</v>
          </cell>
          <cell r="J180" t="str">
            <v>048545</v>
          </cell>
          <cell r="K180">
            <v>88</v>
          </cell>
          <cell r="L180">
            <v>94688</v>
          </cell>
          <cell r="M180">
            <v>0</v>
          </cell>
          <cell r="N180">
            <v>94688</v>
          </cell>
          <cell r="O180">
            <v>0</v>
          </cell>
          <cell r="P180">
            <v>0</v>
          </cell>
          <cell r="Q180">
            <v>0</v>
          </cell>
          <cell r="R180">
            <v>94688</v>
          </cell>
          <cell r="S180">
            <v>0</v>
          </cell>
          <cell r="T180">
            <v>94688</v>
          </cell>
          <cell r="U180">
            <v>0</v>
          </cell>
          <cell r="V180">
            <v>94688</v>
          </cell>
          <cell r="W180">
            <v>94688</v>
          </cell>
          <cell r="X180">
            <v>0</v>
          </cell>
        </row>
        <row r="181">
          <cell r="B181">
            <v>514101112261</v>
          </cell>
          <cell r="C181" t="str">
            <v>TPS  TOSAREN</v>
          </cell>
          <cell r="D181" t="str">
            <v>TOSAREN</v>
          </cell>
          <cell r="E181"/>
          <cell r="F181"/>
          <cell r="G181" t="str">
            <v>P1</v>
          </cell>
          <cell r="H181">
            <v>3500</v>
          </cell>
          <cell r="I181" t="str">
            <v>202505</v>
          </cell>
          <cell r="J181" t="str">
            <v>048697</v>
          </cell>
          <cell r="K181">
            <v>140</v>
          </cell>
          <cell r="L181">
            <v>150640</v>
          </cell>
          <cell r="M181">
            <v>0</v>
          </cell>
          <cell r="N181">
            <v>150640</v>
          </cell>
          <cell r="O181">
            <v>0</v>
          </cell>
          <cell r="P181">
            <v>0</v>
          </cell>
          <cell r="Q181">
            <v>0</v>
          </cell>
          <cell r="R181">
            <v>150640</v>
          </cell>
          <cell r="S181">
            <v>0</v>
          </cell>
          <cell r="T181">
            <v>150640</v>
          </cell>
          <cell r="U181">
            <v>0</v>
          </cell>
          <cell r="V181">
            <v>150640</v>
          </cell>
          <cell r="W181">
            <v>150640</v>
          </cell>
          <cell r="X181">
            <v>0</v>
          </cell>
        </row>
        <row r="182">
          <cell r="B182">
            <v>514101136314</v>
          </cell>
          <cell r="C182" t="str">
            <v>TPS BLABAK</v>
          </cell>
          <cell r="D182" t="str">
            <v>BLABAK</v>
          </cell>
          <cell r="E182"/>
          <cell r="F182"/>
          <cell r="G182" t="str">
            <v>P1</v>
          </cell>
          <cell r="H182">
            <v>900</v>
          </cell>
          <cell r="I182" t="str">
            <v>202505</v>
          </cell>
          <cell r="J182" t="str">
            <v>048495</v>
          </cell>
          <cell r="K182">
            <v>10</v>
          </cell>
          <cell r="L182">
            <v>28140</v>
          </cell>
          <cell r="M182">
            <v>0</v>
          </cell>
          <cell r="N182">
            <v>28140</v>
          </cell>
          <cell r="O182">
            <v>0</v>
          </cell>
          <cell r="P182">
            <v>0</v>
          </cell>
          <cell r="Q182">
            <v>0</v>
          </cell>
          <cell r="R182">
            <v>28140</v>
          </cell>
          <cell r="S182">
            <v>0</v>
          </cell>
          <cell r="T182">
            <v>28140</v>
          </cell>
          <cell r="U182">
            <v>0</v>
          </cell>
          <cell r="V182">
            <v>28140</v>
          </cell>
          <cell r="W182">
            <v>28140</v>
          </cell>
          <cell r="X182">
            <v>0</v>
          </cell>
        </row>
        <row r="183">
          <cell r="B183">
            <v>514101156710</v>
          </cell>
          <cell r="C183" t="str">
            <v>DLHKP(PENERANGAN TAMAN)</v>
          </cell>
          <cell r="D183" t="str">
            <v>POL IMAM BACHRI</v>
          </cell>
          <cell r="E183"/>
          <cell r="F183"/>
          <cell r="G183" t="str">
            <v>P1</v>
          </cell>
          <cell r="H183">
            <v>3500</v>
          </cell>
          <cell r="I183" t="str">
            <v>202505</v>
          </cell>
          <cell r="J183" t="str">
            <v>063242</v>
          </cell>
          <cell r="K183">
            <v>140</v>
          </cell>
          <cell r="L183">
            <v>150640</v>
          </cell>
          <cell r="M183">
            <v>0</v>
          </cell>
          <cell r="N183">
            <v>150640</v>
          </cell>
          <cell r="O183">
            <v>0</v>
          </cell>
          <cell r="P183">
            <v>0</v>
          </cell>
          <cell r="Q183">
            <v>0</v>
          </cell>
          <cell r="R183">
            <v>150640</v>
          </cell>
          <cell r="S183">
            <v>0</v>
          </cell>
          <cell r="T183">
            <v>150640</v>
          </cell>
          <cell r="U183">
            <v>0</v>
          </cell>
          <cell r="V183">
            <v>150640</v>
          </cell>
          <cell r="W183">
            <v>150640</v>
          </cell>
          <cell r="X183">
            <v>0</v>
          </cell>
        </row>
        <row r="184">
          <cell r="B184">
            <v>514101232200</v>
          </cell>
          <cell r="C184" t="str">
            <v>DLHKP SUMBERJIPUT</v>
          </cell>
          <cell r="D184" t="str">
            <v>SUMBERJIPUT</v>
          </cell>
          <cell r="E184"/>
          <cell r="F184"/>
          <cell r="G184" t="str">
            <v>P1</v>
          </cell>
          <cell r="H184">
            <v>10600</v>
          </cell>
          <cell r="I184" t="str">
            <v>202505</v>
          </cell>
          <cell r="J184" t="str">
            <v>048578</v>
          </cell>
          <cell r="K184">
            <v>449</v>
          </cell>
          <cell r="L184">
            <v>763089</v>
          </cell>
          <cell r="M184">
            <v>0</v>
          </cell>
          <cell r="N184">
            <v>763089</v>
          </cell>
          <cell r="O184">
            <v>0</v>
          </cell>
          <cell r="P184">
            <v>0</v>
          </cell>
          <cell r="Q184">
            <v>0</v>
          </cell>
          <cell r="R184">
            <v>763089</v>
          </cell>
          <cell r="S184">
            <v>0</v>
          </cell>
          <cell r="T184">
            <v>763089</v>
          </cell>
          <cell r="U184">
            <v>0</v>
          </cell>
          <cell r="V184">
            <v>763089</v>
          </cell>
          <cell r="W184">
            <v>763089</v>
          </cell>
          <cell r="X184">
            <v>0</v>
          </cell>
        </row>
        <row r="185">
          <cell r="B185">
            <v>514101249375</v>
          </cell>
          <cell r="C185" t="str">
            <v>TPS REJOMULYO</v>
          </cell>
          <cell r="D185" t="str">
            <v>JL SUMBER JIPUT KEL REJPMULYO</v>
          </cell>
          <cell r="E185"/>
          <cell r="F185"/>
          <cell r="G185" t="str">
            <v>P1</v>
          </cell>
          <cell r="H185">
            <v>5500</v>
          </cell>
          <cell r="I185" t="str">
            <v>202505</v>
          </cell>
          <cell r="J185" t="str">
            <v>048301</v>
          </cell>
          <cell r="K185">
            <v>220</v>
          </cell>
          <cell r="L185">
            <v>236720</v>
          </cell>
          <cell r="M185">
            <v>0</v>
          </cell>
          <cell r="N185">
            <v>236720</v>
          </cell>
          <cell r="O185">
            <v>0</v>
          </cell>
          <cell r="P185">
            <v>0</v>
          </cell>
          <cell r="Q185">
            <v>0</v>
          </cell>
          <cell r="R185">
            <v>236720</v>
          </cell>
          <cell r="S185">
            <v>0</v>
          </cell>
          <cell r="T185">
            <v>236720</v>
          </cell>
          <cell r="U185">
            <v>0</v>
          </cell>
          <cell r="V185">
            <v>236720</v>
          </cell>
          <cell r="W185">
            <v>236720</v>
          </cell>
          <cell r="X185">
            <v>0</v>
          </cell>
        </row>
        <row r="186">
          <cell r="B186">
            <v>514101264683</v>
          </cell>
          <cell r="C186" t="str">
            <v>DLHKP TAMAN KRESEK</v>
          </cell>
          <cell r="D186" t="str">
            <v>KRESEK KEL.TEMPUREJO PESANTREN</v>
          </cell>
          <cell r="E186"/>
          <cell r="F186"/>
          <cell r="G186" t="str">
            <v>P3</v>
          </cell>
          <cell r="H186">
            <v>3500</v>
          </cell>
          <cell r="I186" t="str">
            <v>202505</v>
          </cell>
          <cell r="J186" t="str">
            <v>000866</v>
          </cell>
          <cell r="K186">
            <v>1308</v>
          </cell>
          <cell r="L186">
            <v>2222985</v>
          </cell>
          <cell r="M186">
            <v>0</v>
          </cell>
          <cell r="N186">
            <v>2222985</v>
          </cell>
          <cell r="O186">
            <v>0</v>
          </cell>
          <cell r="P186">
            <v>0</v>
          </cell>
          <cell r="Q186">
            <v>0</v>
          </cell>
          <cell r="R186">
            <v>2222985</v>
          </cell>
          <cell r="S186">
            <v>0</v>
          </cell>
          <cell r="T186">
            <v>2222985</v>
          </cell>
          <cell r="U186">
            <v>0</v>
          </cell>
          <cell r="V186">
            <v>2222985</v>
          </cell>
          <cell r="W186">
            <v>2222985</v>
          </cell>
          <cell r="X186">
            <v>0</v>
          </cell>
        </row>
        <row r="187">
          <cell r="B187">
            <v>514101265756</v>
          </cell>
          <cell r="C187" t="str">
            <v>TPS BANARAN</v>
          </cell>
          <cell r="D187" t="str">
            <v>KEL BANARAN KEC.PESANTREN</v>
          </cell>
          <cell r="E187"/>
          <cell r="F187"/>
          <cell r="G187" t="str">
            <v>P1</v>
          </cell>
          <cell r="H187">
            <v>1300</v>
          </cell>
          <cell r="I187" t="str">
            <v>202505</v>
          </cell>
          <cell r="J187" t="str">
            <v>048524</v>
          </cell>
          <cell r="K187">
            <v>90</v>
          </cell>
          <cell r="L187">
            <v>94410</v>
          </cell>
          <cell r="M187">
            <v>0</v>
          </cell>
          <cell r="N187">
            <v>94410</v>
          </cell>
          <cell r="O187">
            <v>0</v>
          </cell>
          <cell r="P187">
            <v>0</v>
          </cell>
          <cell r="Q187">
            <v>0</v>
          </cell>
          <cell r="R187">
            <v>94410</v>
          </cell>
          <cell r="S187">
            <v>0</v>
          </cell>
          <cell r="T187">
            <v>94410</v>
          </cell>
          <cell r="U187">
            <v>0</v>
          </cell>
          <cell r="V187">
            <v>94410</v>
          </cell>
          <cell r="W187">
            <v>94410</v>
          </cell>
          <cell r="X187">
            <v>0</v>
          </cell>
        </row>
        <row r="188">
          <cell r="B188">
            <v>514101289712</v>
          </cell>
          <cell r="C188" t="str">
            <v>RTH BANARAN</v>
          </cell>
          <cell r="D188" t="str">
            <v>BANARAN</v>
          </cell>
          <cell r="E188"/>
          <cell r="F188"/>
          <cell r="G188" t="str">
            <v>P3</v>
          </cell>
          <cell r="H188">
            <v>1300</v>
          </cell>
          <cell r="I188" t="str">
            <v>202505</v>
          </cell>
          <cell r="J188" t="str">
            <v>015908</v>
          </cell>
          <cell r="K188">
            <v>52</v>
          </cell>
          <cell r="L188">
            <v>88376</v>
          </cell>
          <cell r="M188">
            <v>0</v>
          </cell>
          <cell r="N188">
            <v>88376</v>
          </cell>
          <cell r="O188">
            <v>0</v>
          </cell>
          <cell r="P188">
            <v>0</v>
          </cell>
          <cell r="Q188">
            <v>0</v>
          </cell>
          <cell r="R188">
            <v>88376</v>
          </cell>
          <cell r="S188">
            <v>0</v>
          </cell>
          <cell r="T188">
            <v>88376</v>
          </cell>
          <cell r="U188">
            <v>0</v>
          </cell>
          <cell r="V188">
            <v>88376</v>
          </cell>
          <cell r="W188">
            <v>88376</v>
          </cell>
          <cell r="X188">
            <v>0</v>
          </cell>
        </row>
        <row r="189">
          <cell r="B189">
            <v>514101290353</v>
          </cell>
          <cell r="C189" t="str">
            <v>RTH KAMPUNG DALEM</v>
          </cell>
          <cell r="D189" t="str">
            <v>KAMPUNGDALEM</v>
          </cell>
          <cell r="E189"/>
          <cell r="F189"/>
          <cell r="G189" t="str">
            <v>P3</v>
          </cell>
          <cell r="H189">
            <v>1300</v>
          </cell>
          <cell r="I189" t="str">
            <v>202505</v>
          </cell>
          <cell r="J189" t="str">
            <v>048703</v>
          </cell>
          <cell r="K189">
            <v>52</v>
          </cell>
          <cell r="L189">
            <v>88376</v>
          </cell>
          <cell r="M189">
            <v>0</v>
          </cell>
          <cell r="N189">
            <v>88376</v>
          </cell>
          <cell r="O189">
            <v>0</v>
          </cell>
          <cell r="P189">
            <v>0</v>
          </cell>
          <cell r="Q189">
            <v>0</v>
          </cell>
          <cell r="R189">
            <v>88376</v>
          </cell>
          <cell r="S189">
            <v>0</v>
          </cell>
          <cell r="T189">
            <v>88376</v>
          </cell>
          <cell r="U189">
            <v>0</v>
          </cell>
          <cell r="V189">
            <v>88376</v>
          </cell>
          <cell r="W189">
            <v>88376</v>
          </cell>
          <cell r="X189">
            <v>0</v>
          </cell>
        </row>
        <row r="190">
          <cell r="B190">
            <v>514101292325</v>
          </cell>
          <cell r="C190" t="str">
            <v>TAMAN RTH BLABAK</v>
          </cell>
          <cell r="D190" t="str">
            <v>BLABAK</v>
          </cell>
          <cell r="E190"/>
          <cell r="F190"/>
          <cell r="G190" t="str">
            <v>P3</v>
          </cell>
          <cell r="H190">
            <v>1300</v>
          </cell>
          <cell r="I190" t="str">
            <v>202505</v>
          </cell>
          <cell r="J190" t="str">
            <v>066800</v>
          </cell>
          <cell r="K190">
            <v>52</v>
          </cell>
          <cell r="L190">
            <v>88376</v>
          </cell>
          <cell r="M190">
            <v>0</v>
          </cell>
          <cell r="N190">
            <v>88376</v>
          </cell>
          <cell r="O190">
            <v>0</v>
          </cell>
          <cell r="P190">
            <v>0</v>
          </cell>
          <cell r="Q190">
            <v>0</v>
          </cell>
          <cell r="R190">
            <v>88376</v>
          </cell>
          <cell r="S190">
            <v>0</v>
          </cell>
          <cell r="T190">
            <v>88376</v>
          </cell>
          <cell r="U190">
            <v>0</v>
          </cell>
          <cell r="V190">
            <v>88376</v>
          </cell>
          <cell r="W190">
            <v>88376</v>
          </cell>
          <cell r="X190">
            <v>0</v>
          </cell>
        </row>
        <row r="191">
          <cell r="B191">
            <v>514101292333</v>
          </cell>
          <cell r="C191" t="str">
            <v>TAMAN RTH JAMSAREN</v>
          </cell>
          <cell r="D191" t="str">
            <v>JAMSAREN</v>
          </cell>
          <cell r="E191"/>
          <cell r="F191"/>
          <cell r="G191" t="str">
            <v>P3</v>
          </cell>
          <cell r="H191">
            <v>1300</v>
          </cell>
          <cell r="I191" t="str">
            <v>202505</v>
          </cell>
          <cell r="J191" t="str">
            <v>011054</v>
          </cell>
          <cell r="K191">
            <v>178</v>
          </cell>
          <cell r="L191">
            <v>302516</v>
          </cell>
          <cell r="M191">
            <v>0</v>
          </cell>
          <cell r="N191">
            <v>302516</v>
          </cell>
          <cell r="O191">
            <v>0</v>
          </cell>
          <cell r="P191">
            <v>0</v>
          </cell>
          <cell r="Q191">
            <v>0</v>
          </cell>
          <cell r="R191">
            <v>302516</v>
          </cell>
          <cell r="S191">
            <v>0</v>
          </cell>
          <cell r="T191">
            <v>302516</v>
          </cell>
          <cell r="U191">
            <v>0</v>
          </cell>
          <cell r="V191">
            <v>302516</v>
          </cell>
          <cell r="W191">
            <v>302516</v>
          </cell>
          <cell r="X191">
            <v>0</v>
          </cell>
        </row>
        <row r="192">
          <cell r="B192">
            <v>514101295219</v>
          </cell>
          <cell r="C192" t="str">
            <v>RTH KAWASAN TINALAN</v>
          </cell>
          <cell r="D192" t="str">
            <v>DADAPAN TINALAN</v>
          </cell>
          <cell r="E192"/>
          <cell r="F192"/>
          <cell r="G192" t="str">
            <v>P3</v>
          </cell>
          <cell r="H192">
            <v>1300</v>
          </cell>
          <cell r="I192" t="str">
            <v>202505</v>
          </cell>
          <cell r="J192" t="str">
            <v>048686</v>
          </cell>
          <cell r="K192">
            <v>99</v>
          </cell>
          <cell r="L192">
            <v>168253</v>
          </cell>
          <cell r="M192">
            <v>0</v>
          </cell>
          <cell r="N192">
            <v>168253</v>
          </cell>
          <cell r="O192">
            <v>0</v>
          </cell>
          <cell r="P192">
            <v>0</v>
          </cell>
          <cell r="Q192">
            <v>0</v>
          </cell>
          <cell r="R192">
            <v>168253</v>
          </cell>
          <cell r="S192">
            <v>0</v>
          </cell>
          <cell r="T192">
            <v>168253</v>
          </cell>
          <cell r="U192">
            <v>0</v>
          </cell>
          <cell r="V192">
            <v>168253</v>
          </cell>
          <cell r="W192">
            <v>168253</v>
          </cell>
          <cell r="X192">
            <v>0</v>
          </cell>
        </row>
        <row r="193">
          <cell r="B193">
            <v>514101330357</v>
          </cell>
          <cell r="C193" t="str">
            <v>RTH KEL.SINGONEGARAN</v>
          </cell>
          <cell r="D193" t="str">
            <v>SINGONEGARAN PESANTREN</v>
          </cell>
          <cell r="E193"/>
          <cell r="F193"/>
          <cell r="G193" t="str">
            <v>P3</v>
          </cell>
          <cell r="H193">
            <v>1300</v>
          </cell>
          <cell r="I193" t="str">
            <v>202505</v>
          </cell>
          <cell r="J193" t="str">
            <v>021574</v>
          </cell>
          <cell r="K193">
            <v>60</v>
          </cell>
          <cell r="L193">
            <v>101972</v>
          </cell>
          <cell r="M193">
            <v>0</v>
          </cell>
          <cell r="N193">
            <v>101972</v>
          </cell>
          <cell r="O193">
            <v>0</v>
          </cell>
          <cell r="P193">
            <v>0</v>
          </cell>
          <cell r="Q193">
            <v>0</v>
          </cell>
          <cell r="R193">
            <v>101972</v>
          </cell>
          <cell r="S193">
            <v>0</v>
          </cell>
          <cell r="T193">
            <v>101972</v>
          </cell>
          <cell r="U193">
            <v>0</v>
          </cell>
          <cell r="V193">
            <v>101972</v>
          </cell>
          <cell r="W193">
            <v>101972</v>
          </cell>
          <cell r="X193">
            <v>0</v>
          </cell>
        </row>
        <row r="194">
          <cell r="B194">
            <v>17863605</v>
          </cell>
          <cell r="C194">
            <v>0</v>
          </cell>
          <cell r="D194">
            <v>17873605</v>
          </cell>
          <cell r="E194">
            <v>0</v>
          </cell>
          <cell r="F194">
            <v>0</v>
          </cell>
          <cell r="G194">
            <v>0</v>
          </cell>
          <cell r="H194">
            <v>17863605</v>
          </cell>
          <cell r="I194" t="str">
            <v>KEDIRI, May 2, 2025  14:58</v>
          </cell>
          <cell r="J194"/>
          <cell r="K194">
            <v>10843</v>
          </cell>
          <cell r="L194">
            <v>17863605</v>
          </cell>
          <cell r="M194">
            <v>10000</v>
          </cell>
          <cell r="N194">
            <v>17873605</v>
          </cell>
          <cell r="O194">
            <v>0</v>
          </cell>
          <cell r="P194">
            <v>0</v>
          </cell>
          <cell r="Q194">
            <v>0</v>
          </cell>
          <cell r="R194">
            <v>17863605</v>
          </cell>
          <cell r="S194">
            <v>0</v>
          </cell>
          <cell r="T194">
            <v>17863605</v>
          </cell>
          <cell r="U194">
            <v>10000</v>
          </cell>
          <cell r="V194">
            <v>17873605</v>
          </cell>
          <cell r="W194">
            <v>17863605</v>
          </cell>
          <cell r="X194">
            <v>0</v>
          </cell>
        </row>
        <row r="195">
          <cell r="B195"/>
          <cell r="C195"/>
          <cell r="D195"/>
          <cell r="E195"/>
          <cell r="F195"/>
          <cell r="G195"/>
          <cell r="H195">
            <v>166500</v>
          </cell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</row>
        <row r="198">
          <cell r="B198"/>
        </row>
        <row r="200">
          <cell r="B200" t="str">
            <v>UP3 : KEDIRI
ULP : KEDIRI SELATAN</v>
          </cell>
          <cell r="C200" t="str">
            <v>LAPORAN TAGIHAN KODE KOLEKTIF NOTA BUKU
Bulan : MEI-2025</v>
          </cell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</row>
        <row r="201">
          <cell r="B201" t="str">
            <v>IDPEL</v>
          </cell>
          <cell r="C201" t="str">
            <v>NAMA</v>
          </cell>
          <cell r="D201" t="str">
            <v>ALAMAT</v>
          </cell>
          <cell r="E201" t="str">
            <v>TGL BAYAR</v>
          </cell>
          <cell r="F201" t="str">
            <v>KDPEMBAYAR</v>
          </cell>
          <cell r="G201" t="str">
            <v>TRP</v>
          </cell>
          <cell r="H201" t="str">
            <v>DAYA</v>
          </cell>
          <cell r="I201" t="str">
            <v>BLTH</v>
          </cell>
          <cell r="J201" t="str">
            <v>NOREK</v>
          </cell>
          <cell r="K201" t="str">
            <v>KWH</v>
          </cell>
          <cell r="L201" t="str">
            <v>PTL</v>
          </cell>
          <cell r="M201" t="str">
            <v>MAT</v>
          </cell>
          <cell r="N201" t="str">
            <v>PLN</v>
          </cell>
          <cell r="O201" t="str">
            <v>TRAFO</v>
          </cell>
          <cell r="P201" t="str">
            <v>PPN</v>
          </cell>
          <cell r="Q201" t="str">
            <v>PJU</v>
          </cell>
          <cell r="R201" t="str">
            <v>TAGIHAN</v>
          </cell>
        </row>
        <row r="202">
          <cell r="B202">
            <v>514100536137</v>
          </cell>
          <cell r="C202" t="str">
            <v>PJU MANGUNREJO</v>
          </cell>
          <cell r="D202" t="str">
            <v>MANGUNREJO</v>
          </cell>
          <cell r="E202"/>
          <cell r="F202"/>
          <cell r="G202" t="str">
            <v>P3</v>
          </cell>
          <cell r="H202">
            <v>4310</v>
          </cell>
          <cell r="I202" t="str">
            <v>202505</v>
          </cell>
          <cell r="J202" t="str">
            <v>048461</v>
          </cell>
          <cell r="K202">
            <v>1484</v>
          </cell>
          <cell r="L202">
            <v>2522103</v>
          </cell>
          <cell r="M202">
            <v>0</v>
          </cell>
          <cell r="N202">
            <v>2522103</v>
          </cell>
          <cell r="O202">
            <v>0</v>
          </cell>
          <cell r="P202">
            <v>0</v>
          </cell>
          <cell r="Q202">
            <v>0</v>
          </cell>
          <cell r="R202">
            <v>2522103</v>
          </cell>
          <cell r="S202">
            <v>0</v>
          </cell>
          <cell r="T202">
            <v>2522103</v>
          </cell>
          <cell r="U202">
            <v>0</v>
          </cell>
          <cell r="V202">
            <v>2522103</v>
          </cell>
          <cell r="W202">
            <v>2522103</v>
          </cell>
          <cell r="X202">
            <v>0</v>
          </cell>
        </row>
        <row r="203">
          <cell r="B203">
            <v>514100540468</v>
          </cell>
          <cell r="C203" t="str">
            <v>PJU DS BLABAK</v>
          </cell>
          <cell r="D203" t="str">
            <v>BLABAK</v>
          </cell>
          <cell r="E203"/>
          <cell r="F203"/>
          <cell r="G203" t="str">
            <v>P3</v>
          </cell>
          <cell r="H203">
            <v>2800</v>
          </cell>
          <cell r="I203" t="str">
            <v>202505</v>
          </cell>
          <cell r="J203" t="str">
            <v>048759</v>
          </cell>
          <cell r="K203">
            <v>1050</v>
          </cell>
          <cell r="L203">
            <v>1784507</v>
          </cell>
          <cell r="M203">
            <v>0</v>
          </cell>
          <cell r="N203">
            <v>1784507</v>
          </cell>
          <cell r="O203">
            <v>0</v>
          </cell>
          <cell r="P203">
            <v>0</v>
          </cell>
          <cell r="Q203">
            <v>0</v>
          </cell>
          <cell r="R203">
            <v>1784507</v>
          </cell>
          <cell r="S203">
            <v>0</v>
          </cell>
          <cell r="T203">
            <v>1784507</v>
          </cell>
          <cell r="U203">
            <v>0</v>
          </cell>
          <cell r="V203">
            <v>1784507</v>
          </cell>
          <cell r="W203">
            <v>1784507</v>
          </cell>
          <cell r="X203">
            <v>0</v>
          </cell>
        </row>
        <row r="204">
          <cell r="B204">
            <v>514100540874</v>
          </cell>
          <cell r="C204" t="str">
            <v>PJU REMBANG KEPUH</v>
          </cell>
          <cell r="D204" t="str">
            <v>REMBANG</v>
          </cell>
          <cell r="E204"/>
          <cell r="F204"/>
          <cell r="G204" t="str">
            <v>P3</v>
          </cell>
          <cell r="H204">
            <v>10600</v>
          </cell>
          <cell r="I204" t="str">
            <v>202505</v>
          </cell>
          <cell r="J204" t="str">
            <v>048405</v>
          </cell>
          <cell r="K204">
            <v>3975</v>
          </cell>
          <cell r="L204">
            <v>6755632</v>
          </cell>
          <cell r="M204">
            <v>10000</v>
          </cell>
          <cell r="N204">
            <v>6765632</v>
          </cell>
          <cell r="O204">
            <v>0</v>
          </cell>
          <cell r="P204">
            <v>0</v>
          </cell>
          <cell r="Q204">
            <v>0</v>
          </cell>
          <cell r="R204">
            <v>6755632</v>
          </cell>
          <cell r="S204">
            <v>0</v>
          </cell>
          <cell r="T204">
            <v>6755632</v>
          </cell>
          <cell r="U204">
            <v>10000</v>
          </cell>
          <cell r="V204">
            <v>6765632</v>
          </cell>
          <cell r="W204">
            <v>6755632</v>
          </cell>
          <cell r="X204">
            <v>0</v>
          </cell>
        </row>
        <row r="205">
          <cell r="B205">
            <v>514100541071</v>
          </cell>
          <cell r="C205" t="str">
            <v>PJU WONOREJO</v>
          </cell>
          <cell r="D205" t="str">
            <v>WONOREJO</v>
          </cell>
          <cell r="E205"/>
          <cell r="F205"/>
          <cell r="G205" t="str">
            <v>P3</v>
          </cell>
          <cell r="H205">
            <v>3500</v>
          </cell>
          <cell r="I205" t="str">
            <v>202505</v>
          </cell>
          <cell r="J205" t="str">
            <v>048376</v>
          </cell>
          <cell r="K205">
            <v>1313</v>
          </cell>
          <cell r="L205">
            <v>2231483</v>
          </cell>
          <cell r="M205">
            <v>0</v>
          </cell>
          <cell r="N205">
            <v>2231483</v>
          </cell>
          <cell r="O205">
            <v>0</v>
          </cell>
          <cell r="P205">
            <v>0</v>
          </cell>
          <cell r="Q205">
            <v>0</v>
          </cell>
          <cell r="R205">
            <v>2231483</v>
          </cell>
          <cell r="S205">
            <v>0</v>
          </cell>
          <cell r="T205">
            <v>2231483</v>
          </cell>
          <cell r="U205">
            <v>0</v>
          </cell>
          <cell r="V205">
            <v>2231483</v>
          </cell>
          <cell r="W205">
            <v>2231483</v>
          </cell>
          <cell r="X205">
            <v>0</v>
          </cell>
        </row>
        <row r="206">
          <cell r="B206">
            <v>514100541097</v>
          </cell>
          <cell r="C206" t="str">
            <v>PJU WONOREJO WATES</v>
          </cell>
          <cell r="D206" t="str">
            <v>WONOREJO</v>
          </cell>
          <cell r="E206"/>
          <cell r="F206"/>
          <cell r="G206" t="str">
            <v>P3</v>
          </cell>
          <cell r="H206">
            <v>5500</v>
          </cell>
          <cell r="I206" t="str">
            <v>202505</v>
          </cell>
          <cell r="J206" t="str">
            <v>048396</v>
          </cell>
          <cell r="K206">
            <v>1855</v>
          </cell>
          <cell r="L206">
            <v>3152628</v>
          </cell>
          <cell r="M206">
            <v>0</v>
          </cell>
          <cell r="N206">
            <v>3152628</v>
          </cell>
          <cell r="O206">
            <v>0</v>
          </cell>
          <cell r="P206">
            <v>0</v>
          </cell>
          <cell r="Q206">
            <v>0</v>
          </cell>
          <cell r="R206">
            <v>3152628</v>
          </cell>
          <cell r="S206">
            <v>0</v>
          </cell>
          <cell r="T206">
            <v>3152628</v>
          </cell>
          <cell r="U206">
            <v>0</v>
          </cell>
          <cell r="V206">
            <v>3152628</v>
          </cell>
          <cell r="W206">
            <v>3152628</v>
          </cell>
          <cell r="X206">
            <v>0</v>
          </cell>
        </row>
        <row r="207">
          <cell r="B207">
            <v>514100557528</v>
          </cell>
          <cell r="C207" t="str">
            <v>PJU DESA SAMBI</v>
          </cell>
          <cell r="D207" t="str">
            <v>RINGINREJO</v>
          </cell>
          <cell r="E207"/>
          <cell r="F207"/>
          <cell r="G207" t="str">
            <v>P3</v>
          </cell>
          <cell r="H207">
            <v>7700</v>
          </cell>
          <cell r="I207" t="str">
            <v>202505</v>
          </cell>
          <cell r="J207" t="str">
            <v>048776</v>
          </cell>
          <cell r="K207">
            <v>2888</v>
          </cell>
          <cell r="L207">
            <v>4908243</v>
          </cell>
          <cell r="M207">
            <v>0</v>
          </cell>
          <cell r="N207">
            <v>4908243</v>
          </cell>
          <cell r="O207">
            <v>0</v>
          </cell>
          <cell r="P207">
            <v>0</v>
          </cell>
          <cell r="Q207">
            <v>0</v>
          </cell>
          <cell r="R207">
            <v>4908243</v>
          </cell>
          <cell r="S207">
            <v>0</v>
          </cell>
          <cell r="T207">
            <v>4908243</v>
          </cell>
          <cell r="U207">
            <v>0</v>
          </cell>
          <cell r="V207">
            <v>4908243</v>
          </cell>
          <cell r="W207">
            <v>4908243</v>
          </cell>
          <cell r="X207">
            <v>0</v>
          </cell>
        </row>
        <row r="208">
          <cell r="B208">
            <v>514100569539</v>
          </cell>
          <cell r="C208" t="str">
            <v>PJU SUMBERJO</v>
          </cell>
          <cell r="D208" t="str">
            <v>SUMBERJO</v>
          </cell>
          <cell r="E208"/>
          <cell r="F208"/>
          <cell r="G208" t="str">
            <v>P3</v>
          </cell>
          <cell r="H208">
            <v>9410</v>
          </cell>
          <cell r="I208" t="str">
            <v>202505</v>
          </cell>
          <cell r="J208" t="str">
            <v>048674</v>
          </cell>
          <cell r="K208">
            <v>3529</v>
          </cell>
          <cell r="L208">
            <v>5997641</v>
          </cell>
          <cell r="M208">
            <v>10000</v>
          </cell>
          <cell r="N208">
            <v>6007641</v>
          </cell>
          <cell r="O208">
            <v>0</v>
          </cell>
          <cell r="P208">
            <v>0</v>
          </cell>
          <cell r="Q208">
            <v>0</v>
          </cell>
          <cell r="R208">
            <v>5997641</v>
          </cell>
          <cell r="S208">
            <v>0</v>
          </cell>
          <cell r="T208">
            <v>5997641</v>
          </cell>
          <cell r="U208">
            <v>10000</v>
          </cell>
          <cell r="V208">
            <v>6007641</v>
          </cell>
          <cell r="W208">
            <v>5997641</v>
          </cell>
          <cell r="X208">
            <v>0</v>
          </cell>
        </row>
        <row r="209">
          <cell r="B209">
            <v>514100574615</v>
          </cell>
          <cell r="C209" t="str">
            <v>PJU DAWUNG</v>
          </cell>
          <cell r="D209" t="str">
            <v>DAWUNG</v>
          </cell>
          <cell r="E209"/>
          <cell r="F209"/>
          <cell r="G209" t="str">
            <v>P3</v>
          </cell>
          <cell r="H209">
            <v>3500</v>
          </cell>
          <cell r="I209" t="str">
            <v>202505</v>
          </cell>
          <cell r="J209" t="str">
            <v>048543</v>
          </cell>
          <cell r="K209">
            <v>410</v>
          </cell>
          <cell r="L209">
            <v>696807</v>
          </cell>
          <cell r="M209">
            <v>0</v>
          </cell>
          <cell r="N209">
            <v>696807</v>
          </cell>
          <cell r="O209">
            <v>0</v>
          </cell>
          <cell r="P209">
            <v>0</v>
          </cell>
          <cell r="Q209">
            <v>0</v>
          </cell>
          <cell r="R209">
            <v>696807</v>
          </cell>
          <cell r="S209">
            <v>0</v>
          </cell>
          <cell r="T209">
            <v>696807</v>
          </cell>
          <cell r="U209">
            <v>0</v>
          </cell>
          <cell r="V209">
            <v>696807</v>
          </cell>
          <cell r="W209">
            <v>696807</v>
          </cell>
          <cell r="X209">
            <v>0</v>
          </cell>
        </row>
        <row r="210">
          <cell r="B210">
            <v>514100576436</v>
          </cell>
          <cell r="C210" t="str">
            <v>PJU SUSUHBANGO</v>
          </cell>
          <cell r="D210" t="str">
            <v>SUSUHBANGO</v>
          </cell>
          <cell r="E210"/>
          <cell r="F210"/>
          <cell r="G210" t="str">
            <v>P3</v>
          </cell>
          <cell r="H210">
            <v>2720</v>
          </cell>
          <cell r="I210" t="str">
            <v>202505</v>
          </cell>
          <cell r="J210" t="str">
            <v>048763</v>
          </cell>
          <cell r="K210">
            <v>1020</v>
          </cell>
          <cell r="L210">
            <v>1733521</v>
          </cell>
          <cell r="M210">
            <v>0</v>
          </cell>
          <cell r="N210">
            <v>1733521</v>
          </cell>
          <cell r="O210">
            <v>0</v>
          </cell>
          <cell r="P210">
            <v>0</v>
          </cell>
          <cell r="Q210">
            <v>0</v>
          </cell>
          <cell r="R210">
            <v>1733521</v>
          </cell>
          <cell r="S210">
            <v>0</v>
          </cell>
          <cell r="T210">
            <v>1733521</v>
          </cell>
          <cell r="U210">
            <v>0</v>
          </cell>
          <cell r="V210">
            <v>1733521</v>
          </cell>
          <cell r="W210">
            <v>1733521</v>
          </cell>
          <cell r="X210">
            <v>0</v>
          </cell>
        </row>
        <row r="211">
          <cell r="B211">
            <v>514100576451</v>
          </cell>
          <cell r="C211" t="str">
            <v>PJU POJOK WATES</v>
          </cell>
          <cell r="D211" t="str">
            <v>WATES POJOK</v>
          </cell>
          <cell r="E211"/>
          <cell r="F211"/>
          <cell r="G211" t="str">
            <v>P3</v>
          </cell>
          <cell r="H211">
            <v>16500</v>
          </cell>
          <cell r="I211" t="str">
            <v>202505</v>
          </cell>
          <cell r="J211" t="str">
            <v>048265</v>
          </cell>
          <cell r="K211">
            <v>6188</v>
          </cell>
          <cell r="L211">
            <v>10516692</v>
          </cell>
          <cell r="M211">
            <v>10000</v>
          </cell>
          <cell r="N211">
            <v>10526692</v>
          </cell>
          <cell r="O211">
            <v>0</v>
          </cell>
          <cell r="P211">
            <v>0</v>
          </cell>
          <cell r="Q211">
            <v>0</v>
          </cell>
          <cell r="R211">
            <v>10516692</v>
          </cell>
          <cell r="S211">
            <v>0</v>
          </cell>
          <cell r="T211">
            <v>10516692</v>
          </cell>
          <cell r="U211">
            <v>10000</v>
          </cell>
          <cell r="V211">
            <v>10526692</v>
          </cell>
          <cell r="W211">
            <v>10516692</v>
          </cell>
          <cell r="X211">
            <v>0</v>
          </cell>
        </row>
        <row r="212">
          <cell r="B212">
            <v>514100580138</v>
          </cell>
          <cell r="C212" t="str">
            <v>PJU SIDOMULYO WATES</v>
          </cell>
          <cell r="D212" t="str">
            <v>SIDOMULYO</v>
          </cell>
          <cell r="E212"/>
          <cell r="F212"/>
          <cell r="G212" t="str">
            <v>P3</v>
          </cell>
          <cell r="H212">
            <v>5500</v>
          </cell>
          <cell r="I212" t="str">
            <v>202505</v>
          </cell>
          <cell r="J212" t="str">
            <v>048765</v>
          </cell>
          <cell r="K212">
            <v>1528</v>
          </cell>
          <cell r="L212">
            <v>2596882</v>
          </cell>
          <cell r="M212">
            <v>0</v>
          </cell>
          <cell r="N212">
            <v>2596882</v>
          </cell>
          <cell r="O212">
            <v>0</v>
          </cell>
          <cell r="P212">
            <v>0</v>
          </cell>
          <cell r="Q212">
            <v>0</v>
          </cell>
          <cell r="R212">
            <v>2596882</v>
          </cell>
          <cell r="S212">
            <v>0</v>
          </cell>
          <cell r="T212">
            <v>2596882</v>
          </cell>
          <cell r="U212">
            <v>0</v>
          </cell>
          <cell r="V212">
            <v>2596882</v>
          </cell>
          <cell r="W212">
            <v>2596882</v>
          </cell>
          <cell r="X212">
            <v>0</v>
          </cell>
        </row>
        <row r="213">
          <cell r="B213">
            <v>514100585370</v>
          </cell>
          <cell r="C213" t="str">
            <v>PJU WONOREJO NGADILUIWIH</v>
          </cell>
          <cell r="D213" t="str">
            <v>WONOREJO</v>
          </cell>
          <cell r="E213"/>
          <cell r="F213"/>
          <cell r="G213" t="str">
            <v>P3</v>
          </cell>
          <cell r="H213">
            <v>7700</v>
          </cell>
          <cell r="I213" t="str">
            <v>202505</v>
          </cell>
          <cell r="J213" t="str">
            <v>048644</v>
          </cell>
          <cell r="K213">
            <v>2888</v>
          </cell>
          <cell r="L213">
            <v>4908243</v>
          </cell>
          <cell r="M213">
            <v>0</v>
          </cell>
          <cell r="N213">
            <v>4908243</v>
          </cell>
          <cell r="O213">
            <v>0</v>
          </cell>
          <cell r="P213">
            <v>0</v>
          </cell>
          <cell r="Q213">
            <v>0</v>
          </cell>
          <cell r="R213">
            <v>4908243</v>
          </cell>
          <cell r="S213">
            <v>0</v>
          </cell>
          <cell r="T213">
            <v>4908243</v>
          </cell>
          <cell r="U213">
            <v>0</v>
          </cell>
          <cell r="V213">
            <v>4908243</v>
          </cell>
          <cell r="W213">
            <v>4908243</v>
          </cell>
          <cell r="X213">
            <v>0</v>
          </cell>
        </row>
        <row r="214">
          <cell r="B214">
            <v>514100585425</v>
          </cell>
          <cell r="C214" t="str">
            <v>P J U</v>
          </cell>
          <cell r="D214" t="str">
            <v>TEGALAN</v>
          </cell>
          <cell r="E214"/>
          <cell r="F214"/>
          <cell r="G214" t="str">
            <v>P3</v>
          </cell>
          <cell r="H214">
            <v>3500</v>
          </cell>
          <cell r="I214" t="str">
            <v>202505</v>
          </cell>
          <cell r="J214" t="str">
            <v>048602</v>
          </cell>
          <cell r="K214">
            <v>1146</v>
          </cell>
          <cell r="L214">
            <v>1947661</v>
          </cell>
          <cell r="M214">
            <v>0</v>
          </cell>
          <cell r="N214">
            <v>1947661</v>
          </cell>
          <cell r="O214">
            <v>0</v>
          </cell>
          <cell r="P214">
            <v>0</v>
          </cell>
          <cell r="Q214">
            <v>0</v>
          </cell>
          <cell r="R214">
            <v>1947661</v>
          </cell>
          <cell r="S214">
            <v>0</v>
          </cell>
          <cell r="T214">
            <v>1947661</v>
          </cell>
          <cell r="U214">
            <v>0</v>
          </cell>
          <cell r="V214">
            <v>1947661</v>
          </cell>
          <cell r="W214">
            <v>1947661</v>
          </cell>
          <cell r="X214">
            <v>0</v>
          </cell>
        </row>
        <row r="215">
          <cell r="B215">
            <v>514100587652</v>
          </cell>
          <cell r="C215" t="str">
            <v>PJU DS WONOREJO</v>
          </cell>
          <cell r="D215" t="str">
            <v>WONOREJO WATES</v>
          </cell>
          <cell r="E215"/>
          <cell r="F215"/>
          <cell r="G215" t="str">
            <v>P3</v>
          </cell>
          <cell r="H215">
            <v>4400</v>
          </cell>
          <cell r="I215" t="str">
            <v>202505</v>
          </cell>
          <cell r="J215" t="str">
            <v>048275</v>
          </cell>
          <cell r="K215">
            <v>1325</v>
          </cell>
          <cell r="L215">
            <v>2251877</v>
          </cell>
          <cell r="M215">
            <v>0</v>
          </cell>
          <cell r="N215">
            <v>2251877</v>
          </cell>
          <cell r="O215">
            <v>0</v>
          </cell>
          <cell r="P215">
            <v>0</v>
          </cell>
          <cell r="Q215">
            <v>0</v>
          </cell>
          <cell r="R215">
            <v>2251877</v>
          </cell>
          <cell r="S215">
            <v>0</v>
          </cell>
          <cell r="T215">
            <v>2251877</v>
          </cell>
          <cell r="U215">
            <v>0</v>
          </cell>
          <cell r="V215">
            <v>2251877</v>
          </cell>
          <cell r="W215">
            <v>2251877</v>
          </cell>
          <cell r="X215">
            <v>0</v>
          </cell>
        </row>
        <row r="216">
          <cell r="B216">
            <v>514100587869</v>
          </cell>
          <cell r="C216" t="str">
            <v>PJU TUGU PERBATASAN</v>
          </cell>
          <cell r="D216" t="str">
            <v>SAMBI KANDAT</v>
          </cell>
          <cell r="E216"/>
          <cell r="F216"/>
          <cell r="G216" t="str">
            <v>P3</v>
          </cell>
          <cell r="H216">
            <v>1500</v>
          </cell>
          <cell r="I216" t="str">
            <v>202505</v>
          </cell>
          <cell r="J216" t="str">
            <v>048276</v>
          </cell>
          <cell r="K216">
            <v>1047</v>
          </cell>
          <cell r="L216">
            <v>1779408</v>
          </cell>
          <cell r="M216">
            <v>0</v>
          </cell>
          <cell r="N216">
            <v>1779408</v>
          </cell>
          <cell r="O216">
            <v>0</v>
          </cell>
          <cell r="P216">
            <v>0</v>
          </cell>
          <cell r="Q216">
            <v>0</v>
          </cell>
          <cell r="R216">
            <v>1779408</v>
          </cell>
          <cell r="S216">
            <v>0</v>
          </cell>
          <cell r="T216">
            <v>1779408</v>
          </cell>
          <cell r="U216">
            <v>0</v>
          </cell>
          <cell r="V216">
            <v>1779408</v>
          </cell>
          <cell r="W216">
            <v>1779408</v>
          </cell>
          <cell r="X216">
            <v>0</v>
          </cell>
        </row>
        <row r="217">
          <cell r="B217">
            <v>514100591951</v>
          </cell>
          <cell r="C217" t="str">
            <v>P.J.U DS. PAGU</v>
          </cell>
          <cell r="D217" t="str">
            <v>PAGU WATES</v>
          </cell>
          <cell r="E217"/>
          <cell r="F217"/>
          <cell r="G217" t="str">
            <v>P3</v>
          </cell>
          <cell r="H217">
            <v>23000</v>
          </cell>
          <cell r="I217" t="str">
            <v>202505</v>
          </cell>
          <cell r="J217" t="str">
            <v>048329</v>
          </cell>
          <cell r="K217">
            <v>8625</v>
          </cell>
          <cell r="L217">
            <v>14658446</v>
          </cell>
          <cell r="M217">
            <v>10000</v>
          </cell>
          <cell r="N217">
            <v>14668446</v>
          </cell>
          <cell r="O217">
            <v>0</v>
          </cell>
          <cell r="P217">
            <v>0</v>
          </cell>
          <cell r="Q217">
            <v>0</v>
          </cell>
          <cell r="R217">
            <v>14658446</v>
          </cell>
          <cell r="S217">
            <v>0</v>
          </cell>
          <cell r="T217">
            <v>14658446</v>
          </cell>
          <cell r="U217">
            <v>10000</v>
          </cell>
          <cell r="V217">
            <v>14668446</v>
          </cell>
          <cell r="W217">
            <v>14658446</v>
          </cell>
          <cell r="X217">
            <v>0</v>
          </cell>
        </row>
        <row r="218">
          <cell r="B218">
            <v>514100596881</v>
          </cell>
          <cell r="C218" t="str">
            <v>PJU RINGINSARI</v>
          </cell>
          <cell r="D218" t="str">
            <v>RINGINSARI KANDAT</v>
          </cell>
          <cell r="E218"/>
          <cell r="F218"/>
          <cell r="G218" t="str">
            <v>P3</v>
          </cell>
          <cell r="H218">
            <v>800</v>
          </cell>
          <cell r="I218" t="str">
            <v>202505</v>
          </cell>
          <cell r="J218" t="str">
            <v>048351</v>
          </cell>
          <cell r="K218">
            <v>300</v>
          </cell>
          <cell r="L218">
            <v>509859</v>
          </cell>
          <cell r="M218">
            <v>0</v>
          </cell>
          <cell r="N218">
            <v>509859</v>
          </cell>
          <cell r="O218">
            <v>0</v>
          </cell>
          <cell r="P218">
            <v>0</v>
          </cell>
          <cell r="Q218">
            <v>0</v>
          </cell>
          <cell r="R218">
            <v>509859</v>
          </cell>
          <cell r="S218">
            <v>0</v>
          </cell>
          <cell r="T218">
            <v>509859</v>
          </cell>
          <cell r="U218">
            <v>0</v>
          </cell>
          <cell r="V218">
            <v>509859</v>
          </cell>
          <cell r="W218">
            <v>509859</v>
          </cell>
          <cell r="X218">
            <v>0</v>
          </cell>
        </row>
        <row r="219">
          <cell r="B219">
            <v>514100603674</v>
          </cell>
          <cell r="C219" t="str">
            <v>PJU BANGGLE</v>
          </cell>
          <cell r="D219" t="str">
            <v>BANGLE NGADILUWIH</v>
          </cell>
          <cell r="E219"/>
          <cell r="F219"/>
          <cell r="G219" t="str">
            <v>P3</v>
          </cell>
          <cell r="H219">
            <v>7700</v>
          </cell>
          <cell r="I219" t="str">
            <v>202505</v>
          </cell>
          <cell r="J219" t="str">
            <v>048273</v>
          </cell>
          <cell r="K219">
            <v>2888</v>
          </cell>
          <cell r="L219">
            <v>4908243</v>
          </cell>
          <cell r="M219">
            <v>0</v>
          </cell>
          <cell r="N219">
            <v>4908243</v>
          </cell>
          <cell r="O219">
            <v>0</v>
          </cell>
          <cell r="P219">
            <v>0</v>
          </cell>
          <cell r="Q219">
            <v>0</v>
          </cell>
          <cell r="R219">
            <v>4908243</v>
          </cell>
          <cell r="S219">
            <v>0</v>
          </cell>
          <cell r="T219">
            <v>4908243</v>
          </cell>
          <cell r="U219">
            <v>0</v>
          </cell>
          <cell r="V219">
            <v>4908243</v>
          </cell>
          <cell r="W219">
            <v>4908243</v>
          </cell>
          <cell r="X219">
            <v>0</v>
          </cell>
        </row>
        <row r="220">
          <cell r="B220">
            <v>514100604220</v>
          </cell>
          <cell r="C220" t="str">
            <v>PJU. JEMEKAN</v>
          </cell>
          <cell r="D220" t="str">
            <v>JEMEKAN KRAS</v>
          </cell>
          <cell r="E220"/>
          <cell r="F220"/>
          <cell r="G220" t="str">
            <v>P3</v>
          </cell>
          <cell r="H220">
            <v>7700</v>
          </cell>
          <cell r="I220" t="str">
            <v>202505</v>
          </cell>
          <cell r="J220" t="str">
            <v>048479</v>
          </cell>
          <cell r="K220">
            <v>2888</v>
          </cell>
          <cell r="L220">
            <v>4908243</v>
          </cell>
          <cell r="M220">
            <v>0</v>
          </cell>
          <cell r="N220">
            <v>4908243</v>
          </cell>
          <cell r="O220">
            <v>0</v>
          </cell>
          <cell r="P220">
            <v>0</v>
          </cell>
          <cell r="Q220">
            <v>0</v>
          </cell>
          <cell r="R220">
            <v>4908243</v>
          </cell>
          <cell r="S220">
            <v>0</v>
          </cell>
          <cell r="T220">
            <v>4908243</v>
          </cell>
          <cell r="U220">
            <v>0</v>
          </cell>
          <cell r="V220">
            <v>4908243</v>
          </cell>
          <cell r="W220">
            <v>4908243</v>
          </cell>
          <cell r="X220">
            <v>0</v>
          </cell>
        </row>
        <row r="221">
          <cell r="B221">
            <v>514100611924</v>
          </cell>
          <cell r="C221" t="str">
            <v>PJU BLEBER</v>
          </cell>
          <cell r="D221" t="str">
            <v>BLEBER PELAS KRAS</v>
          </cell>
          <cell r="E221"/>
          <cell r="F221"/>
          <cell r="G221" t="str">
            <v>P3</v>
          </cell>
          <cell r="H221">
            <v>27650</v>
          </cell>
          <cell r="I221" t="str">
            <v>202505</v>
          </cell>
          <cell r="J221" t="str">
            <v>048670</v>
          </cell>
          <cell r="K221">
            <v>10369</v>
          </cell>
          <cell r="L221">
            <v>17622427</v>
          </cell>
          <cell r="M221">
            <v>10000</v>
          </cell>
          <cell r="N221">
            <v>17632427</v>
          </cell>
          <cell r="O221">
            <v>0</v>
          </cell>
          <cell r="P221">
            <v>0</v>
          </cell>
          <cell r="Q221">
            <v>0</v>
          </cell>
          <cell r="R221">
            <v>17622427</v>
          </cell>
          <cell r="S221">
            <v>0</v>
          </cell>
          <cell r="T221">
            <v>17622427</v>
          </cell>
          <cell r="U221">
            <v>10000</v>
          </cell>
          <cell r="V221">
            <v>17632427</v>
          </cell>
          <cell r="W221">
            <v>17622427</v>
          </cell>
          <cell r="X221">
            <v>0</v>
          </cell>
        </row>
        <row r="222">
          <cell r="B222">
            <v>514100611932</v>
          </cell>
          <cell r="C222" t="str">
            <v>PJU NGLETIH</v>
          </cell>
          <cell r="D222" t="str">
            <v>NGLETIH KANDAT</v>
          </cell>
          <cell r="E222"/>
          <cell r="F222"/>
          <cell r="G222" t="str">
            <v>P3</v>
          </cell>
          <cell r="H222">
            <v>4400</v>
          </cell>
          <cell r="I222" t="str">
            <v>202505</v>
          </cell>
          <cell r="J222" t="str">
            <v>048606</v>
          </cell>
          <cell r="K222">
            <v>1487</v>
          </cell>
          <cell r="L222">
            <v>2527201</v>
          </cell>
          <cell r="M222">
            <v>0</v>
          </cell>
          <cell r="N222">
            <v>2527201</v>
          </cell>
          <cell r="O222">
            <v>0</v>
          </cell>
          <cell r="P222">
            <v>0</v>
          </cell>
          <cell r="Q222">
            <v>0</v>
          </cell>
          <cell r="R222">
            <v>2527201</v>
          </cell>
          <cell r="S222">
            <v>0</v>
          </cell>
          <cell r="T222">
            <v>2527201</v>
          </cell>
          <cell r="U222">
            <v>0</v>
          </cell>
          <cell r="V222">
            <v>2527201</v>
          </cell>
          <cell r="W222">
            <v>2527201</v>
          </cell>
          <cell r="X222">
            <v>0</v>
          </cell>
        </row>
        <row r="223">
          <cell r="B223">
            <v>514100616024</v>
          </cell>
          <cell r="C223" t="str">
            <v>PJU BOLODEWO WATES</v>
          </cell>
          <cell r="D223" t="str">
            <v>BOLODEWO WONOREJO</v>
          </cell>
          <cell r="E223"/>
          <cell r="F223"/>
          <cell r="G223" t="str">
            <v>P3</v>
          </cell>
          <cell r="H223">
            <v>16030</v>
          </cell>
          <cell r="I223" t="str">
            <v>202505</v>
          </cell>
          <cell r="J223" t="str">
            <v>048574</v>
          </cell>
          <cell r="K223">
            <v>6011</v>
          </cell>
          <cell r="L223">
            <v>10215875</v>
          </cell>
          <cell r="M223">
            <v>10000</v>
          </cell>
          <cell r="N223">
            <v>10225875</v>
          </cell>
          <cell r="O223">
            <v>0</v>
          </cell>
          <cell r="P223">
            <v>0</v>
          </cell>
          <cell r="Q223">
            <v>0</v>
          </cell>
          <cell r="R223">
            <v>10215875</v>
          </cell>
          <cell r="S223">
            <v>0</v>
          </cell>
          <cell r="T223">
            <v>10215875</v>
          </cell>
          <cell r="U223">
            <v>10000</v>
          </cell>
          <cell r="V223">
            <v>10225875</v>
          </cell>
          <cell r="W223">
            <v>10215875</v>
          </cell>
          <cell r="X223">
            <v>0</v>
          </cell>
        </row>
        <row r="224">
          <cell r="B224">
            <v>514100616032</v>
          </cell>
          <cell r="C224" t="str">
            <v>PJU SILIR WATES</v>
          </cell>
          <cell r="D224" t="str">
            <v>SILIR WATES</v>
          </cell>
          <cell r="E224"/>
          <cell r="F224"/>
          <cell r="G224" t="str">
            <v>P3</v>
          </cell>
          <cell r="H224">
            <v>10600</v>
          </cell>
          <cell r="I224" t="str">
            <v>202505</v>
          </cell>
          <cell r="J224" t="str">
            <v>048536</v>
          </cell>
          <cell r="K224">
            <v>3975</v>
          </cell>
          <cell r="L224">
            <v>6755632</v>
          </cell>
          <cell r="M224">
            <v>10000</v>
          </cell>
          <cell r="N224">
            <v>6765632</v>
          </cell>
          <cell r="O224">
            <v>0</v>
          </cell>
          <cell r="P224">
            <v>0</v>
          </cell>
          <cell r="Q224">
            <v>0</v>
          </cell>
          <cell r="R224">
            <v>6755632</v>
          </cell>
          <cell r="S224">
            <v>0</v>
          </cell>
          <cell r="T224">
            <v>6755632</v>
          </cell>
          <cell r="U224">
            <v>10000</v>
          </cell>
          <cell r="V224">
            <v>6765632</v>
          </cell>
          <cell r="W224">
            <v>6755632</v>
          </cell>
          <cell r="X224">
            <v>0</v>
          </cell>
        </row>
        <row r="225">
          <cell r="B225">
            <v>514100616377</v>
          </cell>
          <cell r="C225" t="str">
            <v>PJU BADAL NGADILUWIH</v>
          </cell>
          <cell r="D225" t="str">
            <v>BADAL NGADILUWIH</v>
          </cell>
          <cell r="E225"/>
          <cell r="F225"/>
          <cell r="G225" t="str">
            <v>P3</v>
          </cell>
          <cell r="H225">
            <v>17600</v>
          </cell>
          <cell r="I225" t="str">
            <v>202505</v>
          </cell>
          <cell r="J225" t="str">
            <v>048263</v>
          </cell>
          <cell r="K225">
            <v>6600</v>
          </cell>
          <cell r="L225">
            <v>11216898</v>
          </cell>
          <cell r="M225">
            <v>10000</v>
          </cell>
          <cell r="N225">
            <v>11226898</v>
          </cell>
          <cell r="O225">
            <v>0</v>
          </cell>
          <cell r="P225">
            <v>0</v>
          </cell>
          <cell r="Q225">
            <v>0</v>
          </cell>
          <cell r="R225">
            <v>11216898</v>
          </cell>
          <cell r="S225">
            <v>0</v>
          </cell>
          <cell r="T225">
            <v>11216898</v>
          </cell>
          <cell r="U225">
            <v>10000</v>
          </cell>
          <cell r="V225">
            <v>11226898</v>
          </cell>
          <cell r="W225">
            <v>11216898</v>
          </cell>
          <cell r="X225">
            <v>0</v>
          </cell>
        </row>
        <row r="226">
          <cell r="B226">
            <v>514100618285</v>
          </cell>
          <cell r="C226" t="str">
            <v>PJU BANJARANYAR KRAS</v>
          </cell>
          <cell r="D226" t="str">
            <v>BANJARANYAR KRAS</v>
          </cell>
          <cell r="E226"/>
          <cell r="F226"/>
          <cell r="G226" t="str">
            <v>P3</v>
          </cell>
          <cell r="H226">
            <v>16500</v>
          </cell>
          <cell r="I226" t="str">
            <v>202505</v>
          </cell>
          <cell r="J226" t="str">
            <v>048708</v>
          </cell>
          <cell r="K226">
            <v>6188</v>
          </cell>
          <cell r="L226">
            <v>10516692</v>
          </cell>
          <cell r="M226">
            <v>10000</v>
          </cell>
          <cell r="N226">
            <v>10526692</v>
          </cell>
          <cell r="O226">
            <v>0</v>
          </cell>
          <cell r="P226">
            <v>0</v>
          </cell>
          <cell r="Q226">
            <v>0</v>
          </cell>
          <cell r="R226">
            <v>10516692</v>
          </cell>
          <cell r="S226">
            <v>0</v>
          </cell>
          <cell r="T226">
            <v>10516692</v>
          </cell>
          <cell r="U226">
            <v>10000</v>
          </cell>
          <cell r="V226">
            <v>10526692</v>
          </cell>
          <cell r="W226">
            <v>10516692</v>
          </cell>
          <cell r="X226">
            <v>0</v>
          </cell>
        </row>
        <row r="227">
          <cell r="B227">
            <v>514100618443</v>
          </cell>
          <cell r="C227" t="str">
            <v>PJU BADAL PANDEAN</v>
          </cell>
          <cell r="D227" t="str">
            <v>BADAL PANDEAN</v>
          </cell>
          <cell r="E227"/>
          <cell r="F227"/>
          <cell r="G227" t="str">
            <v>P3</v>
          </cell>
          <cell r="H227">
            <v>7700</v>
          </cell>
          <cell r="I227" t="str">
            <v>202505</v>
          </cell>
          <cell r="J227" t="str">
            <v>048320</v>
          </cell>
          <cell r="K227">
            <v>2888</v>
          </cell>
          <cell r="L227">
            <v>4908243</v>
          </cell>
          <cell r="M227">
            <v>0</v>
          </cell>
          <cell r="N227">
            <v>4908243</v>
          </cell>
          <cell r="O227">
            <v>0</v>
          </cell>
          <cell r="P227">
            <v>0</v>
          </cell>
          <cell r="Q227">
            <v>0</v>
          </cell>
          <cell r="R227">
            <v>4908243</v>
          </cell>
          <cell r="S227">
            <v>0</v>
          </cell>
          <cell r="T227">
            <v>4908243</v>
          </cell>
          <cell r="U227">
            <v>0</v>
          </cell>
          <cell r="V227">
            <v>4908243</v>
          </cell>
          <cell r="W227">
            <v>4908243</v>
          </cell>
          <cell r="X227">
            <v>0</v>
          </cell>
        </row>
        <row r="228">
          <cell r="B228">
            <v>514100633232</v>
          </cell>
          <cell r="C228" t="str">
            <v>PJU NAMBAAN BARU</v>
          </cell>
          <cell r="D228" t="str">
            <v>NAMBAKAN RG.REJO</v>
          </cell>
          <cell r="E228"/>
          <cell r="F228"/>
          <cell r="G228" t="str">
            <v>P3</v>
          </cell>
          <cell r="H228">
            <v>5500</v>
          </cell>
          <cell r="I228" t="str">
            <v>202505</v>
          </cell>
          <cell r="J228" t="str">
            <v>048656</v>
          </cell>
          <cell r="K228">
            <v>2063</v>
          </cell>
          <cell r="L228">
            <v>3506130</v>
          </cell>
          <cell r="M228">
            <v>0</v>
          </cell>
          <cell r="N228">
            <v>3506130</v>
          </cell>
          <cell r="O228">
            <v>0</v>
          </cell>
          <cell r="P228">
            <v>0</v>
          </cell>
          <cell r="Q228">
            <v>0</v>
          </cell>
          <cell r="R228">
            <v>3506130</v>
          </cell>
          <cell r="S228">
            <v>0</v>
          </cell>
          <cell r="T228">
            <v>3506130</v>
          </cell>
          <cell r="U228">
            <v>0</v>
          </cell>
          <cell r="V228">
            <v>3506130</v>
          </cell>
          <cell r="W228">
            <v>3506130</v>
          </cell>
          <cell r="X228">
            <v>0</v>
          </cell>
        </row>
        <row r="229">
          <cell r="B229">
            <v>514100633240</v>
          </cell>
          <cell r="C229" t="str">
            <v>PJU PURWODADI BARU</v>
          </cell>
          <cell r="D229" t="str">
            <v>PURWODADI RG.REJO</v>
          </cell>
          <cell r="E229"/>
          <cell r="F229"/>
          <cell r="G229" t="str">
            <v>P3</v>
          </cell>
          <cell r="H229">
            <v>3500</v>
          </cell>
          <cell r="I229" t="str">
            <v>202505</v>
          </cell>
          <cell r="J229" t="str">
            <v>048646</v>
          </cell>
          <cell r="K229">
            <v>1136</v>
          </cell>
          <cell r="L229">
            <v>1930666</v>
          </cell>
          <cell r="M229">
            <v>0</v>
          </cell>
          <cell r="N229">
            <v>1930666</v>
          </cell>
          <cell r="O229">
            <v>0</v>
          </cell>
          <cell r="P229">
            <v>0</v>
          </cell>
          <cell r="Q229">
            <v>0</v>
          </cell>
          <cell r="R229">
            <v>1930666</v>
          </cell>
          <cell r="S229">
            <v>0</v>
          </cell>
          <cell r="T229">
            <v>1930666</v>
          </cell>
          <cell r="U229">
            <v>0</v>
          </cell>
          <cell r="V229">
            <v>1930666</v>
          </cell>
          <cell r="W229">
            <v>1930666</v>
          </cell>
          <cell r="X229">
            <v>0</v>
          </cell>
        </row>
        <row r="230">
          <cell r="B230">
            <v>514100633273</v>
          </cell>
          <cell r="C230" t="str">
            <v>PJU SELODONO BARU</v>
          </cell>
          <cell r="D230" t="str">
            <v>SELODONO RG.REJO</v>
          </cell>
          <cell r="E230"/>
          <cell r="F230"/>
          <cell r="G230" t="str">
            <v>P3</v>
          </cell>
          <cell r="H230">
            <v>3500</v>
          </cell>
          <cell r="I230" t="str">
            <v>202505</v>
          </cell>
          <cell r="J230" t="str">
            <v>048527</v>
          </cell>
          <cell r="K230">
            <v>622</v>
          </cell>
          <cell r="L230">
            <v>1057108</v>
          </cell>
          <cell r="M230">
            <v>0</v>
          </cell>
          <cell r="N230">
            <v>1057108</v>
          </cell>
          <cell r="O230">
            <v>0</v>
          </cell>
          <cell r="P230">
            <v>0</v>
          </cell>
          <cell r="Q230">
            <v>0</v>
          </cell>
          <cell r="R230">
            <v>1057108</v>
          </cell>
          <cell r="S230">
            <v>0</v>
          </cell>
          <cell r="T230">
            <v>1057108</v>
          </cell>
          <cell r="U230">
            <v>0</v>
          </cell>
          <cell r="V230">
            <v>1057108</v>
          </cell>
          <cell r="W230">
            <v>1057108</v>
          </cell>
          <cell r="X230">
            <v>0</v>
          </cell>
        </row>
        <row r="231">
          <cell r="B231">
            <v>514100633329</v>
          </cell>
          <cell r="C231" t="str">
            <v>PJU KANDAT BARU</v>
          </cell>
          <cell r="D231" t="str">
            <v>KANDAT</v>
          </cell>
          <cell r="E231"/>
          <cell r="F231"/>
          <cell r="G231" t="str">
            <v>P3</v>
          </cell>
          <cell r="H231">
            <v>17600</v>
          </cell>
          <cell r="I231" t="str">
            <v>202505</v>
          </cell>
          <cell r="J231" t="str">
            <v>048291</v>
          </cell>
          <cell r="K231">
            <v>6600</v>
          </cell>
          <cell r="L231">
            <v>11216898</v>
          </cell>
          <cell r="M231">
            <v>10000</v>
          </cell>
          <cell r="N231">
            <v>11226898</v>
          </cell>
          <cell r="O231">
            <v>0</v>
          </cell>
          <cell r="P231">
            <v>0</v>
          </cell>
          <cell r="Q231">
            <v>0</v>
          </cell>
          <cell r="R231">
            <v>11216898</v>
          </cell>
          <cell r="S231">
            <v>0</v>
          </cell>
          <cell r="T231">
            <v>11216898</v>
          </cell>
          <cell r="U231">
            <v>10000</v>
          </cell>
          <cell r="V231">
            <v>11226898</v>
          </cell>
          <cell r="W231">
            <v>11216898</v>
          </cell>
          <cell r="X231">
            <v>0</v>
          </cell>
        </row>
        <row r="232">
          <cell r="B232">
            <v>514100633337</v>
          </cell>
          <cell r="C232" t="str">
            <v>PJU BLABAK KANDAT BARU</v>
          </cell>
          <cell r="D232" t="str">
            <v>BLABAK KANDAT</v>
          </cell>
          <cell r="E232"/>
          <cell r="F232"/>
          <cell r="G232" t="str">
            <v>P3</v>
          </cell>
          <cell r="H232">
            <v>16520</v>
          </cell>
          <cell r="I232" t="str">
            <v>202505</v>
          </cell>
          <cell r="J232" t="str">
            <v>048744</v>
          </cell>
          <cell r="K232">
            <v>6195</v>
          </cell>
          <cell r="L232">
            <v>10528588</v>
          </cell>
          <cell r="M232">
            <v>10000</v>
          </cell>
          <cell r="N232">
            <v>10538588</v>
          </cell>
          <cell r="O232">
            <v>0</v>
          </cell>
          <cell r="P232">
            <v>0</v>
          </cell>
          <cell r="Q232">
            <v>0</v>
          </cell>
          <cell r="R232">
            <v>10528588</v>
          </cell>
          <cell r="S232">
            <v>0</v>
          </cell>
          <cell r="T232">
            <v>10528588</v>
          </cell>
          <cell r="U232">
            <v>10000</v>
          </cell>
          <cell r="V232">
            <v>10538588</v>
          </cell>
          <cell r="W232">
            <v>10528588</v>
          </cell>
          <cell r="X232">
            <v>0</v>
          </cell>
        </row>
        <row r="233">
          <cell r="B233">
            <v>514100633345</v>
          </cell>
          <cell r="C233" t="str">
            <v>PJU PULE SELATAN BARU</v>
          </cell>
          <cell r="D233" t="str">
            <v>PULE SELATAN KDT.</v>
          </cell>
          <cell r="E233"/>
          <cell r="F233"/>
          <cell r="G233" t="str">
            <v>P3</v>
          </cell>
          <cell r="H233">
            <v>4400</v>
          </cell>
          <cell r="I233" t="str">
            <v>202505</v>
          </cell>
          <cell r="J233" t="str">
            <v>048569</v>
          </cell>
          <cell r="K233">
            <v>2610</v>
          </cell>
          <cell r="L233">
            <v>4435773</v>
          </cell>
          <cell r="M233">
            <v>0</v>
          </cell>
          <cell r="N233">
            <v>4435773</v>
          </cell>
          <cell r="O233">
            <v>0</v>
          </cell>
          <cell r="P233">
            <v>0</v>
          </cell>
          <cell r="Q233">
            <v>0</v>
          </cell>
          <cell r="R233">
            <v>4435773</v>
          </cell>
          <cell r="S233">
            <v>0</v>
          </cell>
          <cell r="T233">
            <v>4435773</v>
          </cell>
          <cell r="U233">
            <v>0</v>
          </cell>
          <cell r="V233">
            <v>4435773</v>
          </cell>
          <cell r="W233">
            <v>4435773</v>
          </cell>
          <cell r="X233">
            <v>0</v>
          </cell>
        </row>
        <row r="234">
          <cell r="B234">
            <v>514100633378</v>
          </cell>
          <cell r="C234" t="str">
            <v>PJU SUMBERJO BARU</v>
          </cell>
          <cell r="D234" t="str">
            <v>SUMBERJO KANDAT</v>
          </cell>
          <cell r="E234"/>
          <cell r="F234"/>
          <cell r="G234" t="str">
            <v>P3</v>
          </cell>
          <cell r="H234">
            <v>10600</v>
          </cell>
          <cell r="I234" t="str">
            <v>202505</v>
          </cell>
          <cell r="J234" t="str">
            <v>048611</v>
          </cell>
          <cell r="K234">
            <v>3975</v>
          </cell>
          <cell r="L234">
            <v>6755632</v>
          </cell>
          <cell r="M234">
            <v>10000</v>
          </cell>
          <cell r="N234">
            <v>6765632</v>
          </cell>
          <cell r="O234">
            <v>0</v>
          </cell>
          <cell r="P234">
            <v>0</v>
          </cell>
          <cell r="Q234">
            <v>0</v>
          </cell>
          <cell r="R234">
            <v>6755632</v>
          </cell>
          <cell r="S234">
            <v>0</v>
          </cell>
          <cell r="T234">
            <v>6755632</v>
          </cell>
          <cell r="U234">
            <v>10000</v>
          </cell>
          <cell r="V234">
            <v>6765632</v>
          </cell>
          <cell r="W234">
            <v>6755632</v>
          </cell>
          <cell r="X234">
            <v>0</v>
          </cell>
        </row>
        <row r="235">
          <cell r="B235">
            <v>514100633386</v>
          </cell>
          <cell r="C235" t="str">
            <v>PJU GADUNGAN BARU</v>
          </cell>
          <cell r="D235" t="str">
            <v>GADUNGAN WATES</v>
          </cell>
          <cell r="E235"/>
          <cell r="F235"/>
          <cell r="G235" t="str">
            <v>P3</v>
          </cell>
          <cell r="H235">
            <v>7070</v>
          </cell>
          <cell r="I235" t="str">
            <v>202505</v>
          </cell>
          <cell r="J235" t="str">
            <v>048314</v>
          </cell>
          <cell r="K235">
            <v>2651</v>
          </cell>
          <cell r="L235">
            <v>4505454</v>
          </cell>
          <cell r="M235">
            <v>0</v>
          </cell>
          <cell r="N235">
            <v>4505454</v>
          </cell>
          <cell r="O235">
            <v>0</v>
          </cell>
          <cell r="P235">
            <v>0</v>
          </cell>
          <cell r="Q235">
            <v>0</v>
          </cell>
          <cell r="R235">
            <v>4505454</v>
          </cell>
          <cell r="S235">
            <v>0</v>
          </cell>
          <cell r="T235">
            <v>4505454</v>
          </cell>
          <cell r="U235">
            <v>0</v>
          </cell>
          <cell r="V235">
            <v>4505454</v>
          </cell>
          <cell r="W235">
            <v>4505454</v>
          </cell>
          <cell r="X235">
            <v>0</v>
          </cell>
        </row>
        <row r="236">
          <cell r="B236">
            <v>514100633394</v>
          </cell>
          <cell r="C236" t="str">
            <v>PJU TEMPUREJO BARU</v>
          </cell>
          <cell r="D236" t="str">
            <v>TEMPUREJO WATES</v>
          </cell>
          <cell r="E236"/>
          <cell r="F236"/>
          <cell r="G236" t="str">
            <v>P3</v>
          </cell>
          <cell r="H236">
            <v>5500</v>
          </cell>
          <cell r="I236" t="str">
            <v>202505</v>
          </cell>
          <cell r="J236" t="str">
            <v>048384</v>
          </cell>
          <cell r="K236">
            <v>1776</v>
          </cell>
          <cell r="L236">
            <v>3018365</v>
          </cell>
          <cell r="M236">
            <v>0</v>
          </cell>
          <cell r="N236">
            <v>3018365</v>
          </cell>
          <cell r="O236">
            <v>0</v>
          </cell>
          <cell r="P236">
            <v>0</v>
          </cell>
          <cell r="Q236">
            <v>0</v>
          </cell>
          <cell r="R236">
            <v>3018365</v>
          </cell>
          <cell r="S236">
            <v>0</v>
          </cell>
          <cell r="T236">
            <v>3018365</v>
          </cell>
          <cell r="U236">
            <v>0</v>
          </cell>
          <cell r="V236">
            <v>3018365</v>
          </cell>
          <cell r="W236">
            <v>3018365</v>
          </cell>
          <cell r="X236">
            <v>0</v>
          </cell>
        </row>
        <row r="237">
          <cell r="B237">
            <v>514100633528</v>
          </cell>
          <cell r="C237" t="str">
            <v>PJU BLEBER KRAS BARU</v>
          </cell>
          <cell r="D237" t="str">
            <v>BLEBER  KRAS</v>
          </cell>
          <cell r="E237"/>
          <cell r="F237"/>
          <cell r="G237" t="str">
            <v>P3</v>
          </cell>
          <cell r="H237">
            <v>3500</v>
          </cell>
          <cell r="I237" t="str">
            <v>202505</v>
          </cell>
          <cell r="J237" t="str">
            <v>048478</v>
          </cell>
          <cell r="K237">
            <v>802</v>
          </cell>
          <cell r="L237">
            <v>1363023</v>
          </cell>
          <cell r="M237">
            <v>0</v>
          </cell>
          <cell r="N237">
            <v>1363023</v>
          </cell>
          <cell r="O237">
            <v>0</v>
          </cell>
          <cell r="P237">
            <v>0</v>
          </cell>
          <cell r="Q237">
            <v>0</v>
          </cell>
          <cell r="R237">
            <v>1363023</v>
          </cell>
          <cell r="S237">
            <v>0</v>
          </cell>
          <cell r="T237">
            <v>1363023</v>
          </cell>
          <cell r="U237">
            <v>0</v>
          </cell>
          <cell r="V237">
            <v>1363023</v>
          </cell>
          <cell r="W237">
            <v>1363023</v>
          </cell>
          <cell r="X237">
            <v>0</v>
          </cell>
        </row>
        <row r="238">
          <cell r="B238">
            <v>514100672817</v>
          </cell>
          <cell r="C238" t="str">
            <v>PJU TAMBANGAN</v>
          </cell>
          <cell r="D238" t="str">
            <v>TAMBANGAN NGD.</v>
          </cell>
          <cell r="E238"/>
          <cell r="F238"/>
          <cell r="G238" t="str">
            <v>P3</v>
          </cell>
          <cell r="H238">
            <v>7700</v>
          </cell>
          <cell r="I238" t="str">
            <v>202505</v>
          </cell>
          <cell r="J238" t="str">
            <v>048262</v>
          </cell>
          <cell r="K238">
            <v>2888</v>
          </cell>
          <cell r="L238">
            <v>4908243</v>
          </cell>
          <cell r="M238">
            <v>0</v>
          </cell>
          <cell r="N238">
            <v>4908243</v>
          </cell>
          <cell r="O238">
            <v>0</v>
          </cell>
          <cell r="P238">
            <v>0</v>
          </cell>
          <cell r="Q238">
            <v>0</v>
          </cell>
          <cell r="R238">
            <v>4908243</v>
          </cell>
          <cell r="S238">
            <v>0</v>
          </cell>
          <cell r="T238">
            <v>4908243</v>
          </cell>
          <cell r="U238">
            <v>0</v>
          </cell>
          <cell r="V238">
            <v>4908243</v>
          </cell>
          <cell r="W238">
            <v>4908243</v>
          </cell>
          <cell r="X238">
            <v>0</v>
          </cell>
        </row>
        <row r="239">
          <cell r="B239">
            <v>514100673118</v>
          </cell>
          <cell r="C239" t="str">
            <v>LPJU RINGINREJO BARU</v>
          </cell>
          <cell r="D239" t="str">
            <v>RINGINREJO</v>
          </cell>
          <cell r="E239"/>
          <cell r="F239"/>
          <cell r="G239" t="str">
            <v>P3</v>
          </cell>
          <cell r="H239">
            <v>2200</v>
          </cell>
          <cell r="I239" t="str">
            <v>202505</v>
          </cell>
          <cell r="J239" t="str">
            <v>048437</v>
          </cell>
          <cell r="K239">
            <v>514</v>
          </cell>
          <cell r="L239">
            <v>873558</v>
          </cell>
          <cell r="M239">
            <v>0</v>
          </cell>
          <cell r="N239">
            <v>873558</v>
          </cell>
          <cell r="O239">
            <v>0</v>
          </cell>
          <cell r="P239">
            <v>0</v>
          </cell>
          <cell r="Q239">
            <v>0</v>
          </cell>
          <cell r="R239">
            <v>873558</v>
          </cell>
          <cell r="S239">
            <v>0</v>
          </cell>
          <cell r="T239">
            <v>873558</v>
          </cell>
          <cell r="U239">
            <v>0</v>
          </cell>
          <cell r="V239">
            <v>873558</v>
          </cell>
          <cell r="W239">
            <v>873558</v>
          </cell>
          <cell r="X239">
            <v>0</v>
          </cell>
        </row>
        <row r="240">
          <cell r="B240">
            <v>514100673126</v>
          </cell>
          <cell r="C240" t="str">
            <v>PJU GAPURO TUGU BATAS</v>
          </cell>
          <cell r="D240" t="str">
            <v>UDANAWU BLITAR</v>
          </cell>
          <cell r="E240"/>
          <cell r="F240"/>
          <cell r="G240" t="str">
            <v>P3</v>
          </cell>
          <cell r="H240">
            <v>3500</v>
          </cell>
          <cell r="I240" t="str">
            <v>202505</v>
          </cell>
          <cell r="J240" t="str">
            <v>048463</v>
          </cell>
          <cell r="K240">
            <v>173</v>
          </cell>
          <cell r="L240">
            <v>294019</v>
          </cell>
          <cell r="M240">
            <v>0</v>
          </cell>
          <cell r="N240">
            <v>294019</v>
          </cell>
          <cell r="O240">
            <v>0</v>
          </cell>
          <cell r="P240">
            <v>0</v>
          </cell>
          <cell r="Q240">
            <v>0</v>
          </cell>
          <cell r="R240">
            <v>294019</v>
          </cell>
          <cell r="S240">
            <v>0</v>
          </cell>
          <cell r="T240">
            <v>294019</v>
          </cell>
          <cell r="U240">
            <v>0</v>
          </cell>
          <cell r="V240">
            <v>294019</v>
          </cell>
          <cell r="W240">
            <v>294019</v>
          </cell>
          <cell r="X240">
            <v>0</v>
          </cell>
        </row>
        <row r="241">
          <cell r="B241">
            <v>514100715619</v>
          </cell>
          <cell r="C241" t="str">
            <v>PJU BLABAK I</v>
          </cell>
          <cell r="D241" t="str">
            <v>BLABAK KANDAT</v>
          </cell>
          <cell r="E241"/>
          <cell r="F241"/>
          <cell r="G241" t="str">
            <v>P3</v>
          </cell>
          <cell r="H241">
            <v>2500</v>
          </cell>
          <cell r="I241" t="str">
            <v>202505</v>
          </cell>
          <cell r="J241" t="str">
            <v>048519</v>
          </cell>
          <cell r="K241">
            <v>678</v>
          </cell>
          <cell r="L241">
            <v>1152281</v>
          </cell>
          <cell r="M241">
            <v>0</v>
          </cell>
          <cell r="N241">
            <v>1152281</v>
          </cell>
          <cell r="O241">
            <v>0</v>
          </cell>
          <cell r="P241">
            <v>0</v>
          </cell>
          <cell r="Q241">
            <v>0</v>
          </cell>
          <cell r="R241">
            <v>1152281</v>
          </cell>
          <cell r="S241">
            <v>0</v>
          </cell>
          <cell r="T241">
            <v>1152281</v>
          </cell>
          <cell r="U241">
            <v>0</v>
          </cell>
          <cell r="V241">
            <v>1152281</v>
          </cell>
          <cell r="W241">
            <v>1152281</v>
          </cell>
          <cell r="X241">
            <v>0</v>
          </cell>
        </row>
        <row r="242">
          <cell r="B242">
            <v>514100715627</v>
          </cell>
          <cell r="C242" t="str">
            <v>PJU BLABAK II</v>
          </cell>
          <cell r="D242" t="str">
            <v>BLABAK KANDAT</v>
          </cell>
          <cell r="E242"/>
          <cell r="F242"/>
          <cell r="G242" t="str">
            <v>P3</v>
          </cell>
          <cell r="H242">
            <v>5070</v>
          </cell>
          <cell r="I242" t="str">
            <v>202505</v>
          </cell>
          <cell r="J242" t="str">
            <v>048439</v>
          </cell>
          <cell r="K242">
            <v>823</v>
          </cell>
          <cell r="L242">
            <v>1398713</v>
          </cell>
          <cell r="M242">
            <v>0</v>
          </cell>
          <cell r="N242">
            <v>1398713</v>
          </cell>
          <cell r="O242">
            <v>0</v>
          </cell>
          <cell r="P242">
            <v>0</v>
          </cell>
          <cell r="Q242">
            <v>0</v>
          </cell>
          <cell r="R242">
            <v>1398713</v>
          </cell>
          <cell r="S242">
            <v>0</v>
          </cell>
          <cell r="T242">
            <v>1398713</v>
          </cell>
          <cell r="U242">
            <v>0</v>
          </cell>
          <cell r="V242">
            <v>1398713</v>
          </cell>
          <cell r="W242">
            <v>1398713</v>
          </cell>
          <cell r="X242">
            <v>0</v>
          </cell>
        </row>
        <row r="243">
          <cell r="B243">
            <v>514100720737</v>
          </cell>
          <cell r="C243" t="str">
            <v>PJU JOHO I</v>
          </cell>
          <cell r="D243" t="str">
            <v>JOHO WATES</v>
          </cell>
          <cell r="E243"/>
          <cell r="F243"/>
          <cell r="G243" t="str">
            <v>P3</v>
          </cell>
          <cell r="H243">
            <v>9000</v>
          </cell>
          <cell r="I243" t="str">
            <v>202505</v>
          </cell>
          <cell r="J243" t="str">
            <v>048668</v>
          </cell>
          <cell r="K243">
            <v>1422</v>
          </cell>
          <cell r="L243">
            <v>2416732</v>
          </cell>
          <cell r="M243">
            <v>0</v>
          </cell>
          <cell r="N243">
            <v>2416732</v>
          </cell>
          <cell r="O243">
            <v>0</v>
          </cell>
          <cell r="P243">
            <v>0</v>
          </cell>
          <cell r="Q243">
            <v>0</v>
          </cell>
          <cell r="R243">
            <v>2416732</v>
          </cell>
          <cell r="S243">
            <v>0</v>
          </cell>
          <cell r="T243">
            <v>2416732</v>
          </cell>
          <cell r="U243">
            <v>0</v>
          </cell>
          <cell r="V243">
            <v>2416732</v>
          </cell>
          <cell r="W243">
            <v>2416732</v>
          </cell>
          <cell r="X243">
            <v>0</v>
          </cell>
        </row>
        <row r="244">
          <cell r="B244">
            <v>514100720745</v>
          </cell>
          <cell r="C244" t="str">
            <v>PJU JOHO II</v>
          </cell>
          <cell r="D244" t="str">
            <v>JOHO WATES</v>
          </cell>
          <cell r="E244"/>
          <cell r="F244"/>
          <cell r="G244" t="str">
            <v>P3</v>
          </cell>
          <cell r="H244">
            <v>6880</v>
          </cell>
          <cell r="I244" t="str">
            <v>202505</v>
          </cell>
          <cell r="J244" t="str">
            <v>048685</v>
          </cell>
          <cell r="K244">
            <v>1480</v>
          </cell>
          <cell r="L244">
            <v>2515304</v>
          </cell>
          <cell r="M244">
            <v>0</v>
          </cell>
          <cell r="N244">
            <v>2515304</v>
          </cell>
          <cell r="O244">
            <v>0</v>
          </cell>
          <cell r="P244">
            <v>0</v>
          </cell>
          <cell r="Q244">
            <v>0</v>
          </cell>
          <cell r="R244">
            <v>2515304</v>
          </cell>
          <cell r="S244">
            <v>0</v>
          </cell>
          <cell r="T244">
            <v>2515304</v>
          </cell>
          <cell r="U244">
            <v>0</v>
          </cell>
          <cell r="V244">
            <v>2515304</v>
          </cell>
          <cell r="W244">
            <v>2515304</v>
          </cell>
          <cell r="X244">
            <v>0</v>
          </cell>
        </row>
        <row r="245">
          <cell r="B245">
            <v>514100722582</v>
          </cell>
          <cell r="C245" t="str">
            <v>PJU BEDUG NGADILUWIH</v>
          </cell>
          <cell r="D245" t="str">
            <v>BEDUG NGADILUWIH</v>
          </cell>
          <cell r="E245"/>
          <cell r="F245"/>
          <cell r="G245" t="str">
            <v>P3</v>
          </cell>
          <cell r="H245">
            <v>400</v>
          </cell>
          <cell r="I245" t="str">
            <v>202505</v>
          </cell>
          <cell r="J245" t="str">
            <v>048453</v>
          </cell>
          <cell r="K245">
            <v>16</v>
          </cell>
          <cell r="L245">
            <v>27192</v>
          </cell>
          <cell r="M245">
            <v>0</v>
          </cell>
          <cell r="N245">
            <v>27192</v>
          </cell>
          <cell r="O245">
            <v>0</v>
          </cell>
          <cell r="P245">
            <v>0</v>
          </cell>
          <cell r="Q245">
            <v>0</v>
          </cell>
          <cell r="R245">
            <v>27192</v>
          </cell>
          <cell r="S245">
            <v>0</v>
          </cell>
          <cell r="T245">
            <v>27192</v>
          </cell>
          <cell r="U245">
            <v>0</v>
          </cell>
          <cell r="V245">
            <v>27192</v>
          </cell>
          <cell r="W245">
            <v>27192</v>
          </cell>
          <cell r="X245">
            <v>0</v>
          </cell>
        </row>
        <row r="246">
          <cell r="B246">
            <v>514100722590</v>
          </cell>
          <cell r="C246" t="str">
            <v>PJU TEGALAN I</v>
          </cell>
          <cell r="D246" t="str">
            <v>TEGALAN KANDAT</v>
          </cell>
          <cell r="E246"/>
          <cell r="F246"/>
          <cell r="G246" t="str">
            <v>P3</v>
          </cell>
          <cell r="H246">
            <v>3500</v>
          </cell>
          <cell r="I246" t="str">
            <v>202505</v>
          </cell>
          <cell r="J246" t="str">
            <v>048702</v>
          </cell>
          <cell r="K246">
            <v>713</v>
          </cell>
          <cell r="L246">
            <v>1211765</v>
          </cell>
          <cell r="M246">
            <v>0</v>
          </cell>
          <cell r="N246">
            <v>1211765</v>
          </cell>
          <cell r="O246">
            <v>0</v>
          </cell>
          <cell r="P246">
            <v>0</v>
          </cell>
          <cell r="Q246">
            <v>0</v>
          </cell>
          <cell r="R246">
            <v>1211765</v>
          </cell>
          <cell r="S246">
            <v>0</v>
          </cell>
          <cell r="T246">
            <v>1211765</v>
          </cell>
          <cell r="U246">
            <v>0</v>
          </cell>
          <cell r="V246">
            <v>1211765</v>
          </cell>
          <cell r="W246">
            <v>1211765</v>
          </cell>
          <cell r="X246">
            <v>0</v>
          </cell>
        </row>
        <row r="247">
          <cell r="B247">
            <v>514100722603</v>
          </cell>
          <cell r="C247" t="str">
            <v>PJU TEGALAN II</v>
          </cell>
          <cell r="D247" t="str">
            <v>TEGALAN KANDAT</v>
          </cell>
          <cell r="E247"/>
          <cell r="F247"/>
          <cell r="G247" t="str">
            <v>P3</v>
          </cell>
          <cell r="H247">
            <v>3500</v>
          </cell>
          <cell r="I247" t="str">
            <v>202505</v>
          </cell>
          <cell r="J247" t="str">
            <v>048792</v>
          </cell>
          <cell r="K247">
            <v>945</v>
          </cell>
          <cell r="L247">
            <v>1606056</v>
          </cell>
          <cell r="M247">
            <v>0</v>
          </cell>
          <cell r="N247">
            <v>1606056</v>
          </cell>
          <cell r="O247">
            <v>0</v>
          </cell>
          <cell r="P247">
            <v>0</v>
          </cell>
          <cell r="Q247">
            <v>0</v>
          </cell>
          <cell r="R247">
            <v>1606056</v>
          </cell>
          <cell r="S247">
            <v>0</v>
          </cell>
          <cell r="T247">
            <v>1606056</v>
          </cell>
          <cell r="U247">
            <v>0</v>
          </cell>
          <cell r="V247">
            <v>1606056</v>
          </cell>
          <cell r="W247">
            <v>1606056</v>
          </cell>
          <cell r="X247">
            <v>0</v>
          </cell>
        </row>
        <row r="248">
          <cell r="B248">
            <v>514100768877</v>
          </cell>
          <cell r="C248" t="str">
            <v>PJU DS KNDAT</v>
          </cell>
          <cell r="D248" t="str">
            <v>RAYA KANDAT</v>
          </cell>
          <cell r="E248"/>
          <cell r="F248"/>
          <cell r="G248" t="str">
            <v>P3</v>
          </cell>
          <cell r="H248">
            <v>2200</v>
          </cell>
          <cell r="I248" t="str">
            <v>202505</v>
          </cell>
          <cell r="J248" t="str">
            <v>048675</v>
          </cell>
          <cell r="K248">
            <v>95</v>
          </cell>
          <cell r="L248">
            <v>161455</v>
          </cell>
          <cell r="M248">
            <v>0</v>
          </cell>
          <cell r="N248">
            <v>161455</v>
          </cell>
          <cell r="O248">
            <v>0</v>
          </cell>
          <cell r="P248">
            <v>0</v>
          </cell>
          <cell r="Q248">
            <v>0</v>
          </cell>
          <cell r="R248">
            <v>161455</v>
          </cell>
          <cell r="S248">
            <v>0</v>
          </cell>
          <cell r="T248">
            <v>161455</v>
          </cell>
          <cell r="U248">
            <v>0</v>
          </cell>
          <cell r="V248">
            <v>161455</v>
          </cell>
          <cell r="W248">
            <v>161455</v>
          </cell>
          <cell r="X248">
            <v>0</v>
          </cell>
        </row>
        <row r="249">
          <cell r="B249">
            <v>514100844327</v>
          </cell>
          <cell r="C249" t="str">
            <v>PJU TALES UTARA</v>
          </cell>
          <cell r="D249" t="str">
            <v>TALES</v>
          </cell>
          <cell r="E249"/>
          <cell r="F249"/>
          <cell r="G249" t="str">
            <v>P3</v>
          </cell>
          <cell r="H249">
            <v>3500</v>
          </cell>
          <cell r="I249" t="str">
            <v>202505</v>
          </cell>
          <cell r="J249" t="str">
            <v>048715</v>
          </cell>
          <cell r="K249">
            <v>1671</v>
          </cell>
          <cell r="L249">
            <v>2839915</v>
          </cell>
          <cell r="M249">
            <v>0</v>
          </cell>
          <cell r="N249">
            <v>2839915</v>
          </cell>
          <cell r="O249">
            <v>0</v>
          </cell>
          <cell r="P249">
            <v>0</v>
          </cell>
          <cell r="Q249">
            <v>0</v>
          </cell>
          <cell r="R249">
            <v>2839915</v>
          </cell>
          <cell r="S249">
            <v>0</v>
          </cell>
          <cell r="T249">
            <v>2839915</v>
          </cell>
          <cell r="U249">
            <v>0</v>
          </cell>
          <cell r="V249">
            <v>2839915</v>
          </cell>
          <cell r="W249">
            <v>2839915</v>
          </cell>
          <cell r="X249">
            <v>0</v>
          </cell>
        </row>
        <row r="250">
          <cell r="B250">
            <v>514100844335</v>
          </cell>
          <cell r="C250" t="str">
            <v>PJU NGADIREJO</v>
          </cell>
          <cell r="D250" t="str">
            <v>NGADIREJO</v>
          </cell>
          <cell r="E250"/>
          <cell r="F250"/>
          <cell r="G250" t="str">
            <v>P3</v>
          </cell>
          <cell r="H250">
            <v>3500</v>
          </cell>
          <cell r="I250" t="str">
            <v>202505</v>
          </cell>
          <cell r="J250" t="str">
            <v>048501</v>
          </cell>
          <cell r="K250">
            <v>1955</v>
          </cell>
          <cell r="L250">
            <v>3322581</v>
          </cell>
          <cell r="M250">
            <v>0</v>
          </cell>
          <cell r="N250">
            <v>3322581</v>
          </cell>
          <cell r="O250">
            <v>0</v>
          </cell>
          <cell r="P250">
            <v>0</v>
          </cell>
          <cell r="Q250">
            <v>0</v>
          </cell>
          <cell r="R250">
            <v>3322581</v>
          </cell>
          <cell r="S250">
            <v>0</v>
          </cell>
          <cell r="T250">
            <v>3322581</v>
          </cell>
          <cell r="U250">
            <v>0</v>
          </cell>
          <cell r="V250">
            <v>3322581</v>
          </cell>
          <cell r="W250">
            <v>3322581</v>
          </cell>
          <cell r="X250">
            <v>0</v>
          </cell>
        </row>
        <row r="251">
          <cell r="B251">
            <v>514100844343</v>
          </cell>
          <cell r="C251" t="str">
            <v>PJU DAWUNG 3</v>
          </cell>
          <cell r="D251" t="str">
            <v>SEMBUNGREJO DAWUNG</v>
          </cell>
          <cell r="E251"/>
          <cell r="F251"/>
          <cell r="G251" t="str">
            <v>P3</v>
          </cell>
          <cell r="H251">
            <v>3500</v>
          </cell>
          <cell r="I251" t="str">
            <v>202505</v>
          </cell>
          <cell r="J251" t="str">
            <v>048609</v>
          </cell>
          <cell r="K251">
            <v>1589</v>
          </cell>
          <cell r="L251">
            <v>2700553</v>
          </cell>
          <cell r="M251">
            <v>0</v>
          </cell>
          <cell r="N251">
            <v>2700553</v>
          </cell>
          <cell r="O251">
            <v>0</v>
          </cell>
          <cell r="P251">
            <v>0</v>
          </cell>
          <cell r="Q251">
            <v>0</v>
          </cell>
          <cell r="R251">
            <v>2700553</v>
          </cell>
          <cell r="S251">
            <v>0</v>
          </cell>
          <cell r="T251">
            <v>2700553</v>
          </cell>
          <cell r="U251">
            <v>0</v>
          </cell>
          <cell r="V251">
            <v>2700553</v>
          </cell>
          <cell r="W251">
            <v>2700553</v>
          </cell>
          <cell r="X251">
            <v>0</v>
          </cell>
        </row>
        <row r="252">
          <cell r="B252">
            <v>514100844350</v>
          </cell>
          <cell r="C252" t="str">
            <v>PJU CANGKRING</v>
          </cell>
          <cell r="D252" t="str">
            <v>CANGKRING</v>
          </cell>
          <cell r="E252"/>
          <cell r="F252"/>
          <cell r="G252" t="str">
            <v>P3</v>
          </cell>
          <cell r="H252">
            <v>3500</v>
          </cell>
          <cell r="I252" t="str">
            <v>202505</v>
          </cell>
          <cell r="J252" t="str">
            <v>048588</v>
          </cell>
          <cell r="K252">
            <v>140</v>
          </cell>
          <cell r="L252">
            <v>237934</v>
          </cell>
          <cell r="M252">
            <v>0</v>
          </cell>
          <cell r="N252">
            <v>237934</v>
          </cell>
          <cell r="O252">
            <v>0</v>
          </cell>
          <cell r="P252">
            <v>0</v>
          </cell>
          <cell r="Q252">
            <v>0</v>
          </cell>
          <cell r="R252">
            <v>237934</v>
          </cell>
          <cell r="S252">
            <v>0</v>
          </cell>
          <cell r="T252">
            <v>237934</v>
          </cell>
          <cell r="U252">
            <v>0</v>
          </cell>
          <cell r="V252">
            <v>237934</v>
          </cell>
          <cell r="W252">
            <v>237934</v>
          </cell>
          <cell r="X252">
            <v>0</v>
          </cell>
        </row>
        <row r="253">
          <cell r="B253">
            <v>514100844368</v>
          </cell>
          <cell r="C253" t="str">
            <v>PJU NGROMBEH</v>
          </cell>
          <cell r="D253" t="str">
            <v>NGROMBEH</v>
          </cell>
          <cell r="E253"/>
          <cell r="F253"/>
          <cell r="G253" t="str">
            <v>P3</v>
          </cell>
          <cell r="H253">
            <v>3500</v>
          </cell>
          <cell r="I253" t="str">
            <v>202505</v>
          </cell>
          <cell r="J253" t="str">
            <v>048619</v>
          </cell>
          <cell r="K253">
            <v>889</v>
          </cell>
          <cell r="L253">
            <v>1510882</v>
          </cell>
          <cell r="M253">
            <v>0</v>
          </cell>
          <cell r="N253">
            <v>1510882</v>
          </cell>
          <cell r="O253">
            <v>0</v>
          </cell>
          <cell r="P253">
            <v>0</v>
          </cell>
          <cell r="Q253">
            <v>0</v>
          </cell>
          <cell r="R253">
            <v>1510882</v>
          </cell>
          <cell r="S253">
            <v>0</v>
          </cell>
          <cell r="T253">
            <v>1510882</v>
          </cell>
          <cell r="U253">
            <v>0</v>
          </cell>
          <cell r="V253">
            <v>1510882</v>
          </cell>
          <cell r="W253">
            <v>1510882</v>
          </cell>
          <cell r="X253">
            <v>0</v>
          </cell>
        </row>
        <row r="254">
          <cell r="B254">
            <v>514100844376</v>
          </cell>
          <cell r="C254" t="str">
            <v>PJU BRANGGAHAN 2</v>
          </cell>
          <cell r="D254" t="str">
            <v>BRANGGAHAN</v>
          </cell>
          <cell r="E254"/>
          <cell r="F254"/>
          <cell r="G254" t="str">
            <v>P3</v>
          </cell>
          <cell r="H254">
            <v>3500</v>
          </cell>
          <cell r="I254" t="str">
            <v>202505</v>
          </cell>
          <cell r="J254" t="str">
            <v>048499</v>
          </cell>
          <cell r="K254">
            <v>1620</v>
          </cell>
          <cell r="L254">
            <v>2753239</v>
          </cell>
          <cell r="M254">
            <v>0</v>
          </cell>
          <cell r="N254">
            <v>2753239</v>
          </cell>
          <cell r="O254">
            <v>0</v>
          </cell>
          <cell r="P254">
            <v>0</v>
          </cell>
          <cell r="Q254">
            <v>0</v>
          </cell>
          <cell r="R254">
            <v>2753239</v>
          </cell>
          <cell r="S254">
            <v>0</v>
          </cell>
          <cell r="T254">
            <v>2753239</v>
          </cell>
          <cell r="U254">
            <v>0</v>
          </cell>
          <cell r="V254">
            <v>2753239</v>
          </cell>
          <cell r="W254">
            <v>2753239</v>
          </cell>
          <cell r="X254">
            <v>0</v>
          </cell>
        </row>
        <row r="255">
          <cell r="B255">
            <v>514100844384</v>
          </cell>
          <cell r="C255" t="str">
            <v>PJU PURWOREJO</v>
          </cell>
          <cell r="D255" t="str">
            <v>PURW0REJO</v>
          </cell>
          <cell r="E255"/>
          <cell r="F255"/>
          <cell r="G255" t="str">
            <v>P3</v>
          </cell>
          <cell r="H255">
            <v>5500</v>
          </cell>
          <cell r="I255" t="str">
            <v>202505</v>
          </cell>
          <cell r="J255" t="str">
            <v>048515</v>
          </cell>
          <cell r="K255">
            <v>1512</v>
          </cell>
          <cell r="L255">
            <v>2569689</v>
          </cell>
          <cell r="M255">
            <v>0</v>
          </cell>
          <cell r="N255">
            <v>2569689</v>
          </cell>
          <cell r="O255">
            <v>0</v>
          </cell>
          <cell r="P255">
            <v>0</v>
          </cell>
          <cell r="Q255">
            <v>0</v>
          </cell>
          <cell r="R255">
            <v>2569689</v>
          </cell>
          <cell r="S255">
            <v>0</v>
          </cell>
          <cell r="T255">
            <v>2569689</v>
          </cell>
          <cell r="U255">
            <v>0</v>
          </cell>
          <cell r="V255">
            <v>2569689</v>
          </cell>
          <cell r="W255">
            <v>2569689</v>
          </cell>
          <cell r="X255">
            <v>0</v>
          </cell>
        </row>
        <row r="256">
          <cell r="B256">
            <v>514100844392</v>
          </cell>
          <cell r="C256" t="str">
            <v>PJU CENDONO 1</v>
          </cell>
          <cell r="D256" t="str">
            <v>CENDONO</v>
          </cell>
          <cell r="E256"/>
          <cell r="F256"/>
          <cell r="G256" t="str">
            <v>P3</v>
          </cell>
          <cell r="H256">
            <v>3500</v>
          </cell>
          <cell r="I256" t="str">
            <v>202505</v>
          </cell>
          <cell r="J256" t="str">
            <v>048754</v>
          </cell>
          <cell r="K256">
            <v>994</v>
          </cell>
          <cell r="L256">
            <v>1689333</v>
          </cell>
          <cell r="M256">
            <v>0</v>
          </cell>
          <cell r="N256">
            <v>1689333</v>
          </cell>
          <cell r="O256">
            <v>0</v>
          </cell>
          <cell r="P256">
            <v>0</v>
          </cell>
          <cell r="Q256">
            <v>0</v>
          </cell>
          <cell r="R256">
            <v>1689333</v>
          </cell>
          <cell r="S256">
            <v>0</v>
          </cell>
          <cell r="T256">
            <v>1689333</v>
          </cell>
          <cell r="U256">
            <v>0</v>
          </cell>
          <cell r="V256">
            <v>1689333</v>
          </cell>
          <cell r="W256">
            <v>1689333</v>
          </cell>
          <cell r="X256">
            <v>0</v>
          </cell>
        </row>
        <row r="257">
          <cell r="B257">
            <v>514100844405</v>
          </cell>
          <cell r="C257" t="str">
            <v>PJU SELODONO</v>
          </cell>
          <cell r="D257" t="str">
            <v>KALILANANG</v>
          </cell>
          <cell r="E257"/>
          <cell r="F257"/>
          <cell r="G257" t="str">
            <v>P3</v>
          </cell>
          <cell r="H257">
            <v>5500</v>
          </cell>
          <cell r="I257" t="str">
            <v>202505</v>
          </cell>
          <cell r="J257" t="str">
            <v>048492</v>
          </cell>
          <cell r="K257">
            <v>1370</v>
          </cell>
          <cell r="L257">
            <v>2328356</v>
          </cell>
          <cell r="M257">
            <v>0</v>
          </cell>
          <cell r="N257">
            <v>2328356</v>
          </cell>
          <cell r="O257">
            <v>0</v>
          </cell>
          <cell r="P257">
            <v>0</v>
          </cell>
          <cell r="Q257">
            <v>0</v>
          </cell>
          <cell r="R257">
            <v>2328356</v>
          </cell>
          <cell r="S257">
            <v>0</v>
          </cell>
          <cell r="T257">
            <v>2328356</v>
          </cell>
          <cell r="U257">
            <v>0</v>
          </cell>
          <cell r="V257">
            <v>2328356</v>
          </cell>
          <cell r="W257">
            <v>2328356</v>
          </cell>
          <cell r="X257">
            <v>0</v>
          </cell>
        </row>
        <row r="258">
          <cell r="B258">
            <v>514100844413</v>
          </cell>
          <cell r="C258" t="str">
            <v>PJU BANJAREJO 1</v>
          </cell>
          <cell r="D258" t="str">
            <v>BANJAREJO</v>
          </cell>
          <cell r="E258"/>
          <cell r="F258"/>
          <cell r="G258" t="str">
            <v>P3</v>
          </cell>
          <cell r="H258">
            <v>3500</v>
          </cell>
          <cell r="I258" t="str">
            <v>202505</v>
          </cell>
          <cell r="J258" t="str">
            <v>048690</v>
          </cell>
          <cell r="K258">
            <v>465</v>
          </cell>
          <cell r="L258">
            <v>790281</v>
          </cell>
          <cell r="M258">
            <v>0</v>
          </cell>
          <cell r="N258">
            <v>790281</v>
          </cell>
          <cell r="O258">
            <v>0</v>
          </cell>
          <cell r="P258">
            <v>0</v>
          </cell>
          <cell r="Q258">
            <v>0</v>
          </cell>
          <cell r="R258">
            <v>790281</v>
          </cell>
          <cell r="S258">
            <v>0</v>
          </cell>
          <cell r="T258">
            <v>790281</v>
          </cell>
          <cell r="U258">
            <v>0</v>
          </cell>
          <cell r="V258">
            <v>790281</v>
          </cell>
          <cell r="W258">
            <v>790281</v>
          </cell>
          <cell r="X258">
            <v>0</v>
          </cell>
        </row>
        <row r="259">
          <cell r="B259">
            <v>514100844421</v>
          </cell>
          <cell r="C259" t="str">
            <v>PJU DUKUH 1</v>
          </cell>
          <cell r="D259" t="str">
            <v>DUKUH</v>
          </cell>
          <cell r="E259"/>
          <cell r="F259"/>
          <cell r="G259" t="str">
            <v>P3</v>
          </cell>
          <cell r="H259">
            <v>3500</v>
          </cell>
          <cell r="I259" t="str">
            <v>202505</v>
          </cell>
          <cell r="J259" t="str">
            <v>048676</v>
          </cell>
          <cell r="K259">
            <v>957</v>
          </cell>
          <cell r="L259">
            <v>1626450</v>
          </cell>
          <cell r="M259">
            <v>0</v>
          </cell>
          <cell r="N259">
            <v>1626450</v>
          </cell>
          <cell r="O259">
            <v>0</v>
          </cell>
          <cell r="P259">
            <v>0</v>
          </cell>
          <cell r="Q259">
            <v>0</v>
          </cell>
          <cell r="R259">
            <v>1626450</v>
          </cell>
          <cell r="S259">
            <v>0</v>
          </cell>
          <cell r="T259">
            <v>1626450</v>
          </cell>
          <cell r="U259">
            <v>0</v>
          </cell>
          <cell r="V259">
            <v>1626450</v>
          </cell>
          <cell r="W259">
            <v>1626450</v>
          </cell>
          <cell r="X259">
            <v>0</v>
          </cell>
        </row>
        <row r="260">
          <cell r="B260">
            <v>514100844439</v>
          </cell>
          <cell r="C260" t="str">
            <v>PJU BATUAJI 1</v>
          </cell>
          <cell r="D260" t="str">
            <v>BATUAJI</v>
          </cell>
          <cell r="E260"/>
          <cell r="F260"/>
          <cell r="G260" t="str">
            <v>P3</v>
          </cell>
          <cell r="H260">
            <v>5500</v>
          </cell>
          <cell r="I260" t="str">
            <v>202505</v>
          </cell>
          <cell r="J260" t="str">
            <v>048680</v>
          </cell>
          <cell r="K260">
            <v>1188</v>
          </cell>
          <cell r="L260">
            <v>2019042</v>
          </cell>
          <cell r="M260">
            <v>0</v>
          </cell>
          <cell r="N260">
            <v>2019042</v>
          </cell>
          <cell r="O260">
            <v>0</v>
          </cell>
          <cell r="P260">
            <v>0</v>
          </cell>
          <cell r="Q260">
            <v>0</v>
          </cell>
          <cell r="R260">
            <v>2019042</v>
          </cell>
          <cell r="S260">
            <v>0</v>
          </cell>
          <cell r="T260">
            <v>2019042</v>
          </cell>
          <cell r="U260">
            <v>0</v>
          </cell>
          <cell r="V260">
            <v>2019042</v>
          </cell>
          <cell r="W260">
            <v>2019042</v>
          </cell>
          <cell r="X260">
            <v>0</v>
          </cell>
        </row>
        <row r="261">
          <cell r="B261">
            <v>514100844447</v>
          </cell>
          <cell r="C261" t="str">
            <v>PJU TALES 2</v>
          </cell>
          <cell r="D261" t="str">
            <v>TALES</v>
          </cell>
          <cell r="E261"/>
          <cell r="F261"/>
          <cell r="G261" t="str">
            <v>P3</v>
          </cell>
          <cell r="H261">
            <v>3500</v>
          </cell>
          <cell r="I261" t="str">
            <v>202505</v>
          </cell>
          <cell r="J261" t="str">
            <v>048746</v>
          </cell>
          <cell r="K261">
            <v>1218</v>
          </cell>
          <cell r="L261">
            <v>2070028</v>
          </cell>
          <cell r="M261">
            <v>0</v>
          </cell>
          <cell r="N261">
            <v>2070028</v>
          </cell>
          <cell r="O261">
            <v>0</v>
          </cell>
          <cell r="P261">
            <v>0</v>
          </cell>
          <cell r="Q261">
            <v>0</v>
          </cell>
          <cell r="R261">
            <v>2070028</v>
          </cell>
          <cell r="S261">
            <v>0</v>
          </cell>
          <cell r="T261">
            <v>2070028</v>
          </cell>
          <cell r="U261">
            <v>0</v>
          </cell>
          <cell r="V261">
            <v>2070028</v>
          </cell>
          <cell r="W261">
            <v>2070028</v>
          </cell>
          <cell r="X261">
            <v>0</v>
          </cell>
        </row>
        <row r="262">
          <cell r="B262">
            <v>514100844454</v>
          </cell>
          <cell r="C262" t="str">
            <v>PJU SELOSARI</v>
          </cell>
          <cell r="D262" t="str">
            <v>SELOSARI KANDAT</v>
          </cell>
          <cell r="E262"/>
          <cell r="F262"/>
          <cell r="G262" t="str">
            <v>P3</v>
          </cell>
          <cell r="H262">
            <v>4400</v>
          </cell>
          <cell r="I262" t="str">
            <v>202505</v>
          </cell>
          <cell r="J262" t="str">
            <v>048419</v>
          </cell>
          <cell r="K262">
            <v>1217</v>
          </cell>
          <cell r="L262">
            <v>2068328</v>
          </cell>
          <cell r="M262">
            <v>0</v>
          </cell>
          <cell r="N262">
            <v>2068328</v>
          </cell>
          <cell r="O262">
            <v>0</v>
          </cell>
          <cell r="P262">
            <v>0</v>
          </cell>
          <cell r="Q262">
            <v>0</v>
          </cell>
          <cell r="R262">
            <v>2068328</v>
          </cell>
          <cell r="S262">
            <v>0</v>
          </cell>
          <cell r="T262">
            <v>2068328</v>
          </cell>
          <cell r="U262">
            <v>0</v>
          </cell>
          <cell r="V262">
            <v>2068328</v>
          </cell>
          <cell r="W262">
            <v>2068328</v>
          </cell>
          <cell r="X262">
            <v>0</v>
          </cell>
        </row>
        <row r="263">
          <cell r="B263">
            <v>514100844470</v>
          </cell>
          <cell r="C263" t="str">
            <v>PJU SLUMBUNG 3</v>
          </cell>
          <cell r="D263" t="str">
            <v>SLUMBUNG</v>
          </cell>
          <cell r="E263"/>
          <cell r="F263"/>
          <cell r="G263" t="str">
            <v>P3</v>
          </cell>
          <cell r="H263">
            <v>3500</v>
          </cell>
          <cell r="I263" t="str">
            <v>202505</v>
          </cell>
          <cell r="J263" t="str">
            <v>048270</v>
          </cell>
          <cell r="K263">
            <v>912</v>
          </cell>
          <cell r="L263">
            <v>1549971</v>
          </cell>
          <cell r="M263">
            <v>0</v>
          </cell>
          <cell r="N263">
            <v>1549971</v>
          </cell>
          <cell r="O263">
            <v>0</v>
          </cell>
          <cell r="P263">
            <v>0</v>
          </cell>
          <cell r="Q263">
            <v>0</v>
          </cell>
          <cell r="R263">
            <v>1549971</v>
          </cell>
          <cell r="S263">
            <v>0</v>
          </cell>
          <cell r="T263">
            <v>1549971</v>
          </cell>
          <cell r="U263">
            <v>0</v>
          </cell>
          <cell r="V263">
            <v>1549971</v>
          </cell>
          <cell r="W263">
            <v>1549971</v>
          </cell>
          <cell r="X263">
            <v>0</v>
          </cell>
        </row>
        <row r="264">
          <cell r="B264">
            <v>514100844488</v>
          </cell>
          <cell r="C264" t="str">
            <v>PJU NAMBAAN 2</v>
          </cell>
          <cell r="D264" t="str">
            <v>NAMBAAN</v>
          </cell>
          <cell r="E264"/>
          <cell r="F264"/>
          <cell r="G264" t="str">
            <v>P3</v>
          </cell>
          <cell r="H264">
            <v>3500</v>
          </cell>
          <cell r="I264" t="str">
            <v>202505</v>
          </cell>
          <cell r="J264" t="str">
            <v>048712</v>
          </cell>
          <cell r="K264">
            <v>391</v>
          </cell>
          <cell r="L264">
            <v>664516</v>
          </cell>
          <cell r="M264">
            <v>0</v>
          </cell>
          <cell r="N264">
            <v>664516</v>
          </cell>
          <cell r="O264">
            <v>0</v>
          </cell>
          <cell r="P264">
            <v>0</v>
          </cell>
          <cell r="Q264">
            <v>0</v>
          </cell>
          <cell r="R264">
            <v>664516</v>
          </cell>
          <cell r="S264">
            <v>0</v>
          </cell>
          <cell r="T264">
            <v>664516</v>
          </cell>
          <cell r="U264">
            <v>0</v>
          </cell>
          <cell r="V264">
            <v>664516</v>
          </cell>
          <cell r="W264">
            <v>664516</v>
          </cell>
          <cell r="X264">
            <v>0</v>
          </cell>
        </row>
        <row r="265">
          <cell r="B265">
            <v>514100844496</v>
          </cell>
          <cell r="C265" t="str">
            <v>PJU KARANGREJO 5</v>
          </cell>
          <cell r="D265" t="str">
            <v>KARANGREJO KANDAT</v>
          </cell>
          <cell r="E265"/>
          <cell r="F265"/>
          <cell r="G265" t="str">
            <v>P3</v>
          </cell>
          <cell r="H265">
            <v>3500</v>
          </cell>
          <cell r="I265" t="str">
            <v>202505</v>
          </cell>
          <cell r="J265" t="str">
            <v>048318</v>
          </cell>
          <cell r="K265">
            <v>813</v>
          </cell>
          <cell r="L265">
            <v>1381718</v>
          </cell>
          <cell r="M265">
            <v>0</v>
          </cell>
          <cell r="N265">
            <v>1381718</v>
          </cell>
          <cell r="O265">
            <v>0</v>
          </cell>
          <cell r="P265">
            <v>0</v>
          </cell>
          <cell r="Q265">
            <v>0</v>
          </cell>
          <cell r="R265">
            <v>1381718</v>
          </cell>
          <cell r="S265">
            <v>0</v>
          </cell>
          <cell r="T265">
            <v>1381718</v>
          </cell>
          <cell r="U265">
            <v>0</v>
          </cell>
          <cell r="V265">
            <v>1381718</v>
          </cell>
          <cell r="W265">
            <v>1381718</v>
          </cell>
          <cell r="X265">
            <v>0</v>
          </cell>
        </row>
        <row r="266">
          <cell r="B266">
            <v>514100844500</v>
          </cell>
          <cell r="C266" t="str">
            <v>PJU KARANGREJO 1</v>
          </cell>
          <cell r="D266" t="str">
            <v>SENTUL</v>
          </cell>
          <cell r="E266"/>
          <cell r="F266"/>
          <cell r="G266" t="str">
            <v>P3</v>
          </cell>
          <cell r="H266">
            <v>4400</v>
          </cell>
          <cell r="I266" t="str">
            <v>202505</v>
          </cell>
          <cell r="J266" t="str">
            <v>048324</v>
          </cell>
          <cell r="K266">
            <v>702</v>
          </cell>
          <cell r="L266">
            <v>1193070</v>
          </cell>
          <cell r="M266">
            <v>0</v>
          </cell>
          <cell r="N266">
            <v>1193070</v>
          </cell>
          <cell r="O266">
            <v>0</v>
          </cell>
          <cell r="P266">
            <v>0</v>
          </cell>
          <cell r="Q266">
            <v>0</v>
          </cell>
          <cell r="R266">
            <v>1193070</v>
          </cell>
          <cell r="S266">
            <v>0</v>
          </cell>
          <cell r="T266">
            <v>1193070</v>
          </cell>
          <cell r="U266">
            <v>0</v>
          </cell>
          <cell r="V266">
            <v>1193070</v>
          </cell>
          <cell r="W266">
            <v>1193070</v>
          </cell>
          <cell r="X266">
            <v>0</v>
          </cell>
        </row>
        <row r="267">
          <cell r="B267">
            <v>514100844518</v>
          </cell>
          <cell r="C267" t="str">
            <v>PJU BANJAREJO</v>
          </cell>
          <cell r="D267" t="str">
            <v>BANJAREJO</v>
          </cell>
          <cell r="E267"/>
          <cell r="F267"/>
          <cell r="G267" t="str">
            <v>P3</v>
          </cell>
          <cell r="H267">
            <v>3500</v>
          </cell>
          <cell r="I267" t="str">
            <v>202505</v>
          </cell>
          <cell r="J267" t="str">
            <v>048633</v>
          </cell>
          <cell r="K267">
            <v>1237</v>
          </cell>
          <cell r="L267">
            <v>2102319</v>
          </cell>
          <cell r="M267">
            <v>0</v>
          </cell>
          <cell r="N267">
            <v>2102319</v>
          </cell>
          <cell r="O267">
            <v>0</v>
          </cell>
          <cell r="P267">
            <v>0</v>
          </cell>
          <cell r="Q267">
            <v>0</v>
          </cell>
          <cell r="R267">
            <v>2102319</v>
          </cell>
          <cell r="S267">
            <v>0</v>
          </cell>
          <cell r="T267">
            <v>2102319</v>
          </cell>
          <cell r="U267">
            <v>0</v>
          </cell>
          <cell r="V267">
            <v>2102319</v>
          </cell>
          <cell r="W267">
            <v>2102319</v>
          </cell>
          <cell r="X267">
            <v>0</v>
          </cell>
        </row>
        <row r="268">
          <cell r="B268">
            <v>514100844526</v>
          </cell>
          <cell r="C268" t="str">
            <v>PJU DEYENG 4</v>
          </cell>
          <cell r="D268" t="str">
            <v>RINGINREJO</v>
          </cell>
          <cell r="E268"/>
          <cell r="F268"/>
          <cell r="G268" t="str">
            <v>P3</v>
          </cell>
          <cell r="H268">
            <v>7700</v>
          </cell>
          <cell r="I268" t="str">
            <v>202505</v>
          </cell>
          <cell r="J268" t="str">
            <v>048623</v>
          </cell>
          <cell r="K268">
            <v>988</v>
          </cell>
          <cell r="L268">
            <v>1679136</v>
          </cell>
          <cell r="M268">
            <v>0</v>
          </cell>
          <cell r="N268">
            <v>1679136</v>
          </cell>
          <cell r="O268">
            <v>0</v>
          </cell>
          <cell r="P268">
            <v>0</v>
          </cell>
          <cell r="Q268">
            <v>0</v>
          </cell>
          <cell r="R268">
            <v>1679136</v>
          </cell>
          <cell r="S268">
            <v>0</v>
          </cell>
          <cell r="T268">
            <v>1679136</v>
          </cell>
          <cell r="U268">
            <v>0</v>
          </cell>
          <cell r="V268">
            <v>1679136</v>
          </cell>
          <cell r="W268">
            <v>1679136</v>
          </cell>
          <cell r="X268">
            <v>0</v>
          </cell>
        </row>
        <row r="269">
          <cell r="B269">
            <v>514100844534</v>
          </cell>
          <cell r="C269" t="str">
            <v>PJU PURWODADI</v>
          </cell>
          <cell r="D269" t="str">
            <v>BARAN</v>
          </cell>
          <cell r="E269"/>
          <cell r="F269"/>
          <cell r="G269" t="str">
            <v>P3</v>
          </cell>
          <cell r="H269">
            <v>3500</v>
          </cell>
          <cell r="I269" t="str">
            <v>202505</v>
          </cell>
          <cell r="J269" t="str">
            <v>048671</v>
          </cell>
          <cell r="K269">
            <v>1067</v>
          </cell>
          <cell r="L269">
            <v>1813399</v>
          </cell>
          <cell r="M269">
            <v>0</v>
          </cell>
          <cell r="N269">
            <v>1813399</v>
          </cell>
          <cell r="O269">
            <v>0</v>
          </cell>
          <cell r="P269">
            <v>0</v>
          </cell>
          <cell r="Q269">
            <v>0</v>
          </cell>
          <cell r="R269">
            <v>1813399</v>
          </cell>
          <cell r="S269">
            <v>0</v>
          </cell>
          <cell r="T269">
            <v>1813399</v>
          </cell>
          <cell r="U269">
            <v>0</v>
          </cell>
          <cell r="V269">
            <v>1813399</v>
          </cell>
          <cell r="W269">
            <v>1813399</v>
          </cell>
          <cell r="X269">
            <v>0</v>
          </cell>
        </row>
        <row r="270">
          <cell r="B270">
            <v>514100844542</v>
          </cell>
          <cell r="C270" t="str">
            <v>PJU REMBANG</v>
          </cell>
          <cell r="D270" t="str">
            <v>REMBANG</v>
          </cell>
          <cell r="E270"/>
          <cell r="F270"/>
          <cell r="G270" t="str">
            <v>P3</v>
          </cell>
          <cell r="H270">
            <v>3500</v>
          </cell>
          <cell r="I270" t="str">
            <v>202505</v>
          </cell>
          <cell r="J270" t="str">
            <v>048581</v>
          </cell>
          <cell r="K270">
            <v>1462</v>
          </cell>
          <cell r="L270">
            <v>2484713</v>
          </cell>
          <cell r="M270">
            <v>0</v>
          </cell>
          <cell r="N270">
            <v>2484713</v>
          </cell>
          <cell r="O270">
            <v>0</v>
          </cell>
          <cell r="P270">
            <v>0</v>
          </cell>
          <cell r="Q270">
            <v>0</v>
          </cell>
          <cell r="R270">
            <v>2484713</v>
          </cell>
          <cell r="S270">
            <v>0</v>
          </cell>
          <cell r="T270">
            <v>2484713</v>
          </cell>
          <cell r="U270">
            <v>0</v>
          </cell>
          <cell r="V270">
            <v>2484713</v>
          </cell>
          <cell r="W270">
            <v>2484713</v>
          </cell>
          <cell r="X270">
            <v>0</v>
          </cell>
        </row>
        <row r="271">
          <cell r="B271">
            <v>514100844559</v>
          </cell>
          <cell r="C271" t="str">
            <v>PJU JATEN</v>
          </cell>
          <cell r="D271" t="str">
            <v>JATEN BLABAK</v>
          </cell>
          <cell r="E271"/>
          <cell r="F271"/>
          <cell r="G271" t="str">
            <v>P3</v>
          </cell>
          <cell r="H271">
            <v>5500</v>
          </cell>
          <cell r="I271" t="str">
            <v>202505</v>
          </cell>
          <cell r="J271" t="str">
            <v>048279</v>
          </cell>
          <cell r="K271">
            <v>1639</v>
          </cell>
          <cell r="L271">
            <v>2785530</v>
          </cell>
          <cell r="M271">
            <v>0</v>
          </cell>
          <cell r="N271">
            <v>2785530</v>
          </cell>
          <cell r="O271">
            <v>0</v>
          </cell>
          <cell r="P271">
            <v>0</v>
          </cell>
          <cell r="Q271">
            <v>0</v>
          </cell>
          <cell r="R271">
            <v>2785530</v>
          </cell>
          <cell r="S271">
            <v>0</v>
          </cell>
          <cell r="T271">
            <v>2785530</v>
          </cell>
          <cell r="U271">
            <v>0</v>
          </cell>
          <cell r="V271">
            <v>2785530</v>
          </cell>
          <cell r="W271">
            <v>2785530</v>
          </cell>
          <cell r="X271">
            <v>0</v>
          </cell>
        </row>
        <row r="272">
          <cell r="B272">
            <v>514100844567</v>
          </cell>
          <cell r="C272" t="str">
            <v>PJU REMBANG 1</v>
          </cell>
          <cell r="D272" t="str">
            <v>REMBANG</v>
          </cell>
          <cell r="E272"/>
          <cell r="F272"/>
          <cell r="G272" t="str">
            <v>P3</v>
          </cell>
          <cell r="H272">
            <v>3500</v>
          </cell>
          <cell r="I272" t="str">
            <v>202505</v>
          </cell>
          <cell r="J272" t="str">
            <v>048506</v>
          </cell>
          <cell r="K272">
            <v>1213</v>
          </cell>
          <cell r="L272">
            <v>2061530</v>
          </cell>
          <cell r="M272">
            <v>0</v>
          </cell>
          <cell r="N272">
            <v>2061530</v>
          </cell>
          <cell r="O272">
            <v>0</v>
          </cell>
          <cell r="P272">
            <v>0</v>
          </cell>
          <cell r="Q272">
            <v>0</v>
          </cell>
          <cell r="R272">
            <v>2061530</v>
          </cell>
          <cell r="S272">
            <v>0</v>
          </cell>
          <cell r="T272">
            <v>2061530</v>
          </cell>
          <cell r="U272">
            <v>0</v>
          </cell>
          <cell r="V272">
            <v>2061530</v>
          </cell>
          <cell r="W272">
            <v>2061530</v>
          </cell>
          <cell r="X272">
            <v>0</v>
          </cell>
        </row>
        <row r="273">
          <cell r="B273">
            <v>514100844575</v>
          </cell>
          <cell r="C273" t="str">
            <v>PJU BRANGGAHAN 4</v>
          </cell>
          <cell r="D273" t="str">
            <v>BRANGGAHAN</v>
          </cell>
          <cell r="E273"/>
          <cell r="F273"/>
          <cell r="G273" t="str">
            <v>P3</v>
          </cell>
          <cell r="H273">
            <v>3500</v>
          </cell>
          <cell r="I273" t="str">
            <v>202505</v>
          </cell>
          <cell r="J273" t="str">
            <v>048332</v>
          </cell>
          <cell r="K273">
            <v>517</v>
          </cell>
          <cell r="L273">
            <v>878657</v>
          </cell>
          <cell r="M273">
            <v>0</v>
          </cell>
          <cell r="N273">
            <v>878657</v>
          </cell>
          <cell r="O273">
            <v>0</v>
          </cell>
          <cell r="P273">
            <v>0</v>
          </cell>
          <cell r="Q273">
            <v>0</v>
          </cell>
          <cell r="R273">
            <v>878657</v>
          </cell>
          <cell r="S273">
            <v>0</v>
          </cell>
          <cell r="T273">
            <v>878657</v>
          </cell>
          <cell r="U273">
            <v>0</v>
          </cell>
          <cell r="V273">
            <v>878657</v>
          </cell>
          <cell r="W273">
            <v>878657</v>
          </cell>
          <cell r="X273">
            <v>0</v>
          </cell>
        </row>
        <row r="274">
          <cell r="B274">
            <v>514100844583</v>
          </cell>
          <cell r="C274" t="str">
            <v>PJU REMBANG KEPUH</v>
          </cell>
          <cell r="D274" t="str">
            <v>REMBANG</v>
          </cell>
          <cell r="E274"/>
          <cell r="F274"/>
          <cell r="G274" t="str">
            <v>P3</v>
          </cell>
          <cell r="H274">
            <v>3500</v>
          </cell>
          <cell r="I274" t="str">
            <v>202505</v>
          </cell>
          <cell r="J274" t="str">
            <v>048629</v>
          </cell>
          <cell r="K274">
            <v>927</v>
          </cell>
          <cell r="L274">
            <v>1575464</v>
          </cell>
          <cell r="M274">
            <v>0</v>
          </cell>
          <cell r="N274">
            <v>1575464</v>
          </cell>
          <cell r="O274">
            <v>0</v>
          </cell>
          <cell r="P274">
            <v>0</v>
          </cell>
          <cell r="Q274">
            <v>0</v>
          </cell>
          <cell r="R274">
            <v>1575464</v>
          </cell>
          <cell r="S274">
            <v>0</v>
          </cell>
          <cell r="T274">
            <v>1575464</v>
          </cell>
          <cell r="U274">
            <v>0</v>
          </cell>
          <cell r="V274">
            <v>1575464</v>
          </cell>
          <cell r="W274">
            <v>1575464</v>
          </cell>
          <cell r="X274">
            <v>0</v>
          </cell>
        </row>
        <row r="275">
          <cell r="B275">
            <v>514100844591</v>
          </cell>
          <cell r="C275" t="str">
            <v>PJU DAWUNG 6</v>
          </cell>
          <cell r="D275" t="str">
            <v>BEDUG</v>
          </cell>
          <cell r="E275"/>
          <cell r="F275"/>
          <cell r="G275" t="str">
            <v>P3</v>
          </cell>
          <cell r="H275">
            <v>3500</v>
          </cell>
          <cell r="I275" t="str">
            <v>202505</v>
          </cell>
          <cell r="J275" t="str">
            <v>048795</v>
          </cell>
          <cell r="K275">
            <v>437</v>
          </cell>
          <cell r="L275">
            <v>742695</v>
          </cell>
          <cell r="M275">
            <v>0</v>
          </cell>
          <cell r="N275">
            <v>742695</v>
          </cell>
          <cell r="O275">
            <v>0</v>
          </cell>
          <cell r="P275">
            <v>0</v>
          </cell>
          <cell r="Q275">
            <v>0</v>
          </cell>
          <cell r="R275">
            <v>742695</v>
          </cell>
          <cell r="S275">
            <v>0</v>
          </cell>
          <cell r="T275">
            <v>742695</v>
          </cell>
          <cell r="U275">
            <v>0</v>
          </cell>
          <cell r="V275">
            <v>742695</v>
          </cell>
          <cell r="W275">
            <v>742695</v>
          </cell>
          <cell r="X275">
            <v>0</v>
          </cell>
        </row>
        <row r="276">
          <cell r="B276">
            <v>514100844604</v>
          </cell>
          <cell r="C276" t="str">
            <v>PJU TAWANGREJO</v>
          </cell>
          <cell r="D276" t="str">
            <v>TAWANGREJO</v>
          </cell>
          <cell r="E276"/>
          <cell r="F276"/>
          <cell r="G276" t="str">
            <v>P3</v>
          </cell>
          <cell r="H276">
            <v>3500</v>
          </cell>
          <cell r="I276" t="str">
            <v>202505</v>
          </cell>
          <cell r="J276" t="str">
            <v>048379</v>
          </cell>
          <cell r="K276">
            <v>737</v>
          </cell>
          <cell r="L276">
            <v>1252554</v>
          </cell>
          <cell r="M276">
            <v>0</v>
          </cell>
          <cell r="N276">
            <v>1252554</v>
          </cell>
          <cell r="O276">
            <v>0</v>
          </cell>
          <cell r="P276">
            <v>0</v>
          </cell>
          <cell r="Q276">
            <v>0</v>
          </cell>
          <cell r="R276">
            <v>1252554</v>
          </cell>
          <cell r="S276">
            <v>0</v>
          </cell>
          <cell r="T276">
            <v>1252554</v>
          </cell>
          <cell r="U276">
            <v>0</v>
          </cell>
          <cell r="V276">
            <v>1252554</v>
          </cell>
          <cell r="W276">
            <v>1252554</v>
          </cell>
          <cell r="X276">
            <v>0</v>
          </cell>
        </row>
        <row r="277">
          <cell r="B277">
            <v>514100844612</v>
          </cell>
          <cell r="C277" t="str">
            <v>PJU NAMBAAN</v>
          </cell>
          <cell r="D277" t="str">
            <v>NAMBAAN</v>
          </cell>
          <cell r="E277"/>
          <cell r="F277"/>
          <cell r="G277" t="str">
            <v>P3</v>
          </cell>
          <cell r="H277">
            <v>3500</v>
          </cell>
          <cell r="I277" t="str">
            <v>202505</v>
          </cell>
          <cell r="J277" t="str">
            <v>048566</v>
          </cell>
          <cell r="K277">
            <v>1009</v>
          </cell>
          <cell r="L277">
            <v>1714826</v>
          </cell>
          <cell r="M277">
            <v>0</v>
          </cell>
          <cell r="N277">
            <v>1714826</v>
          </cell>
          <cell r="O277">
            <v>0</v>
          </cell>
          <cell r="P277">
            <v>0</v>
          </cell>
          <cell r="Q277">
            <v>0</v>
          </cell>
          <cell r="R277">
            <v>1714826</v>
          </cell>
          <cell r="S277">
            <v>0</v>
          </cell>
          <cell r="T277">
            <v>1714826</v>
          </cell>
          <cell r="U277">
            <v>0</v>
          </cell>
          <cell r="V277">
            <v>1714826</v>
          </cell>
          <cell r="W277">
            <v>1714826</v>
          </cell>
          <cell r="X277">
            <v>0</v>
          </cell>
        </row>
        <row r="278">
          <cell r="B278">
            <v>514100844620</v>
          </cell>
          <cell r="C278" t="str">
            <v>PJU SELODONO</v>
          </cell>
          <cell r="D278" t="str">
            <v>NGAMPEL</v>
          </cell>
          <cell r="E278"/>
          <cell r="F278"/>
          <cell r="G278" t="str">
            <v>P3</v>
          </cell>
          <cell r="H278">
            <v>5500</v>
          </cell>
          <cell r="I278" t="str">
            <v>202505</v>
          </cell>
          <cell r="J278" t="str">
            <v>048444</v>
          </cell>
          <cell r="K278">
            <v>1365</v>
          </cell>
          <cell r="L278">
            <v>2319858</v>
          </cell>
          <cell r="M278">
            <v>0</v>
          </cell>
          <cell r="N278">
            <v>2319858</v>
          </cell>
          <cell r="O278">
            <v>0</v>
          </cell>
          <cell r="P278">
            <v>0</v>
          </cell>
          <cell r="Q278">
            <v>0</v>
          </cell>
          <cell r="R278">
            <v>2319858</v>
          </cell>
          <cell r="S278">
            <v>0</v>
          </cell>
          <cell r="T278">
            <v>2319858</v>
          </cell>
          <cell r="U278">
            <v>0</v>
          </cell>
          <cell r="V278">
            <v>2319858</v>
          </cell>
          <cell r="W278">
            <v>2319858</v>
          </cell>
          <cell r="X278">
            <v>0</v>
          </cell>
        </row>
        <row r="279">
          <cell r="B279">
            <v>514100844638</v>
          </cell>
          <cell r="C279" t="str">
            <v>PJU BRANGGAHAN 3</v>
          </cell>
          <cell r="D279" t="str">
            <v>BRANGGAHAN</v>
          </cell>
          <cell r="E279"/>
          <cell r="F279"/>
          <cell r="G279" t="str">
            <v>P3</v>
          </cell>
          <cell r="H279">
            <v>3500</v>
          </cell>
          <cell r="I279" t="str">
            <v>202505</v>
          </cell>
          <cell r="J279" t="str">
            <v>048733</v>
          </cell>
          <cell r="K279">
            <v>996</v>
          </cell>
          <cell r="L279">
            <v>1692732</v>
          </cell>
          <cell r="M279">
            <v>0</v>
          </cell>
          <cell r="N279">
            <v>1692732</v>
          </cell>
          <cell r="O279">
            <v>0</v>
          </cell>
          <cell r="P279">
            <v>0</v>
          </cell>
          <cell r="Q279">
            <v>0</v>
          </cell>
          <cell r="R279">
            <v>1692732</v>
          </cell>
          <cell r="S279">
            <v>0</v>
          </cell>
          <cell r="T279">
            <v>1692732</v>
          </cell>
          <cell r="U279">
            <v>0</v>
          </cell>
          <cell r="V279">
            <v>1692732</v>
          </cell>
          <cell r="W279">
            <v>1692732</v>
          </cell>
          <cell r="X279">
            <v>0</v>
          </cell>
        </row>
        <row r="280">
          <cell r="B280">
            <v>514100844646</v>
          </cell>
          <cell r="C280" t="str">
            <v>PJU DEYENG 8</v>
          </cell>
          <cell r="D280" t="str">
            <v>DEYENG RINGINREJO</v>
          </cell>
          <cell r="E280"/>
          <cell r="F280"/>
          <cell r="G280" t="str">
            <v>P3</v>
          </cell>
          <cell r="H280">
            <v>3500</v>
          </cell>
          <cell r="I280" t="str">
            <v>202505</v>
          </cell>
          <cell r="J280" t="str">
            <v>048643</v>
          </cell>
          <cell r="K280">
            <v>966</v>
          </cell>
          <cell r="L280">
            <v>1641746</v>
          </cell>
          <cell r="M280">
            <v>0</v>
          </cell>
          <cell r="N280">
            <v>1641746</v>
          </cell>
          <cell r="O280">
            <v>0</v>
          </cell>
          <cell r="P280">
            <v>0</v>
          </cell>
          <cell r="Q280">
            <v>0</v>
          </cell>
          <cell r="R280">
            <v>1641746</v>
          </cell>
          <cell r="S280">
            <v>0</v>
          </cell>
          <cell r="T280">
            <v>1641746</v>
          </cell>
          <cell r="U280">
            <v>0</v>
          </cell>
          <cell r="V280">
            <v>1641746</v>
          </cell>
          <cell r="W280">
            <v>1641746</v>
          </cell>
          <cell r="X280">
            <v>0</v>
          </cell>
        </row>
        <row r="281">
          <cell r="B281">
            <v>514100844653</v>
          </cell>
          <cell r="C281" t="str">
            <v>PJU KARANGREJO 4</v>
          </cell>
          <cell r="D281" t="str">
            <v>KARANGREJO KANDAT</v>
          </cell>
          <cell r="E281"/>
          <cell r="F281"/>
          <cell r="G281" t="str">
            <v>P3</v>
          </cell>
          <cell r="H281">
            <v>5500</v>
          </cell>
          <cell r="I281" t="str">
            <v>202505</v>
          </cell>
          <cell r="J281" t="str">
            <v>048357</v>
          </cell>
          <cell r="K281">
            <v>1527</v>
          </cell>
          <cell r="L281">
            <v>2595182</v>
          </cell>
          <cell r="M281">
            <v>0</v>
          </cell>
          <cell r="N281">
            <v>2595182</v>
          </cell>
          <cell r="O281">
            <v>0</v>
          </cell>
          <cell r="P281">
            <v>0</v>
          </cell>
          <cell r="Q281">
            <v>0</v>
          </cell>
          <cell r="R281">
            <v>2595182</v>
          </cell>
          <cell r="S281">
            <v>0</v>
          </cell>
          <cell r="T281">
            <v>2595182</v>
          </cell>
          <cell r="U281">
            <v>0</v>
          </cell>
          <cell r="V281">
            <v>2595182</v>
          </cell>
          <cell r="W281">
            <v>2595182</v>
          </cell>
          <cell r="X281">
            <v>0</v>
          </cell>
        </row>
        <row r="282">
          <cell r="B282">
            <v>514100844661</v>
          </cell>
          <cell r="C282" t="str">
            <v>PJU NGADILUWIH SELATAN</v>
          </cell>
          <cell r="D282" t="str">
            <v>NGADILUWIH SELATAN</v>
          </cell>
          <cell r="E282"/>
          <cell r="F282"/>
          <cell r="G282" t="str">
            <v>P3</v>
          </cell>
          <cell r="H282">
            <v>3500</v>
          </cell>
          <cell r="I282" t="str">
            <v>202505</v>
          </cell>
          <cell r="J282" t="str">
            <v>048315</v>
          </cell>
          <cell r="K282">
            <v>1123</v>
          </cell>
          <cell r="L282">
            <v>1908572</v>
          </cell>
          <cell r="M282">
            <v>0</v>
          </cell>
          <cell r="N282">
            <v>1908572</v>
          </cell>
          <cell r="O282">
            <v>0</v>
          </cell>
          <cell r="P282">
            <v>0</v>
          </cell>
          <cell r="Q282">
            <v>0</v>
          </cell>
          <cell r="R282">
            <v>1908572</v>
          </cell>
          <cell r="S282">
            <v>0</v>
          </cell>
          <cell r="T282">
            <v>1908572</v>
          </cell>
          <cell r="U282">
            <v>0</v>
          </cell>
          <cell r="V282">
            <v>1908572</v>
          </cell>
          <cell r="W282">
            <v>1908572</v>
          </cell>
          <cell r="X282">
            <v>0</v>
          </cell>
        </row>
        <row r="283">
          <cell r="B283">
            <v>514100844679</v>
          </cell>
          <cell r="C283" t="str">
            <v>PJU SLUMBUNG 1</v>
          </cell>
          <cell r="D283" t="str">
            <v>SLUMBUNG</v>
          </cell>
          <cell r="E283"/>
          <cell r="F283"/>
          <cell r="G283" t="str">
            <v>P3</v>
          </cell>
          <cell r="H283">
            <v>3500</v>
          </cell>
          <cell r="I283" t="str">
            <v>202505</v>
          </cell>
          <cell r="J283" t="str">
            <v>048590</v>
          </cell>
          <cell r="K283">
            <v>1378</v>
          </cell>
          <cell r="L283">
            <v>2341952</v>
          </cell>
          <cell r="M283">
            <v>0</v>
          </cell>
          <cell r="N283">
            <v>2341952</v>
          </cell>
          <cell r="O283">
            <v>0</v>
          </cell>
          <cell r="P283">
            <v>0</v>
          </cell>
          <cell r="Q283">
            <v>0</v>
          </cell>
          <cell r="R283">
            <v>2341952</v>
          </cell>
          <cell r="S283">
            <v>0</v>
          </cell>
          <cell r="T283">
            <v>2341952</v>
          </cell>
          <cell r="U283">
            <v>0</v>
          </cell>
          <cell r="V283">
            <v>2341952</v>
          </cell>
          <cell r="W283">
            <v>2341952</v>
          </cell>
          <cell r="X283">
            <v>0</v>
          </cell>
        </row>
        <row r="284">
          <cell r="B284">
            <v>514100844687</v>
          </cell>
          <cell r="C284" t="str">
            <v>PJU SAMBI 1</v>
          </cell>
          <cell r="D284" t="str">
            <v>BALONG</v>
          </cell>
          <cell r="E284"/>
          <cell r="F284"/>
          <cell r="G284" t="str">
            <v>P3</v>
          </cell>
          <cell r="H284">
            <v>7700</v>
          </cell>
          <cell r="I284" t="str">
            <v>202505</v>
          </cell>
          <cell r="J284" t="str">
            <v>048572</v>
          </cell>
          <cell r="K284">
            <v>2033</v>
          </cell>
          <cell r="L284">
            <v>3455144</v>
          </cell>
          <cell r="M284">
            <v>0</v>
          </cell>
          <cell r="N284">
            <v>3455144</v>
          </cell>
          <cell r="O284">
            <v>0</v>
          </cell>
          <cell r="P284">
            <v>0</v>
          </cell>
          <cell r="Q284">
            <v>0</v>
          </cell>
          <cell r="R284">
            <v>3455144</v>
          </cell>
          <cell r="S284">
            <v>0</v>
          </cell>
          <cell r="T284">
            <v>3455144</v>
          </cell>
          <cell r="U284">
            <v>0</v>
          </cell>
          <cell r="V284">
            <v>3455144</v>
          </cell>
          <cell r="W284">
            <v>3455144</v>
          </cell>
          <cell r="X284">
            <v>0</v>
          </cell>
        </row>
        <row r="285">
          <cell r="B285">
            <v>514100844695</v>
          </cell>
          <cell r="C285" t="str">
            <v>PJU NGLUNGUR</v>
          </cell>
          <cell r="D285" t="str">
            <v>NGLUNGUR</v>
          </cell>
          <cell r="E285"/>
          <cell r="F285"/>
          <cell r="G285" t="str">
            <v>P3</v>
          </cell>
          <cell r="H285">
            <v>3500</v>
          </cell>
          <cell r="I285" t="str">
            <v>202505</v>
          </cell>
          <cell r="J285" t="str">
            <v>048455</v>
          </cell>
          <cell r="K285">
            <v>1309</v>
          </cell>
          <cell r="L285">
            <v>2224685</v>
          </cell>
          <cell r="M285">
            <v>0</v>
          </cell>
          <cell r="N285">
            <v>2224685</v>
          </cell>
          <cell r="O285">
            <v>0</v>
          </cell>
          <cell r="P285">
            <v>0</v>
          </cell>
          <cell r="Q285">
            <v>0</v>
          </cell>
          <cell r="R285">
            <v>2224685</v>
          </cell>
          <cell r="S285">
            <v>0</v>
          </cell>
          <cell r="T285">
            <v>2224685</v>
          </cell>
          <cell r="U285">
            <v>0</v>
          </cell>
          <cell r="V285">
            <v>2224685</v>
          </cell>
          <cell r="W285">
            <v>2224685</v>
          </cell>
          <cell r="X285">
            <v>0</v>
          </cell>
        </row>
        <row r="286">
          <cell r="B286">
            <v>514100844709</v>
          </cell>
          <cell r="C286" t="str">
            <v>PJU DEYENG 2</v>
          </cell>
          <cell r="D286" t="str">
            <v>TAMRIN DEYENG</v>
          </cell>
          <cell r="E286"/>
          <cell r="F286"/>
          <cell r="G286" t="str">
            <v>P3</v>
          </cell>
          <cell r="H286">
            <v>3500</v>
          </cell>
          <cell r="I286" t="str">
            <v>202505</v>
          </cell>
          <cell r="J286" t="str">
            <v>048466</v>
          </cell>
          <cell r="K286">
            <v>1656</v>
          </cell>
          <cell r="L286">
            <v>2814422</v>
          </cell>
          <cell r="M286">
            <v>0</v>
          </cell>
          <cell r="N286">
            <v>2814422</v>
          </cell>
          <cell r="O286">
            <v>0</v>
          </cell>
          <cell r="P286">
            <v>0</v>
          </cell>
          <cell r="Q286">
            <v>0</v>
          </cell>
          <cell r="R286">
            <v>2814422</v>
          </cell>
          <cell r="S286">
            <v>0</v>
          </cell>
          <cell r="T286">
            <v>2814422</v>
          </cell>
          <cell r="U286">
            <v>0</v>
          </cell>
          <cell r="V286">
            <v>2814422</v>
          </cell>
          <cell r="W286">
            <v>2814422</v>
          </cell>
          <cell r="X286">
            <v>0</v>
          </cell>
        </row>
        <row r="287">
          <cell r="B287">
            <v>514100844717</v>
          </cell>
          <cell r="C287" t="str">
            <v>PJU CENDONO 2</v>
          </cell>
          <cell r="D287" t="str">
            <v>CENDONOSARI</v>
          </cell>
          <cell r="E287"/>
          <cell r="F287"/>
          <cell r="G287" t="str">
            <v>P3</v>
          </cell>
          <cell r="H287">
            <v>3500</v>
          </cell>
          <cell r="I287" t="str">
            <v>202505</v>
          </cell>
          <cell r="J287" t="str">
            <v>048800</v>
          </cell>
          <cell r="K287">
            <v>1037</v>
          </cell>
          <cell r="L287">
            <v>1762413</v>
          </cell>
          <cell r="M287">
            <v>0</v>
          </cell>
          <cell r="N287">
            <v>1762413</v>
          </cell>
          <cell r="O287">
            <v>0</v>
          </cell>
          <cell r="P287">
            <v>0</v>
          </cell>
          <cell r="Q287">
            <v>0</v>
          </cell>
          <cell r="R287">
            <v>1762413</v>
          </cell>
          <cell r="S287">
            <v>0</v>
          </cell>
          <cell r="T287">
            <v>1762413</v>
          </cell>
          <cell r="U287">
            <v>0</v>
          </cell>
          <cell r="V287">
            <v>1762413</v>
          </cell>
          <cell r="W287">
            <v>1762413</v>
          </cell>
          <cell r="X287">
            <v>0</v>
          </cell>
        </row>
        <row r="288">
          <cell r="B288">
            <v>514100844725</v>
          </cell>
          <cell r="C288" t="str">
            <v>PJU KANDAT</v>
          </cell>
          <cell r="D288" t="str">
            <v>NGLARANGAN</v>
          </cell>
          <cell r="E288"/>
          <cell r="F288"/>
          <cell r="G288" t="str">
            <v>P3</v>
          </cell>
          <cell r="H288">
            <v>7700</v>
          </cell>
          <cell r="I288" t="str">
            <v>202505</v>
          </cell>
          <cell r="J288" t="str">
            <v>048561</v>
          </cell>
          <cell r="K288">
            <v>2512</v>
          </cell>
          <cell r="L288">
            <v>4269219</v>
          </cell>
          <cell r="M288">
            <v>0</v>
          </cell>
          <cell r="N288">
            <v>4269219</v>
          </cell>
          <cell r="O288">
            <v>0</v>
          </cell>
          <cell r="P288">
            <v>0</v>
          </cell>
          <cell r="Q288">
            <v>0</v>
          </cell>
          <cell r="R288">
            <v>4269219</v>
          </cell>
          <cell r="S288">
            <v>0</v>
          </cell>
          <cell r="T288">
            <v>4269219</v>
          </cell>
          <cell r="U288">
            <v>0</v>
          </cell>
          <cell r="V288">
            <v>4269219</v>
          </cell>
          <cell r="W288">
            <v>4269219</v>
          </cell>
          <cell r="X288">
            <v>0</v>
          </cell>
        </row>
        <row r="289">
          <cell r="B289">
            <v>514100844733</v>
          </cell>
          <cell r="C289" t="str">
            <v>PJU DUKUH SELATAN</v>
          </cell>
          <cell r="D289" t="str">
            <v>DUKUH SELATAN</v>
          </cell>
          <cell r="E289"/>
          <cell r="F289"/>
          <cell r="G289" t="str">
            <v>P3</v>
          </cell>
          <cell r="H289">
            <v>3500</v>
          </cell>
          <cell r="I289" t="str">
            <v>202505</v>
          </cell>
          <cell r="J289" t="str">
            <v>048750</v>
          </cell>
          <cell r="K289">
            <v>1616</v>
          </cell>
          <cell r="L289">
            <v>2746440</v>
          </cell>
          <cell r="M289">
            <v>0</v>
          </cell>
          <cell r="N289">
            <v>2746440</v>
          </cell>
          <cell r="O289">
            <v>0</v>
          </cell>
          <cell r="P289">
            <v>0</v>
          </cell>
          <cell r="Q289">
            <v>0</v>
          </cell>
          <cell r="R289">
            <v>2746440</v>
          </cell>
          <cell r="S289">
            <v>0</v>
          </cell>
          <cell r="T289">
            <v>2746440</v>
          </cell>
          <cell r="U289">
            <v>0</v>
          </cell>
          <cell r="V289">
            <v>2746440</v>
          </cell>
          <cell r="W289">
            <v>2746440</v>
          </cell>
          <cell r="X289">
            <v>0</v>
          </cell>
        </row>
        <row r="290">
          <cell r="B290">
            <v>514100844741</v>
          </cell>
          <cell r="C290" t="str">
            <v>PJU BEDUG TIMUR</v>
          </cell>
          <cell r="D290" t="str">
            <v>BEDUG</v>
          </cell>
          <cell r="E290"/>
          <cell r="F290"/>
          <cell r="G290" t="str">
            <v>P3</v>
          </cell>
          <cell r="H290">
            <v>3500</v>
          </cell>
          <cell r="I290" t="str">
            <v>202505</v>
          </cell>
          <cell r="J290" t="str">
            <v>048607</v>
          </cell>
          <cell r="K290">
            <v>720</v>
          </cell>
          <cell r="L290">
            <v>1223662</v>
          </cell>
          <cell r="M290">
            <v>0</v>
          </cell>
          <cell r="N290">
            <v>1223662</v>
          </cell>
          <cell r="O290">
            <v>0</v>
          </cell>
          <cell r="P290">
            <v>0</v>
          </cell>
          <cell r="Q290">
            <v>0</v>
          </cell>
          <cell r="R290">
            <v>1223662</v>
          </cell>
          <cell r="S290">
            <v>0</v>
          </cell>
          <cell r="T290">
            <v>1223662</v>
          </cell>
          <cell r="U290">
            <v>0</v>
          </cell>
          <cell r="V290">
            <v>1223662</v>
          </cell>
          <cell r="W290">
            <v>1223662</v>
          </cell>
          <cell r="X290">
            <v>0</v>
          </cell>
        </row>
        <row r="291">
          <cell r="B291">
            <v>514100844758</v>
          </cell>
          <cell r="C291" t="str">
            <v>PJU DUKUH</v>
          </cell>
          <cell r="D291" t="str">
            <v>DUKUH</v>
          </cell>
          <cell r="E291"/>
          <cell r="F291"/>
          <cell r="G291" t="str">
            <v>P3</v>
          </cell>
          <cell r="H291">
            <v>3500</v>
          </cell>
          <cell r="I291" t="str">
            <v>202505</v>
          </cell>
          <cell r="J291" t="str">
            <v>048663</v>
          </cell>
          <cell r="K291">
            <v>1722</v>
          </cell>
          <cell r="L291">
            <v>2926591</v>
          </cell>
          <cell r="M291">
            <v>0</v>
          </cell>
          <cell r="N291">
            <v>2926591</v>
          </cell>
          <cell r="O291">
            <v>0</v>
          </cell>
          <cell r="P291">
            <v>0</v>
          </cell>
          <cell r="Q291">
            <v>0</v>
          </cell>
          <cell r="R291">
            <v>2926591</v>
          </cell>
          <cell r="S291">
            <v>0</v>
          </cell>
          <cell r="T291">
            <v>2926591</v>
          </cell>
          <cell r="U291">
            <v>0</v>
          </cell>
          <cell r="V291">
            <v>2926591</v>
          </cell>
          <cell r="W291">
            <v>2926591</v>
          </cell>
          <cell r="X291">
            <v>0</v>
          </cell>
        </row>
        <row r="292">
          <cell r="B292">
            <v>514100844766</v>
          </cell>
          <cell r="C292" t="str">
            <v>PJU NGADILUWIH SELATAN</v>
          </cell>
          <cell r="D292" t="str">
            <v>NGADILUWIH</v>
          </cell>
          <cell r="E292"/>
          <cell r="F292"/>
          <cell r="G292" t="str">
            <v>P3</v>
          </cell>
          <cell r="H292">
            <v>3500</v>
          </cell>
          <cell r="I292" t="str">
            <v>202505</v>
          </cell>
          <cell r="J292" t="str">
            <v>048340</v>
          </cell>
          <cell r="K292">
            <v>1476</v>
          </cell>
          <cell r="L292">
            <v>2508506</v>
          </cell>
          <cell r="M292">
            <v>0</v>
          </cell>
          <cell r="N292">
            <v>2508506</v>
          </cell>
          <cell r="O292">
            <v>0</v>
          </cell>
          <cell r="P292">
            <v>0</v>
          </cell>
          <cell r="Q292">
            <v>0</v>
          </cell>
          <cell r="R292">
            <v>2508506</v>
          </cell>
          <cell r="S292">
            <v>0</v>
          </cell>
          <cell r="T292">
            <v>2508506</v>
          </cell>
          <cell r="U292">
            <v>0</v>
          </cell>
          <cell r="V292">
            <v>2508506</v>
          </cell>
          <cell r="W292">
            <v>2508506</v>
          </cell>
          <cell r="X292">
            <v>0</v>
          </cell>
        </row>
        <row r="293">
          <cell r="B293">
            <v>514100844774</v>
          </cell>
          <cell r="C293" t="str">
            <v>PJU SAMBI 2</v>
          </cell>
          <cell r="D293" t="str">
            <v>SAMBI RGN.REJO</v>
          </cell>
          <cell r="E293"/>
          <cell r="F293"/>
          <cell r="G293" t="str">
            <v>P3</v>
          </cell>
          <cell r="H293">
            <v>5500</v>
          </cell>
          <cell r="I293" t="str">
            <v>202505</v>
          </cell>
          <cell r="J293" t="str">
            <v>048801</v>
          </cell>
          <cell r="K293">
            <v>1082</v>
          </cell>
          <cell r="L293">
            <v>1838891</v>
          </cell>
          <cell r="M293">
            <v>0</v>
          </cell>
          <cell r="N293">
            <v>1838891</v>
          </cell>
          <cell r="O293">
            <v>0</v>
          </cell>
          <cell r="P293">
            <v>0</v>
          </cell>
          <cell r="Q293">
            <v>0</v>
          </cell>
          <cell r="R293">
            <v>1838891</v>
          </cell>
          <cell r="S293">
            <v>0</v>
          </cell>
          <cell r="T293">
            <v>1838891</v>
          </cell>
          <cell r="U293">
            <v>0</v>
          </cell>
          <cell r="V293">
            <v>1838891</v>
          </cell>
          <cell r="W293">
            <v>1838891</v>
          </cell>
          <cell r="X293">
            <v>0</v>
          </cell>
        </row>
        <row r="294">
          <cell r="B294">
            <v>514100844782</v>
          </cell>
          <cell r="C294" t="str">
            <v>PJU BLABAK</v>
          </cell>
          <cell r="D294" t="str">
            <v>BLABAK</v>
          </cell>
          <cell r="E294"/>
          <cell r="F294"/>
          <cell r="G294" t="str">
            <v>P3</v>
          </cell>
          <cell r="H294">
            <v>5500</v>
          </cell>
          <cell r="I294" t="str">
            <v>202505</v>
          </cell>
          <cell r="J294" t="str">
            <v>048512</v>
          </cell>
          <cell r="K294">
            <v>969</v>
          </cell>
          <cell r="L294">
            <v>1646845</v>
          </cell>
          <cell r="M294">
            <v>0</v>
          </cell>
          <cell r="N294">
            <v>1646845</v>
          </cell>
          <cell r="O294">
            <v>0</v>
          </cell>
          <cell r="P294">
            <v>0</v>
          </cell>
          <cell r="Q294">
            <v>0</v>
          </cell>
          <cell r="R294">
            <v>1646845</v>
          </cell>
          <cell r="S294">
            <v>0</v>
          </cell>
          <cell r="T294">
            <v>1646845</v>
          </cell>
          <cell r="U294">
            <v>0</v>
          </cell>
          <cell r="V294">
            <v>1646845</v>
          </cell>
          <cell r="W294">
            <v>1646845</v>
          </cell>
          <cell r="X294">
            <v>0</v>
          </cell>
        </row>
        <row r="295">
          <cell r="B295">
            <v>514100844790</v>
          </cell>
          <cell r="C295" t="str">
            <v>PJU PULE</v>
          </cell>
          <cell r="D295" t="str">
            <v>PULE</v>
          </cell>
          <cell r="E295"/>
          <cell r="F295"/>
          <cell r="G295" t="str">
            <v>P3</v>
          </cell>
          <cell r="H295">
            <v>5500</v>
          </cell>
          <cell r="I295" t="str">
            <v>202505</v>
          </cell>
          <cell r="J295" t="str">
            <v>048285</v>
          </cell>
          <cell r="K295">
            <v>2050</v>
          </cell>
          <cell r="L295">
            <v>3484037</v>
          </cell>
          <cell r="M295">
            <v>0</v>
          </cell>
          <cell r="N295">
            <v>3484037</v>
          </cell>
          <cell r="O295">
            <v>0</v>
          </cell>
          <cell r="P295">
            <v>0</v>
          </cell>
          <cell r="Q295">
            <v>0</v>
          </cell>
          <cell r="R295">
            <v>3484037</v>
          </cell>
          <cell r="S295">
            <v>0</v>
          </cell>
          <cell r="T295">
            <v>3484037</v>
          </cell>
          <cell r="U295">
            <v>0</v>
          </cell>
          <cell r="V295">
            <v>3484037</v>
          </cell>
          <cell r="W295">
            <v>3484037</v>
          </cell>
          <cell r="X295">
            <v>0</v>
          </cell>
        </row>
        <row r="296">
          <cell r="B296">
            <v>514100844803</v>
          </cell>
          <cell r="C296" t="str">
            <v>PJU NAMBAAN 1</v>
          </cell>
          <cell r="D296" t="str">
            <v>NAMBAAN RG.REJO</v>
          </cell>
          <cell r="E296"/>
          <cell r="F296"/>
          <cell r="G296" t="str">
            <v>P3</v>
          </cell>
          <cell r="H296">
            <v>7700</v>
          </cell>
          <cell r="I296" t="str">
            <v>202505</v>
          </cell>
          <cell r="J296" t="str">
            <v>048523</v>
          </cell>
          <cell r="K296">
            <v>2172</v>
          </cell>
          <cell r="L296">
            <v>3691379</v>
          </cell>
          <cell r="M296">
            <v>0</v>
          </cell>
          <cell r="N296">
            <v>3691379</v>
          </cell>
          <cell r="O296">
            <v>0</v>
          </cell>
          <cell r="P296">
            <v>0</v>
          </cell>
          <cell r="Q296">
            <v>0</v>
          </cell>
          <cell r="R296">
            <v>3691379</v>
          </cell>
          <cell r="S296">
            <v>0</v>
          </cell>
          <cell r="T296">
            <v>3691379</v>
          </cell>
          <cell r="U296">
            <v>0</v>
          </cell>
          <cell r="V296">
            <v>3691379</v>
          </cell>
          <cell r="W296">
            <v>3691379</v>
          </cell>
          <cell r="X296">
            <v>0</v>
          </cell>
        </row>
        <row r="297">
          <cell r="B297">
            <v>514100844811</v>
          </cell>
          <cell r="C297" t="str">
            <v>PJU BANGLE</v>
          </cell>
          <cell r="D297" t="str">
            <v>BANGLE</v>
          </cell>
          <cell r="E297"/>
          <cell r="F297"/>
          <cell r="G297" t="str">
            <v>P3</v>
          </cell>
          <cell r="H297">
            <v>3500</v>
          </cell>
          <cell r="I297" t="str">
            <v>202505</v>
          </cell>
          <cell r="J297" t="str">
            <v>048711</v>
          </cell>
          <cell r="K297">
            <v>1833</v>
          </cell>
          <cell r="L297">
            <v>3115238</v>
          </cell>
          <cell r="M297">
            <v>0</v>
          </cell>
          <cell r="N297">
            <v>3115238</v>
          </cell>
          <cell r="O297">
            <v>0</v>
          </cell>
          <cell r="P297">
            <v>0</v>
          </cell>
          <cell r="Q297">
            <v>0</v>
          </cell>
          <cell r="R297">
            <v>3115238</v>
          </cell>
          <cell r="S297">
            <v>0</v>
          </cell>
          <cell r="T297">
            <v>3115238</v>
          </cell>
          <cell r="U297">
            <v>0</v>
          </cell>
          <cell r="V297">
            <v>3115238</v>
          </cell>
          <cell r="W297">
            <v>3115238</v>
          </cell>
          <cell r="X297">
            <v>0</v>
          </cell>
        </row>
        <row r="298">
          <cell r="B298">
            <v>514100844829</v>
          </cell>
          <cell r="C298" t="str">
            <v>PJU REMBANG 2</v>
          </cell>
          <cell r="D298" t="str">
            <v>REMBANG</v>
          </cell>
          <cell r="E298"/>
          <cell r="F298"/>
          <cell r="G298" t="str">
            <v>P3</v>
          </cell>
          <cell r="H298">
            <v>3500</v>
          </cell>
          <cell r="I298" t="str">
            <v>202505</v>
          </cell>
          <cell r="J298" t="str">
            <v>048599</v>
          </cell>
          <cell r="K298">
            <v>1249</v>
          </cell>
          <cell r="L298">
            <v>2122713</v>
          </cell>
          <cell r="M298">
            <v>0</v>
          </cell>
          <cell r="N298">
            <v>2122713</v>
          </cell>
          <cell r="O298">
            <v>0</v>
          </cell>
          <cell r="P298">
            <v>0</v>
          </cell>
          <cell r="Q298">
            <v>0</v>
          </cell>
          <cell r="R298">
            <v>2122713</v>
          </cell>
          <cell r="S298">
            <v>0</v>
          </cell>
          <cell r="T298">
            <v>2122713</v>
          </cell>
          <cell r="U298">
            <v>0</v>
          </cell>
          <cell r="V298">
            <v>2122713</v>
          </cell>
          <cell r="W298">
            <v>2122713</v>
          </cell>
          <cell r="X298">
            <v>0</v>
          </cell>
        </row>
        <row r="299">
          <cell r="B299">
            <v>514100844837</v>
          </cell>
          <cell r="C299" t="str">
            <v>PJU BATUAJI 2</v>
          </cell>
          <cell r="D299" t="str">
            <v>BATUAJI RGN.REJO</v>
          </cell>
          <cell r="E299"/>
          <cell r="F299"/>
          <cell r="G299" t="str">
            <v>P3</v>
          </cell>
          <cell r="H299">
            <v>3500</v>
          </cell>
          <cell r="I299" t="str">
            <v>202505</v>
          </cell>
          <cell r="J299" t="str">
            <v>048777</v>
          </cell>
          <cell r="K299">
            <v>933</v>
          </cell>
          <cell r="L299">
            <v>1585661</v>
          </cell>
          <cell r="M299">
            <v>0</v>
          </cell>
          <cell r="N299">
            <v>1585661</v>
          </cell>
          <cell r="O299">
            <v>0</v>
          </cell>
          <cell r="P299">
            <v>0</v>
          </cell>
          <cell r="Q299">
            <v>0</v>
          </cell>
          <cell r="R299">
            <v>1585661</v>
          </cell>
          <cell r="S299">
            <v>0</v>
          </cell>
          <cell r="T299">
            <v>1585661</v>
          </cell>
          <cell r="U299">
            <v>0</v>
          </cell>
          <cell r="V299">
            <v>1585661</v>
          </cell>
          <cell r="W299">
            <v>1585661</v>
          </cell>
          <cell r="X299">
            <v>0</v>
          </cell>
        </row>
        <row r="300">
          <cell r="B300">
            <v>514100844845</v>
          </cell>
          <cell r="C300" t="str">
            <v>PJU SLUMBUNG</v>
          </cell>
          <cell r="D300" t="str">
            <v>SLUMBUNG</v>
          </cell>
          <cell r="E300"/>
          <cell r="F300"/>
          <cell r="G300" t="str">
            <v>P3</v>
          </cell>
          <cell r="H300">
            <v>3500</v>
          </cell>
          <cell r="I300" t="str">
            <v>202505</v>
          </cell>
          <cell r="J300" t="str">
            <v>048361</v>
          </cell>
          <cell r="K300">
            <v>549</v>
          </cell>
          <cell r="L300">
            <v>933042</v>
          </cell>
          <cell r="M300">
            <v>0</v>
          </cell>
          <cell r="N300">
            <v>933042</v>
          </cell>
          <cell r="O300">
            <v>0</v>
          </cell>
          <cell r="P300">
            <v>0</v>
          </cell>
          <cell r="Q300">
            <v>0</v>
          </cell>
          <cell r="R300">
            <v>933042</v>
          </cell>
          <cell r="S300">
            <v>0</v>
          </cell>
          <cell r="T300">
            <v>933042</v>
          </cell>
          <cell r="U300">
            <v>0</v>
          </cell>
          <cell r="V300">
            <v>933042</v>
          </cell>
          <cell r="W300">
            <v>933042</v>
          </cell>
          <cell r="X300">
            <v>0</v>
          </cell>
        </row>
        <row r="301">
          <cell r="B301">
            <v>514100844852</v>
          </cell>
          <cell r="C301" t="str">
            <v>PJU JEMEKAN</v>
          </cell>
          <cell r="D301" t="str">
            <v>JEMEKAN</v>
          </cell>
          <cell r="E301"/>
          <cell r="F301"/>
          <cell r="G301" t="str">
            <v>P3</v>
          </cell>
          <cell r="H301">
            <v>3500</v>
          </cell>
          <cell r="I301" t="str">
            <v>202505</v>
          </cell>
          <cell r="J301" t="str">
            <v>048538</v>
          </cell>
          <cell r="K301">
            <v>627</v>
          </cell>
          <cell r="L301">
            <v>1065605</v>
          </cell>
          <cell r="M301">
            <v>0</v>
          </cell>
          <cell r="N301">
            <v>1065605</v>
          </cell>
          <cell r="O301">
            <v>0</v>
          </cell>
          <cell r="P301">
            <v>0</v>
          </cell>
          <cell r="Q301">
            <v>0</v>
          </cell>
          <cell r="R301">
            <v>1065605</v>
          </cell>
          <cell r="S301">
            <v>0</v>
          </cell>
          <cell r="T301">
            <v>1065605</v>
          </cell>
          <cell r="U301">
            <v>0</v>
          </cell>
          <cell r="V301">
            <v>1065605</v>
          </cell>
          <cell r="W301">
            <v>1065605</v>
          </cell>
          <cell r="X301">
            <v>0</v>
          </cell>
        </row>
        <row r="302">
          <cell r="B302">
            <v>514100844860</v>
          </cell>
          <cell r="C302" t="str">
            <v>PJU BADAL</v>
          </cell>
          <cell r="D302" t="str">
            <v>BADAL</v>
          </cell>
          <cell r="E302"/>
          <cell r="F302"/>
          <cell r="G302" t="str">
            <v>P3</v>
          </cell>
          <cell r="H302">
            <v>3500</v>
          </cell>
          <cell r="I302" t="str">
            <v>202505</v>
          </cell>
          <cell r="J302" t="str">
            <v>048764</v>
          </cell>
          <cell r="K302">
            <v>1589</v>
          </cell>
          <cell r="L302">
            <v>2700553</v>
          </cell>
          <cell r="M302">
            <v>0</v>
          </cell>
          <cell r="N302">
            <v>2700553</v>
          </cell>
          <cell r="O302">
            <v>0</v>
          </cell>
          <cell r="P302">
            <v>0</v>
          </cell>
          <cell r="Q302">
            <v>0</v>
          </cell>
          <cell r="R302">
            <v>2700553</v>
          </cell>
          <cell r="S302">
            <v>0</v>
          </cell>
          <cell r="T302">
            <v>2700553</v>
          </cell>
          <cell r="U302">
            <v>0</v>
          </cell>
          <cell r="V302">
            <v>2700553</v>
          </cell>
          <cell r="W302">
            <v>2700553</v>
          </cell>
          <cell r="X302">
            <v>0</v>
          </cell>
        </row>
        <row r="303">
          <cell r="B303">
            <v>514100844878</v>
          </cell>
          <cell r="C303" t="str">
            <v>PJU SUMBEREJO</v>
          </cell>
          <cell r="D303" t="str">
            <v>SUMBEREJO</v>
          </cell>
          <cell r="E303"/>
          <cell r="F303"/>
          <cell r="G303" t="str">
            <v>P3</v>
          </cell>
          <cell r="H303">
            <v>3500</v>
          </cell>
          <cell r="I303" t="str">
            <v>202505</v>
          </cell>
          <cell r="J303" t="str">
            <v>048661</v>
          </cell>
          <cell r="K303">
            <v>1197</v>
          </cell>
          <cell r="L303">
            <v>2034337</v>
          </cell>
          <cell r="M303">
            <v>0</v>
          </cell>
          <cell r="N303">
            <v>2034337</v>
          </cell>
          <cell r="O303">
            <v>0</v>
          </cell>
          <cell r="P303">
            <v>0</v>
          </cell>
          <cell r="Q303">
            <v>0</v>
          </cell>
          <cell r="R303">
            <v>2034337</v>
          </cell>
          <cell r="S303">
            <v>0</v>
          </cell>
          <cell r="T303">
            <v>2034337</v>
          </cell>
          <cell r="U303">
            <v>0</v>
          </cell>
          <cell r="V303">
            <v>2034337</v>
          </cell>
          <cell r="W303">
            <v>2034337</v>
          </cell>
          <cell r="X303">
            <v>0</v>
          </cell>
        </row>
        <row r="304">
          <cell r="B304">
            <v>514100844886</v>
          </cell>
          <cell r="C304" t="str">
            <v>PJU PURWOKERTO</v>
          </cell>
          <cell r="D304" t="str">
            <v>PURWOKERTO</v>
          </cell>
          <cell r="E304"/>
          <cell r="F304"/>
          <cell r="G304" t="str">
            <v>P3</v>
          </cell>
          <cell r="H304">
            <v>3500</v>
          </cell>
          <cell r="I304" t="str">
            <v>202505</v>
          </cell>
          <cell r="J304" t="str">
            <v>048299</v>
          </cell>
          <cell r="K304">
            <v>1263</v>
          </cell>
          <cell r="L304">
            <v>2146506</v>
          </cell>
          <cell r="M304">
            <v>0</v>
          </cell>
          <cell r="N304">
            <v>2146506</v>
          </cell>
          <cell r="O304">
            <v>0</v>
          </cell>
          <cell r="P304">
            <v>0</v>
          </cell>
          <cell r="Q304">
            <v>0</v>
          </cell>
          <cell r="R304">
            <v>2146506</v>
          </cell>
          <cell r="S304">
            <v>0</v>
          </cell>
          <cell r="T304">
            <v>2146506</v>
          </cell>
          <cell r="U304">
            <v>0</v>
          </cell>
          <cell r="V304">
            <v>2146506</v>
          </cell>
          <cell r="W304">
            <v>2146506</v>
          </cell>
          <cell r="X304">
            <v>0</v>
          </cell>
        </row>
        <row r="305">
          <cell r="B305">
            <v>514100844894</v>
          </cell>
          <cell r="C305" t="str">
            <v>PJU KARANGREJO 2</v>
          </cell>
          <cell r="D305" t="str">
            <v>KARANGREJO</v>
          </cell>
          <cell r="E305"/>
          <cell r="F305"/>
          <cell r="G305" t="str">
            <v>P3</v>
          </cell>
          <cell r="H305">
            <v>4400</v>
          </cell>
          <cell r="I305" t="str">
            <v>202505</v>
          </cell>
          <cell r="J305" t="str">
            <v>048761</v>
          </cell>
          <cell r="K305">
            <v>2494</v>
          </cell>
          <cell r="L305">
            <v>4238628</v>
          </cell>
          <cell r="M305">
            <v>0</v>
          </cell>
          <cell r="N305">
            <v>4238628</v>
          </cell>
          <cell r="O305">
            <v>0</v>
          </cell>
          <cell r="P305">
            <v>0</v>
          </cell>
          <cell r="Q305">
            <v>0</v>
          </cell>
          <cell r="R305">
            <v>4238628</v>
          </cell>
          <cell r="S305">
            <v>0</v>
          </cell>
          <cell r="T305">
            <v>4238628</v>
          </cell>
          <cell r="U305">
            <v>0</v>
          </cell>
          <cell r="V305">
            <v>4238628</v>
          </cell>
          <cell r="W305">
            <v>4238628</v>
          </cell>
          <cell r="X305">
            <v>0</v>
          </cell>
        </row>
        <row r="306">
          <cell r="B306">
            <v>514100844908</v>
          </cell>
          <cell r="C306" t="str">
            <v>PJU DAWUNG 4</v>
          </cell>
          <cell r="D306" t="str">
            <v>DAWUNG</v>
          </cell>
          <cell r="E306"/>
          <cell r="F306"/>
          <cell r="G306" t="str">
            <v>P3</v>
          </cell>
          <cell r="H306">
            <v>5500</v>
          </cell>
          <cell r="I306" t="str">
            <v>202505</v>
          </cell>
          <cell r="J306" t="str">
            <v>048307</v>
          </cell>
          <cell r="K306">
            <v>913</v>
          </cell>
          <cell r="L306">
            <v>1551671</v>
          </cell>
          <cell r="M306">
            <v>0</v>
          </cell>
          <cell r="N306">
            <v>1551671</v>
          </cell>
          <cell r="O306">
            <v>0</v>
          </cell>
          <cell r="P306">
            <v>0</v>
          </cell>
          <cell r="Q306">
            <v>0</v>
          </cell>
          <cell r="R306">
            <v>1551671</v>
          </cell>
          <cell r="S306">
            <v>0</v>
          </cell>
          <cell r="T306">
            <v>1551671</v>
          </cell>
          <cell r="U306">
            <v>0</v>
          </cell>
          <cell r="V306">
            <v>1551671</v>
          </cell>
          <cell r="W306">
            <v>1551671</v>
          </cell>
          <cell r="X306">
            <v>0</v>
          </cell>
        </row>
        <row r="307">
          <cell r="B307">
            <v>514100844916</v>
          </cell>
          <cell r="C307" t="str">
            <v>PJU DEYENG 1</v>
          </cell>
          <cell r="D307" t="str">
            <v>DEYENG</v>
          </cell>
          <cell r="E307"/>
          <cell r="F307"/>
          <cell r="G307" t="str">
            <v>P3</v>
          </cell>
          <cell r="H307">
            <v>7700</v>
          </cell>
          <cell r="I307" t="str">
            <v>202505</v>
          </cell>
          <cell r="J307" t="str">
            <v>048570</v>
          </cell>
          <cell r="K307">
            <v>1307</v>
          </cell>
          <cell r="L307">
            <v>2221286</v>
          </cell>
          <cell r="M307">
            <v>0</v>
          </cell>
          <cell r="N307">
            <v>2221286</v>
          </cell>
          <cell r="O307">
            <v>0</v>
          </cell>
          <cell r="P307">
            <v>0</v>
          </cell>
          <cell r="Q307">
            <v>0</v>
          </cell>
          <cell r="R307">
            <v>2221286</v>
          </cell>
          <cell r="S307">
            <v>0</v>
          </cell>
          <cell r="T307">
            <v>2221286</v>
          </cell>
          <cell r="U307">
            <v>0</v>
          </cell>
          <cell r="V307">
            <v>2221286</v>
          </cell>
          <cell r="W307">
            <v>2221286</v>
          </cell>
          <cell r="X307">
            <v>0</v>
          </cell>
        </row>
        <row r="308">
          <cell r="B308">
            <v>514100844924</v>
          </cell>
          <cell r="C308" t="str">
            <v>PJU MANGUNREJO</v>
          </cell>
          <cell r="D308" t="str">
            <v>MANGUNREJO</v>
          </cell>
          <cell r="E308"/>
          <cell r="F308"/>
          <cell r="G308" t="str">
            <v>P3</v>
          </cell>
          <cell r="H308">
            <v>3500</v>
          </cell>
          <cell r="I308" t="str">
            <v>202505</v>
          </cell>
          <cell r="J308" t="str">
            <v>048417</v>
          </cell>
          <cell r="K308">
            <v>140</v>
          </cell>
          <cell r="L308">
            <v>237934</v>
          </cell>
          <cell r="M308">
            <v>0</v>
          </cell>
          <cell r="N308">
            <v>237934</v>
          </cell>
          <cell r="O308">
            <v>0</v>
          </cell>
          <cell r="P308">
            <v>0</v>
          </cell>
          <cell r="Q308">
            <v>0</v>
          </cell>
          <cell r="R308">
            <v>237934</v>
          </cell>
          <cell r="S308">
            <v>0</v>
          </cell>
          <cell r="T308">
            <v>237934</v>
          </cell>
          <cell r="U308">
            <v>0</v>
          </cell>
          <cell r="V308">
            <v>237934</v>
          </cell>
          <cell r="W308">
            <v>237934</v>
          </cell>
          <cell r="X308">
            <v>0</v>
          </cell>
        </row>
        <row r="309">
          <cell r="B309">
            <v>514100844932</v>
          </cell>
          <cell r="C309" t="str">
            <v>PJU DAWUNG 2</v>
          </cell>
          <cell r="D309" t="str">
            <v>DAWUNG</v>
          </cell>
          <cell r="E309"/>
          <cell r="F309"/>
          <cell r="G309" t="str">
            <v>P3</v>
          </cell>
          <cell r="H309">
            <v>5500</v>
          </cell>
          <cell r="I309" t="str">
            <v>202505</v>
          </cell>
          <cell r="J309" t="str">
            <v>048537</v>
          </cell>
          <cell r="K309">
            <v>1191</v>
          </cell>
          <cell r="L309">
            <v>2024140</v>
          </cell>
          <cell r="M309">
            <v>0</v>
          </cell>
          <cell r="N309">
            <v>2024140</v>
          </cell>
          <cell r="O309">
            <v>0</v>
          </cell>
          <cell r="P309">
            <v>0</v>
          </cell>
          <cell r="Q309">
            <v>0</v>
          </cell>
          <cell r="R309">
            <v>2024140</v>
          </cell>
          <cell r="S309">
            <v>0</v>
          </cell>
          <cell r="T309">
            <v>2024140</v>
          </cell>
          <cell r="U309">
            <v>0</v>
          </cell>
          <cell r="V309">
            <v>2024140</v>
          </cell>
          <cell r="W309">
            <v>2024140</v>
          </cell>
          <cell r="X309">
            <v>0</v>
          </cell>
        </row>
        <row r="310">
          <cell r="B310">
            <v>514100844940</v>
          </cell>
          <cell r="C310" t="str">
            <v>PJU DEYENG 7</v>
          </cell>
          <cell r="D310" t="str">
            <v>DEYENG</v>
          </cell>
          <cell r="E310"/>
          <cell r="F310"/>
          <cell r="G310" t="str">
            <v>P3</v>
          </cell>
          <cell r="H310">
            <v>3500</v>
          </cell>
          <cell r="I310" t="str">
            <v>202505</v>
          </cell>
          <cell r="J310" t="str">
            <v>048502</v>
          </cell>
          <cell r="K310">
            <v>1203</v>
          </cell>
          <cell r="L310">
            <v>2044535</v>
          </cell>
          <cell r="M310">
            <v>0</v>
          </cell>
          <cell r="N310">
            <v>2044535</v>
          </cell>
          <cell r="O310">
            <v>0</v>
          </cell>
          <cell r="P310">
            <v>0</v>
          </cell>
          <cell r="Q310">
            <v>0</v>
          </cell>
          <cell r="R310">
            <v>2044535</v>
          </cell>
          <cell r="S310">
            <v>0</v>
          </cell>
          <cell r="T310">
            <v>2044535</v>
          </cell>
          <cell r="U310">
            <v>0</v>
          </cell>
          <cell r="V310">
            <v>2044535</v>
          </cell>
          <cell r="W310">
            <v>2044535</v>
          </cell>
          <cell r="X310">
            <v>0</v>
          </cell>
        </row>
        <row r="311">
          <cell r="B311">
            <v>514100844957</v>
          </cell>
          <cell r="C311" t="str">
            <v>PJU NGADILUWIH</v>
          </cell>
          <cell r="D311" t="str">
            <v>NGADILUWIH</v>
          </cell>
          <cell r="E311"/>
          <cell r="F311"/>
          <cell r="G311" t="str">
            <v>P3</v>
          </cell>
          <cell r="H311">
            <v>4400</v>
          </cell>
          <cell r="I311" t="str">
            <v>202505</v>
          </cell>
          <cell r="J311" t="str">
            <v>048587</v>
          </cell>
          <cell r="K311">
            <v>1424</v>
          </cell>
          <cell r="L311">
            <v>2420131</v>
          </cell>
          <cell r="M311">
            <v>0</v>
          </cell>
          <cell r="N311">
            <v>2420131</v>
          </cell>
          <cell r="O311">
            <v>0</v>
          </cell>
          <cell r="P311">
            <v>0</v>
          </cell>
          <cell r="Q311">
            <v>0</v>
          </cell>
          <cell r="R311">
            <v>2420131</v>
          </cell>
          <cell r="S311">
            <v>0</v>
          </cell>
          <cell r="T311">
            <v>2420131</v>
          </cell>
          <cell r="U311">
            <v>0</v>
          </cell>
          <cell r="V311">
            <v>2420131</v>
          </cell>
          <cell r="W311">
            <v>2420131</v>
          </cell>
          <cell r="X311">
            <v>0</v>
          </cell>
        </row>
        <row r="312">
          <cell r="B312">
            <v>514100844965</v>
          </cell>
          <cell r="C312" t="str">
            <v>PJU BEDUG</v>
          </cell>
          <cell r="D312" t="str">
            <v>BEDUG</v>
          </cell>
          <cell r="E312"/>
          <cell r="F312"/>
          <cell r="G312" t="str">
            <v>P3</v>
          </cell>
          <cell r="H312">
            <v>3500</v>
          </cell>
          <cell r="I312" t="str">
            <v>202505</v>
          </cell>
          <cell r="J312" t="str">
            <v>048400</v>
          </cell>
          <cell r="K312">
            <v>806</v>
          </cell>
          <cell r="L312">
            <v>1369821</v>
          </cell>
          <cell r="M312">
            <v>0</v>
          </cell>
          <cell r="N312">
            <v>1369821</v>
          </cell>
          <cell r="O312">
            <v>0</v>
          </cell>
          <cell r="P312">
            <v>0</v>
          </cell>
          <cell r="Q312">
            <v>0</v>
          </cell>
          <cell r="R312">
            <v>1369821</v>
          </cell>
          <cell r="S312">
            <v>0</v>
          </cell>
          <cell r="T312">
            <v>1369821</v>
          </cell>
          <cell r="U312">
            <v>0</v>
          </cell>
          <cell r="V312">
            <v>1369821</v>
          </cell>
          <cell r="W312">
            <v>1369821</v>
          </cell>
          <cell r="X312">
            <v>0</v>
          </cell>
        </row>
        <row r="313">
          <cell r="B313">
            <v>514100844973</v>
          </cell>
          <cell r="C313" t="str">
            <v>PJU NGADILOYO</v>
          </cell>
          <cell r="D313" t="str">
            <v>NGADILOYO</v>
          </cell>
          <cell r="E313"/>
          <cell r="F313"/>
          <cell r="G313" t="str">
            <v>P3</v>
          </cell>
          <cell r="H313">
            <v>7700</v>
          </cell>
          <cell r="I313" t="str">
            <v>202505</v>
          </cell>
          <cell r="J313" t="str">
            <v>048559</v>
          </cell>
          <cell r="K313">
            <v>308</v>
          </cell>
          <cell r="L313">
            <v>523455</v>
          </cell>
          <cell r="M313">
            <v>0</v>
          </cell>
          <cell r="N313">
            <v>523455</v>
          </cell>
          <cell r="O313">
            <v>0</v>
          </cell>
          <cell r="P313">
            <v>0</v>
          </cell>
          <cell r="Q313">
            <v>0</v>
          </cell>
          <cell r="R313">
            <v>523455</v>
          </cell>
          <cell r="S313">
            <v>0</v>
          </cell>
          <cell r="T313">
            <v>523455</v>
          </cell>
          <cell r="U313">
            <v>0</v>
          </cell>
          <cell r="V313">
            <v>523455</v>
          </cell>
          <cell r="W313">
            <v>523455</v>
          </cell>
          <cell r="X313">
            <v>0</v>
          </cell>
        </row>
        <row r="314">
          <cell r="B314">
            <v>514100844981</v>
          </cell>
          <cell r="C314" t="str">
            <v>PJU NGLETIH</v>
          </cell>
          <cell r="D314" t="str">
            <v>NGLETIH KANDAT</v>
          </cell>
          <cell r="E314"/>
          <cell r="F314"/>
          <cell r="G314" t="str">
            <v>P3</v>
          </cell>
          <cell r="H314">
            <v>4400</v>
          </cell>
          <cell r="I314" t="str">
            <v>202505</v>
          </cell>
          <cell r="J314" t="str">
            <v>048354</v>
          </cell>
          <cell r="K314">
            <v>2134</v>
          </cell>
          <cell r="L314">
            <v>3626797</v>
          </cell>
          <cell r="M314">
            <v>0</v>
          </cell>
          <cell r="N314">
            <v>3626797</v>
          </cell>
          <cell r="O314">
            <v>0</v>
          </cell>
          <cell r="P314">
            <v>0</v>
          </cell>
          <cell r="Q314">
            <v>0</v>
          </cell>
          <cell r="R314">
            <v>3626797</v>
          </cell>
          <cell r="S314">
            <v>0</v>
          </cell>
          <cell r="T314">
            <v>3626797</v>
          </cell>
          <cell r="U314">
            <v>0</v>
          </cell>
          <cell r="V314">
            <v>3626797</v>
          </cell>
          <cell r="W314">
            <v>3626797</v>
          </cell>
          <cell r="X314">
            <v>0</v>
          </cell>
        </row>
        <row r="315">
          <cell r="B315">
            <v>514100844999</v>
          </cell>
          <cell r="C315" t="str">
            <v>PJU TALES</v>
          </cell>
          <cell r="D315" t="str">
            <v>TALES</v>
          </cell>
          <cell r="E315"/>
          <cell r="F315"/>
          <cell r="G315" t="str">
            <v>P3</v>
          </cell>
          <cell r="H315">
            <v>3500</v>
          </cell>
          <cell r="I315" t="str">
            <v>202505</v>
          </cell>
          <cell r="J315" t="str">
            <v>048582</v>
          </cell>
          <cell r="K315">
            <v>1105</v>
          </cell>
          <cell r="L315">
            <v>1877981</v>
          </cell>
          <cell r="M315">
            <v>0</v>
          </cell>
          <cell r="N315">
            <v>1877981</v>
          </cell>
          <cell r="O315">
            <v>0</v>
          </cell>
          <cell r="P315">
            <v>0</v>
          </cell>
          <cell r="Q315">
            <v>0</v>
          </cell>
          <cell r="R315">
            <v>1877981</v>
          </cell>
          <cell r="S315">
            <v>0</v>
          </cell>
          <cell r="T315">
            <v>1877981</v>
          </cell>
          <cell r="U315">
            <v>0</v>
          </cell>
          <cell r="V315">
            <v>1877981</v>
          </cell>
          <cell r="W315">
            <v>1877981</v>
          </cell>
          <cell r="X315">
            <v>0</v>
          </cell>
        </row>
        <row r="316">
          <cell r="B316">
            <v>514100845009</v>
          </cell>
          <cell r="C316" t="str">
            <v>PJU WERU</v>
          </cell>
          <cell r="D316" t="str">
            <v>RINGINSARI KANDAT</v>
          </cell>
          <cell r="E316"/>
          <cell r="F316"/>
          <cell r="G316" t="str">
            <v>P3</v>
          </cell>
          <cell r="H316">
            <v>3500</v>
          </cell>
          <cell r="I316" t="str">
            <v>202505</v>
          </cell>
          <cell r="J316" t="str">
            <v>048781</v>
          </cell>
          <cell r="K316">
            <v>1059</v>
          </cell>
          <cell r="L316">
            <v>1799802</v>
          </cell>
          <cell r="M316">
            <v>0</v>
          </cell>
          <cell r="N316">
            <v>1799802</v>
          </cell>
          <cell r="O316">
            <v>0</v>
          </cell>
          <cell r="P316">
            <v>0</v>
          </cell>
          <cell r="Q316">
            <v>0</v>
          </cell>
          <cell r="R316">
            <v>1799802</v>
          </cell>
          <cell r="S316">
            <v>0</v>
          </cell>
          <cell r="T316">
            <v>1799802</v>
          </cell>
          <cell r="U316">
            <v>0</v>
          </cell>
          <cell r="V316">
            <v>1799802</v>
          </cell>
          <cell r="W316">
            <v>1799802</v>
          </cell>
          <cell r="X316">
            <v>0</v>
          </cell>
        </row>
        <row r="317">
          <cell r="B317">
            <v>514100845017</v>
          </cell>
          <cell r="C317" t="str">
            <v>PJU KARANGREJO 3</v>
          </cell>
          <cell r="D317" t="str">
            <v>KARANGREJO</v>
          </cell>
          <cell r="E317"/>
          <cell r="F317"/>
          <cell r="G317" t="str">
            <v>P3</v>
          </cell>
          <cell r="H317">
            <v>4400</v>
          </cell>
          <cell r="I317" t="str">
            <v>202505</v>
          </cell>
          <cell r="J317" t="str">
            <v>048660</v>
          </cell>
          <cell r="K317">
            <v>2134</v>
          </cell>
          <cell r="L317">
            <v>3626797</v>
          </cell>
          <cell r="M317">
            <v>0</v>
          </cell>
          <cell r="N317">
            <v>3626797</v>
          </cell>
          <cell r="O317">
            <v>0</v>
          </cell>
          <cell r="P317">
            <v>0</v>
          </cell>
          <cell r="Q317">
            <v>0</v>
          </cell>
          <cell r="R317">
            <v>3626797</v>
          </cell>
          <cell r="S317">
            <v>0</v>
          </cell>
          <cell r="T317">
            <v>3626797</v>
          </cell>
          <cell r="U317">
            <v>0</v>
          </cell>
          <cell r="V317">
            <v>3626797</v>
          </cell>
          <cell r="W317">
            <v>3626797</v>
          </cell>
          <cell r="X317">
            <v>0</v>
          </cell>
        </row>
        <row r="318">
          <cell r="B318">
            <v>514100845025</v>
          </cell>
          <cell r="C318" t="str">
            <v>PJU TALES SELATAN</v>
          </cell>
          <cell r="D318" t="str">
            <v>TALES</v>
          </cell>
          <cell r="E318"/>
          <cell r="F318"/>
          <cell r="G318" t="str">
            <v>P3</v>
          </cell>
          <cell r="H318">
            <v>3500</v>
          </cell>
          <cell r="I318" t="str">
            <v>202505</v>
          </cell>
          <cell r="J318" t="str">
            <v>048500</v>
          </cell>
          <cell r="K318">
            <v>902</v>
          </cell>
          <cell r="L318">
            <v>1532976</v>
          </cell>
          <cell r="M318">
            <v>0</v>
          </cell>
          <cell r="N318">
            <v>1532976</v>
          </cell>
          <cell r="O318">
            <v>0</v>
          </cell>
          <cell r="P318">
            <v>0</v>
          </cell>
          <cell r="Q318">
            <v>0</v>
          </cell>
          <cell r="R318">
            <v>1532976</v>
          </cell>
          <cell r="S318">
            <v>0</v>
          </cell>
          <cell r="T318">
            <v>1532976</v>
          </cell>
          <cell r="U318">
            <v>0</v>
          </cell>
          <cell r="V318">
            <v>1532976</v>
          </cell>
          <cell r="W318">
            <v>1532976</v>
          </cell>
          <cell r="X318">
            <v>0</v>
          </cell>
        </row>
        <row r="319">
          <cell r="B319">
            <v>514100845033</v>
          </cell>
          <cell r="C319" t="str">
            <v>PJU DEYENG 5</v>
          </cell>
          <cell r="D319" t="str">
            <v>DEYENG</v>
          </cell>
          <cell r="E319"/>
          <cell r="F319"/>
          <cell r="G319" t="str">
            <v>P3</v>
          </cell>
          <cell r="H319">
            <v>3500</v>
          </cell>
          <cell r="I319" t="str">
            <v>202505</v>
          </cell>
          <cell r="J319" t="str">
            <v>048751</v>
          </cell>
          <cell r="K319">
            <v>1237</v>
          </cell>
          <cell r="L319">
            <v>2102319</v>
          </cell>
          <cell r="M319">
            <v>0</v>
          </cell>
          <cell r="N319">
            <v>2102319</v>
          </cell>
          <cell r="O319">
            <v>0</v>
          </cell>
          <cell r="P319">
            <v>0</v>
          </cell>
          <cell r="Q319">
            <v>0</v>
          </cell>
          <cell r="R319">
            <v>2102319</v>
          </cell>
          <cell r="S319">
            <v>0</v>
          </cell>
          <cell r="T319">
            <v>2102319</v>
          </cell>
          <cell r="U319">
            <v>0</v>
          </cell>
          <cell r="V319">
            <v>2102319</v>
          </cell>
          <cell r="W319">
            <v>2102319</v>
          </cell>
          <cell r="X319">
            <v>0</v>
          </cell>
        </row>
        <row r="320">
          <cell r="B320">
            <v>514100845041</v>
          </cell>
          <cell r="C320" t="str">
            <v>PJU DAWUNG 1</v>
          </cell>
          <cell r="D320" t="str">
            <v>DAWUNG RINGINREJO</v>
          </cell>
          <cell r="E320"/>
          <cell r="F320"/>
          <cell r="G320" t="str">
            <v>P3</v>
          </cell>
          <cell r="H320">
            <v>3500</v>
          </cell>
          <cell r="I320" t="str">
            <v>202505</v>
          </cell>
          <cell r="J320" t="str">
            <v>048470</v>
          </cell>
          <cell r="K320">
            <v>652</v>
          </cell>
          <cell r="L320">
            <v>1108094</v>
          </cell>
          <cell r="M320">
            <v>0</v>
          </cell>
          <cell r="N320">
            <v>1108094</v>
          </cell>
          <cell r="O320">
            <v>0</v>
          </cell>
          <cell r="P320">
            <v>0</v>
          </cell>
          <cell r="Q320">
            <v>0</v>
          </cell>
          <cell r="R320">
            <v>1108094</v>
          </cell>
          <cell r="S320">
            <v>0</v>
          </cell>
          <cell r="T320">
            <v>1108094</v>
          </cell>
          <cell r="U320">
            <v>0</v>
          </cell>
          <cell r="V320">
            <v>1108094</v>
          </cell>
          <cell r="W320">
            <v>1108094</v>
          </cell>
          <cell r="X320">
            <v>0</v>
          </cell>
        </row>
        <row r="321">
          <cell r="B321">
            <v>514100845058</v>
          </cell>
          <cell r="C321" t="str">
            <v>PJU NGRECO</v>
          </cell>
          <cell r="D321" t="str">
            <v>NGRECO</v>
          </cell>
          <cell r="E321"/>
          <cell r="F321"/>
          <cell r="G321" t="str">
            <v>P3</v>
          </cell>
          <cell r="H321">
            <v>5500</v>
          </cell>
          <cell r="I321" t="str">
            <v>202505</v>
          </cell>
          <cell r="J321" t="str">
            <v>048409</v>
          </cell>
          <cell r="K321">
            <v>1484</v>
          </cell>
          <cell r="L321">
            <v>2522103</v>
          </cell>
          <cell r="M321">
            <v>0</v>
          </cell>
          <cell r="N321">
            <v>2522103</v>
          </cell>
          <cell r="O321">
            <v>0</v>
          </cell>
          <cell r="P321">
            <v>0</v>
          </cell>
          <cell r="Q321">
            <v>0</v>
          </cell>
          <cell r="R321">
            <v>2522103</v>
          </cell>
          <cell r="S321">
            <v>0</v>
          </cell>
          <cell r="T321">
            <v>2522103</v>
          </cell>
          <cell r="U321">
            <v>0</v>
          </cell>
          <cell r="V321">
            <v>2522103</v>
          </cell>
          <cell r="W321">
            <v>2522103</v>
          </cell>
          <cell r="X321">
            <v>0</v>
          </cell>
        </row>
        <row r="322">
          <cell r="B322">
            <v>514100845066</v>
          </cell>
          <cell r="C322" t="str">
            <v>PJU NGADIREJO 1</v>
          </cell>
          <cell r="D322" t="str">
            <v>NGADIREJO</v>
          </cell>
          <cell r="E322"/>
          <cell r="F322"/>
          <cell r="G322" t="str">
            <v>P3</v>
          </cell>
          <cell r="H322">
            <v>3500</v>
          </cell>
          <cell r="I322" t="str">
            <v>202505</v>
          </cell>
          <cell r="J322" t="str">
            <v>048601</v>
          </cell>
          <cell r="K322">
            <v>1517</v>
          </cell>
          <cell r="L322">
            <v>2578187</v>
          </cell>
          <cell r="M322">
            <v>0</v>
          </cell>
          <cell r="N322">
            <v>2578187</v>
          </cell>
          <cell r="O322">
            <v>0</v>
          </cell>
          <cell r="P322">
            <v>0</v>
          </cell>
          <cell r="Q322">
            <v>0</v>
          </cell>
          <cell r="R322">
            <v>2578187</v>
          </cell>
          <cell r="S322">
            <v>0</v>
          </cell>
          <cell r="T322">
            <v>2578187</v>
          </cell>
          <cell r="U322">
            <v>0</v>
          </cell>
          <cell r="V322">
            <v>2578187</v>
          </cell>
          <cell r="W322">
            <v>2578187</v>
          </cell>
          <cell r="X322">
            <v>0</v>
          </cell>
        </row>
        <row r="323">
          <cell r="B323">
            <v>514100845074</v>
          </cell>
          <cell r="C323" t="str">
            <v>PJU BRANGGAHAN 1</v>
          </cell>
          <cell r="D323" t="str">
            <v>BRANGGAHAN</v>
          </cell>
          <cell r="E323"/>
          <cell r="F323"/>
          <cell r="G323" t="str">
            <v>P3</v>
          </cell>
          <cell r="H323">
            <v>3500</v>
          </cell>
          <cell r="I323" t="str">
            <v>202505</v>
          </cell>
          <cell r="J323" t="str">
            <v>048319</v>
          </cell>
          <cell r="K323">
            <v>1012</v>
          </cell>
          <cell r="L323">
            <v>1719924</v>
          </cell>
          <cell r="M323">
            <v>0</v>
          </cell>
          <cell r="N323">
            <v>1719924</v>
          </cell>
          <cell r="O323">
            <v>0</v>
          </cell>
          <cell r="P323">
            <v>0</v>
          </cell>
          <cell r="Q323">
            <v>0</v>
          </cell>
          <cell r="R323">
            <v>1719924</v>
          </cell>
          <cell r="S323">
            <v>0</v>
          </cell>
          <cell r="T323">
            <v>1719924</v>
          </cell>
          <cell r="U323">
            <v>0</v>
          </cell>
          <cell r="V323">
            <v>1719924</v>
          </cell>
          <cell r="W323">
            <v>1719924</v>
          </cell>
          <cell r="X323">
            <v>0</v>
          </cell>
        </row>
        <row r="324">
          <cell r="B324">
            <v>514100845082</v>
          </cell>
          <cell r="C324" t="str">
            <v>PJU SAMBI 3</v>
          </cell>
          <cell r="D324" t="str">
            <v>BALONG</v>
          </cell>
          <cell r="E324"/>
          <cell r="F324"/>
          <cell r="G324" t="str">
            <v>P3</v>
          </cell>
          <cell r="H324">
            <v>4400</v>
          </cell>
          <cell r="I324" t="str">
            <v>202505</v>
          </cell>
          <cell r="J324" t="str">
            <v>048692</v>
          </cell>
          <cell r="K324">
            <v>1023</v>
          </cell>
          <cell r="L324">
            <v>1738619</v>
          </cell>
          <cell r="M324">
            <v>0</v>
          </cell>
          <cell r="N324">
            <v>1738619</v>
          </cell>
          <cell r="O324">
            <v>0</v>
          </cell>
          <cell r="P324">
            <v>0</v>
          </cell>
          <cell r="Q324">
            <v>0</v>
          </cell>
          <cell r="R324">
            <v>1738619</v>
          </cell>
          <cell r="S324">
            <v>0</v>
          </cell>
          <cell r="T324">
            <v>1738619</v>
          </cell>
          <cell r="U324">
            <v>0</v>
          </cell>
          <cell r="V324">
            <v>1738619</v>
          </cell>
          <cell r="W324">
            <v>1738619</v>
          </cell>
          <cell r="X324">
            <v>0</v>
          </cell>
        </row>
        <row r="325">
          <cell r="B325">
            <v>514100845090</v>
          </cell>
          <cell r="C325" t="str">
            <v>PJU DEYENG 6</v>
          </cell>
          <cell r="D325" t="str">
            <v>DEYENG KANDAT</v>
          </cell>
          <cell r="E325"/>
          <cell r="F325"/>
          <cell r="G325" t="str">
            <v>P3</v>
          </cell>
          <cell r="H325">
            <v>3500</v>
          </cell>
          <cell r="I325" t="str">
            <v>202505</v>
          </cell>
          <cell r="J325" t="str">
            <v>048418</v>
          </cell>
          <cell r="K325">
            <v>1120</v>
          </cell>
          <cell r="L325">
            <v>1903474</v>
          </cell>
          <cell r="M325">
            <v>0</v>
          </cell>
          <cell r="N325">
            <v>1903474</v>
          </cell>
          <cell r="O325">
            <v>0</v>
          </cell>
          <cell r="P325">
            <v>0</v>
          </cell>
          <cell r="Q325">
            <v>0</v>
          </cell>
          <cell r="R325">
            <v>1903474</v>
          </cell>
          <cell r="S325">
            <v>0</v>
          </cell>
          <cell r="T325">
            <v>1903474</v>
          </cell>
          <cell r="U325">
            <v>0</v>
          </cell>
          <cell r="V325">
            <v>1903474</v>
          </cell>
          <cell r="W325">
            <v>1903474</v>
          </cell>
          <cell r="X325">
            <v>0</v>
          </cell>
        </row>
        <row r="326">
          <cell r="B326">
            <v>514100845104</v>
          </cell>
          <cell r="C326" t="str">
            <v>PJU TALES 1</v>
          </cell>
          <cell r="D326" t="str">
            <v>TALES</v>
          </cell>
          <cell r="E326"/>
          <cell r="F326"/>
          <cell r="G326" t="str">
            <v>P3</v>
          </cell>
          <cell r="H326">
            <v>3500</v>
          </cell>
          <cell r="I326" t="str">
            <v>202505</v>
          </cell>
          <cell r="J326" t="str">
            <v>048802</v>
          </cell>
          <cell r="K326">
            <v>1278</v>
          </cell>
          <cell r="L326">
            <v>2171999</v>
          </cell>
          <cell r="M326">
            <v>0</v>
          </cell>
          <cell r="N326">
            <v>2171999</v>
          </cell>
          <cell r="O326">
            <v>0</v>
          </cell>
          <cell r="P326">
            <v>0</v>
          </cell>
          <cell r="Q326">
            <v>0</v>
          </cell>
          <cell r="R326">
            <v>2171999</v>
          </cell>
          <cell r="S326">
            <v>0</v>
          </cell>
          <cell r="T326">
            <v>2171999</v>
          </cell>
          <cell r="U326">
            <v>0</v>
          </cell>
          <cell r="V326">
            <v>2171999</v>
          </cell>
          <cell r="W326">
            <v>2171999</v>
          </cell>
          <cell r="X326">
            <v>0</v>
          </cell>
        </row>
        <row r="327">
          <cell r="B327">
            <v>514100845112</v>
          </cell>
          <cell r="C327" t="str">
            <v>PJU BRANGGAHAN</v>
          </cell>
          <cell r="D327" t="str">
            <v>BRANGGAHAN</v>
          </cell>
          <cell r="E327"/>
          <cell r="F327"/>
          <cell r="G327" t="str">
            <v>P3</v>
          </cell>
          <cell r="H327">
            <v>3500</v>
          </cell>
          <cell r="I327" t="str">
            <v>202505</v>
          </cell>
          <cell r="J327" t="str">
            <v>048468</v>
          </cell>
          <cell r="K327">
            <v>578</v>
          </cell>
          <cell r="L327">
            <v>982328</v>
          </cell>
          <cell r="M327">
            <v>0</v>
          </cell>
          <cell r="N327">
            <v>982328</v>
          </cell>
          <cell r="O327">
            <v>0</v>
          </cell>
          <cell r="P327">
            <v>0</v>
          </cell>
          <cell r="Q327">
            <v>0</v>
          </cell>
          <cell r="R327">
            <v>982328</v>
          </cell>
          <cell r="S327">
            <v>0</v>
          </cell>
          <cell r="T327">
            <v>982328</v>
          </cell>
          <cell r="U327">
            <v>0</v>
          </cell>
          <cell r="V327">
            <v>982328</v>
          </cell>
          <cell r="W327">
            <v>982328</v>
          </cell>
          <cell r="X327">
            <v>0</v>
          </cell>
        </row>
        <row r="328">
          <cell r="B328">
            <v>514100845120</v>
          </cell>
          <cell r="C328" t="str">
            <v>PJU SAMBI BARAT</v>
          </cell>
          <cell r="D328" t="str">
            <v>SAMBI</v>
          </cell>
          <cell r="E328"/>
          <cell r="F328"/>
          <cell r="G328" t="str">
            <v>P3</v>
          </cell>
          <cell r="H328">
            <v>7700</v>
          </cell>
          <cell r="I328" t="str">
            <v>202505</v>
          </cell>
          <cell r="J328" t="str">
            <v>048353</v>
          </cell>
          <cell r="K328">
            <v>1123</v>
          </cell>
          <cell r="L328">
            <v>1908572</v>
          </cell>
          <cell r="M328">
            <v>0</v>
          </cell>
          <cell r="N328">
            <v>1908572</v>
          </cell>
          <cell r="O328">
            <v>0</v>
          </cell>
          <cell r="P328">
            <v>0</v>
          </cell>
          <cell r="Q328">
            <v>0</v>
          </cell>
          <cell r="R328">
            <v>1908572</v>
          </cell>
          <cell r="S328">
            <v>0</v>
          </cell>
          <cell r="T328">
            <v>1908572</v>
          </cell>
          <cell r="U328">
            <v>0</v>
          </cell>
          <cell r="V328">
            <v>1908572</v>
          </cell>
          <cell r="W328">
            <v>1908572</v>
          </cell>
          <cell r="X328">
            <v>0</v>
          </cell>
        </row>
        <row r="329">
          <cell r="B329">
            <v>514100845138</v>
          </cell>
          <cell r="C329" t="str">
            <v>PJU DEYENG 3</v>
          </cell>
          <cell r="D329" t="str">
            <v>PATILALER DEYENG</v>
          </cell>
          <cell r="E329"/>
          <cell r="F329"/>
          <cell r="G329" t="str">
            <v>P3</v>
          </cell>
          <cell r="H329">
            <v>3500</v>
          </cell>
          <cell r="I329" t="str">
            <v>202505</v>
          </cell>
          <cell r="J329" t="str">
            <v>048268</v>
          </cell>
          <cell r="K329">
            <v>782</v>
          </cell>
          <cell r="L329">
            <v>1329032</v>
          </cell>
          <cell r="M329">
            <v>0</v>
          </cell>
          <cell r="N329">
            <v>1329032</v>
          </cell>
          <cell r="O329">
            <v>0</v>
          </cell>
          <cell r="P329">
            <v>0</v>
          </cell>
          <cell r="Q329">
            <v>0</v>
          </cell>
          <cell r="R329">
            <v>1329032</v>
          </cell>
          <cell r="S329">
            <v>0</v>
          </cell>
          <cell r="T329">
            <v>1329032</v>
          </cell>
          <cell r="U329">
            <v>0</v>
          </cell>
          <cell r="V329">
            <v>1329032</v>
          </cell>
          <cell r="W329">
            <v>1329032</v>
          </cell>
          <cell r="X329">
            <v>0</v>
          </cell>
        </row>
        <row r="330">
          <cell r="B330">
            <v>514100845146</v>
          </cell>
          <cell r="C330" t="str">
            <v>PJU SELOSARI 1</v>
          </cell>
          <cell r="D330" t="str">
            <v>SELOSARI</v>
          </cell>
          <cell r="E330"/>
          <cell r="F330"/>
          <cell r="G330" t="str">
            <v>P3</v>
          </cell>
          <cell r="H330">
            <v>4400</v>
          </cell>
          <cell r="I330" t="str">
            <v>202505</v>
          </cell>
          <cell r="J330" t="str">
            <v>048459</v>
          </cell>
          <cell r="K330">
            <v>1096</v>
          </cell>
          <cell r="L330">
            <v>1862685</v>
          </cell>
          <cell r="M330">
            <v>0</v>
          </cell>
          <cell r="N330">
            <v>1862685</v>
          </cell>
          <cell r="O330">
            <v>0</v>
          </cell>
          <cell r="P330">
            <v>0</v>
          </cell>
          <cell r="Q330">
            <v>0</v>
          </cell>
          <cell r="R330">
            <v>1862685</v>
          </cell>
          <cell r="S330">
            <v>0</v>
          </cell>
          <cell r="T330">
            <v>1862685</v>
          </cell>
          <cell r="U330">
            <v>0</v>
          </cell>
          <cell r="V330">
            <v>1862685</v>
          </cell>
          <cell r="W330">
            <v>1862685</v>
          </cell>
          <cell r="X330">
            <v>0</v>
          </cell>
        </row>
        <row r="331">
          <cell r="B331">
            <v>514100845153</v>
          </cell>
          <cell r="C331" t="str">
            <v>PJU DAWUNG 5</v>
          </cell>
          <cell r="D331" t="str">
            <v>DAWUNG</v>
          </cell>
          <cell r="E331"/>
          <cell r="F331"/>
          <cell r="G331" t="str">
            <v>P3</v>
          </cell>
          <cell r="H331">
            <v>7700</v>
          </cell>
          <cell r="I331" t="str">
            <v>202505</v>
          </cell>
          <cell r="J331" t="str">
            <v>048533</v>
          </cell>
          <cell r="K331">
            <v>826</v>
          </cell>
          <cell r="L331">
            <v>1403812</v>
          </cell>
          <cell r="M331">
            <v>0</v>
          </cell>
          <cell r="N331">
            <v>1403812</v>
          </cell>
          <cell r="O331">
            <v>0</v>
          </cell>
          <cell r="P331">
            <v>0</v>
          </cell>
          <cell r="Q331">
            <v>0</v>
          </cell>
          <cell r="R331">
            <v>1403812</v>
          </cell>
          <cell r="S331">
            <v>0</v>
          </cell>
          <cell r="T331">
            <v>1403812</v>
          </cell>
          <cell r="U331">
            <v>0</v>
          </cell>
          <cell r="V331">
            <v>1403812</v>
          </cell>
          <cell r="W331">
            <v>1403812</v>
          </cell>
          <cell r="X331">
            <v>0</v>
          </cell>
        </row>
        <row r="332">
          <cell r="B332">
            <v>514100845161</v>
          </cell>
          <cell r="C332" t="str">
            <v>PJU DAWUNG</v>
          </cell>
          <cell r="D332" t="str">
            <v>DAWUNG</v>
          </cell>
          <cell r="E332"/>
          <cell r="F332"/>
          <cell r="G332" t="str">
            <v>P3</v>
          </cell>
          <cell r="H332">
            <v>5500</v>
          </cell>
          <cell r="I332" t="str">
            <v>202505</v>
          </cell>
          <cell r="J332" t="str">
            <v>048343</v>
          </cell>
          <cell r="K332">
            <v>1758</v>
          </cell>
          <cell r="L332">
            <v>2987774</v>
          </cell>
          <cell r="M332">
            <v>0</v>
          </cell>
          <cell r="N332">
            <v>2987774</v>
          </cell>
          <cell r="O332">
            <v>0</v>
          </cell>
          <cell r="P332">
            <v>0</v>
          </cell>
          <cell r="Q332">
            <v>0</v>
          </cell>
          <cell r="R332">
            <v>2987774</v>
          </cell>
          <cell r="S332">
            <v>0</v>
          </cell>
          <cell r="T332">
            <v>2987774</v>
          </cell>
          <cell r="U332">
            <v>0</v>
          </cell>
          <cell r="V332">
            <v>2987774</v>
          </cell>
          <cell r="W332">
            <v>2987774</v>
          </cell>
          <cell r="X332">
            <v>0</v>
          </cell>
        </row>
        <row r="333">
          <cell r="B333">
            <v>514100845179</v>
          </cell>
          <cell r="C333" t="str">
            <v>PJU CENDONO 3</v>
          </cell>
          <cell r="D333" t="str">
            <v>CENDONO</v>
          </cell>
          <cell r="E333"/>
          <cell r="F333"/>
          <cell r="G333" t="str">
            <v>P3</v>
          </cell>
          <cell r="H333">
            <v>3500</v>
          </cell>
          <cell r="I333" t="str">
            <v>202505</v>
          </cell>
          <cell r="J333" t="str">
            <v>048696</v>
          </cell>
          <cell r="K333">
            <v>643</v>
          </cell>
          <cell r="L333">
            <v>1092798</v>
          </cell>
          <cell r="M333">
            <v>0</v>
          </cell>
          <cell r="N333">
            <v>1092798</v>
          </cell>
          <cell r="O333">
            <v>0</v>
          </cell>
          <cell r="P333">
            <v>0</v>
          </cell>
          <cell r="Q333">
            <v>0</v>
          </cell>
          <cell r="R333">
            <v>1092798</v>
          </cell>
          <cell r="S333">
            <v>0</v>
          </cell>
          <cell r="T333">
            <v>1092798</v>
          </cell>
          <cell r="U333">
            <v>0</v>
          </cell>
          <cell r="V333">
            <v>1092798</v>
          </cell>
          <cell r="W333">
            <v>1092798</v>
          </cell>
          <cell r="X333">
            <v>0</v>
          </cell>
        </row>
        <row r="334">
          <cell r="B334">
            <v>514100845187</v>
          </cell>
          <cell r="C334" t="str">
            <v>PJU SLUMBUNG 2</v>
          </cell>
          <cell r="D334" t="str">
            <v>SLUMBUNG</v>
          </cell>
          <cell r="E334"/>
          <cell r="F334"/>
          <cell r="G334" t="str">
            <v>P3</v>
          </cell>
          <cell r="H334">
            <v>3500</v>
          </cell>
          <cell r="I334" t="str">
            <v>202505</v>
          </cell>
          <cell r="J334" t="str">
            <v>048600</v>
          </cell>
          <cell r="K334">
            <v>981</v>
          </cell>
          <cell r="L334">
            <v>1667239</v>
          </cell>
          <cell r="M334">
            <v>0</v>
          </cell>
          <cell r="N334">
            <v>1667239</v>
          </cell>
          <cell r="O334">
            <v>0</v>
          </cell>
          <cell r="P334">
            <v>0</v>
          </cell>
          <cell r="Q334">
            <v>0</v>
          </cell>
          <cell r="R334">
            <v>1667239</v>
          </cell>
          <cell r="S334">
            <v>0</v>
          </cell>
          <cell r="T334">
            <v>1667239</v>
          </cell>
          <cell r="U334">
            <v>0</v>
          </cell>
          <cell r="V334">
            <v>1667239</v>
          </cell>
          <cell r="W334">
            <v>1667239</v>
          </cell>
          <cell r="X334">
            <v>0</v>
          </cell>
        </row>
        <row r="335">
          <cell r="B335">
            <v>514100845195</v>
          </cell>
          <cell r="C335" t="str">
            <v>PJU CENDONO 4</v>
          </cell>
          <cell r="D335" t="str">
            <v>DUMPUNG</v>
          </cell>
          <cell r="E335"/>
          <cell r="F335"/>
          <cell r="G335" t="str">
            <v>P3</v>
          </cell>
          <cell r="H335">
            <v>4400</v>
          </cell>
          <cell r="I335" t="str">
            <v>202505</v>
          </cell>
          <cell r="J335" t="str">
            <v>048531</v>
          </cell>
          <cell r="K335">
            <v>1263</v>
          </cell>
          <cell r="L335">
            <v>2146506</v>
          </cell>
          <cell r="M335">
            <v>0</v>
          </cell>
          <cell r="N335">
            <v>2146506</v>
          </cell>
          <cell r="O335">
            <v>0</v>
          </cell>
          <cell r="P335">
            <v>0</v>
          </cell>
          <cell r="Q335">
            <v>0</v>
          </cell>
          <cell r="R335">
            <v>2146506</v>
          </cell>
          <cell r="S335">
            <v>0</v>
          </cell>
          <cell r="T335">
            <v>2146506</v>
          </cell>
          <cell r="U335">
            <v>0</v>
          </cell>
          <cell r="V335">
            <v>2146506</v>
          </cell>
          <cell r="W335">
            <v>2146506</v>
          </cell>
          <cell r="X335">
            <v>0</v>
          </cell>
        </row>
        <row r="336">
          <cell r="B336">
            <v>514100845208</v>
          </cell>
          <cell r="C336" t="str">
            <v>PJU SELOMANEN</v>
          </cell>
          <cell r="D336" t="str">
            <v>SELOMANEN</v>
          </cell>
          <cell r="E336"/>
          <cell r="F336"/>
          <cell r="G336" t="str">
            <v>P3</v>
          </cell>
          <cell r="H336">
            <v>3500</v>
          </cell>
          <cell r="I336" t="str">
            <v>202505</v>
          </cell>
          <cell r="J336" t="str">
            <v>048650</v>
          </cell>
          <cell r="K336">
            <v>1178</v>
          </cell>
          <cell r="L336">
            <v>2002046</v>
          </cell>
          <cell r="M336">
            <v>0</v>
          </cell>
          <cell r="N336">
            <v>2002046</v>
          </cell>
          <cell r="O336">
            <v>0</v>
          </cell>
          <cell r="P336">
            <v>0</v>
          </cell>
          <cell r="Q336">
            <v>0</v>
          </cell>
          <cell r="R336">
            <v>2002046</v>
          </cell>
          <cell r="S336">
            <v>0</v>
          </cell>
          <cell r="T336">
            <v>2002046</v>
          </cell>
          <cell r="U336">
            <v>0</v>
          </cell>
          <cell r="V336">
            <v>2002046</v>
          </cell>
          <cell r="W336">
            <v>2002046</v>
          </cell>
          <cell r="X336">
            <v>0</v>
          </cell>
        </row>
        <row r="337">
          <cell r="B337">
            <v>514100845216</v>
          </cell>
          <cell r="C337" t="str">
            <v>PJU PURWODADI</v>
          </cell>
          <cell r="D337" t="str">
            <v>PURWODADI</v>
          </cell>
          <cell r="E337"/>
          <cell r="F337"/>
          <cell r="G337" t="str">
            <v>P3</v>
          </cell>
          <cell r="H337">
            <v>7700</v>
          </cell>
          <cell r="I337" t="str">
            <v>202505</v>
          </cell>
          <cell r="J337" t="str">
            <v>048345</v>
          </cell>
          <cell r="K337">
            <v>2290</v>
          </cell>
          <cell r="L337">
            <v>3891924</v>
          </cell>
          <cell r="M337">
            <v>0</v>
          </cell>
          <cell r="N337">
            <v>3891924</v>
          </cell>
          <cell r="O337">
            <v>0</v>
          </cell>
          <cell r="P337">
            <v>0</v>
          </cell>
          <cell r="Q337">
            <v>0</v>
          </cell>
          <cell r="R337">
            <v>3891924</v>
          </cell>
          <cell r="S337">
            <v>0</v>
          </cell>
          <cell r="T337">
            <v>3891924</v>
          </cell>
          <cell r="U337">
            <v>0</v>
          </cell>
          <cell r="V337">
            <v>3891924</v>
          </cell>
          <cell r="W337">
            <v>3891924</v>
          </cell>
          <cell r="X337">
            <v>0</v>
          </cell>
        </row>
        <row r="338">
          <cell r="B338">
            <v>514100944013</v>
          </cell>
          <cell r="C338" t="str">
            <v>PJU ALAM TERATAI 2</v>
          </cell>
          <cell r="D338" t="str">
            <v>ALAM TERATAI II</v>
          </cell>
          <cell r="E338"/>
          <cell r="F338"/>
          <cell r="G338" t="str">
            <v>P3</v>
          </cell>
          <cell r="H338">
            <v>450</v>
          </cell>
          <cell r="I338" t="str">
            <v>202505</v>
          </cell>
          <cell r="J338" t="str">
            <v>005148</v>
          </cell>
          <cell r="K338">
            <v>60</v>
          </cell>
          <cell r="L338">
            <v>101972</v>
          </cell>
          <cell r="M338">
            <v>0</v>
          </cell>
          <cell r="N338">
            <v>101972</v>
          </cell>
          <cell r="O338">
            <v>0</v>
          </cell>
          <cell r="P338">
            <v>0</v>
          </cell>
          <cell r="Q338">
            <v>0</v>
          </cell>
          <cell r="R338">
            <v>101972</v>
          </cell>
          <cell r="S338">
            <v>0</v>
          </cell>
          <cell r="T338">
            <v>101972</v>
          </cell>
          <cell r="U338">
            <v>0</v>
          </cell>
          <cell r="V338">
            <v>101972</v>
          </cell>
          <cell r="W338">
            <v>101972</v>
          </cell>
          <cell r="X338">
            <v>0</v>
          </cell>
        </row>
        <row r="339">
          <cell r="B339">
            <v>514101015125</v>
          </cell>
          <cell r="C339" t="str">
            <v>PJU DSN TUGUREJO</v>
          </cell>
          <cell r="D339" t="str">
            <v>DUSUN TUGUREJO</v>
          </cell>
          <cell r="E339"/>
          <cell r="F339"/>
          <cell r="G339" t="str">
            <v>P3</v>
          </cell>
          <cell r="H339">
            <v>3500</v>
          </cell>
          <cell r="I339" t="str">
            <v>202505</v>
          </cell>
          <cell r="J339" t="str">
            <v>048434</v>
          </cell>
          <cell r="K339">
            <v>1673</v>
          </cell>
          <cell r="L339">
            <v>2843314</v>
          </cell>
          <cell r="M339">
            <v>0</v>
          </cell>
          <cell r="N339">
            <v>2843314</v>
          </cell>
          <cell r="O339">
            <v>0</v>
          </cell>
          <cell r="P339">
            <v>0</v>
          </cell>
          <cell r="Q339">
            <v>0</v>
          </cell>
          <cell r="R339">
            <v>2843314</v>
          </cell>
          <cell r="S339">
            <v>0</v>
          </cell>
          <cell r="T339">
            <v>2843314</v>
          </cell>
          <cell r="U339">
            <v>0</v>
          </cell>
          <cell r="V339">
            <v>2843314</v>
          </cell>
          <cell r="W339">
            <v>2843314</v>
          </cell>
          <cell r="X339">
            <v>0</v>
          </cell>
        </row>
        <row r="340">
          <cell r="B340">
            <v>514101115658</v>
          </cell>
          <cell r="C340" t="str">
            <v>PJU JAMEKAN</v>
          </cell>
          <cell r="D340" t="str">
            <v>JAMEKAN</v>
          </cell>
          <cell r="E340"/>
          <cell r="F340"/>
          <cell r="G340" t="str">
            <v>P3</v>
          </cell>
          <cell r="H340">
            <v>2200</v>
          </cell>
          <cell r="I340" t="str">
            <v>202505</v>
          </cell>
          <cell r="J340" t="str">
            <v>048677</v>
          </cell>
          <cell r="K340">
            <v>671</v>
          </cell>
          <cell r="L340">
            <v>1140385</v>
          </cell>
          <cell r="M340">
            <v>0</v>
          </cell>
          <cell r="N340">
            <v>1140385</v>
          </cell>
          <cell r="O340">
            <v>0</v>
          </cell>
          <cell r="P340">
            <v>0</v>
          </cell>
          <cell r="Q340">
            <v>0</v>
          </cell>
          <cell r="R340">
            <v>1140385</v>
          </cell>
          <cell r="S340">
            <v>0</v>
          </cell>
          <cell r="T340">
            <v>1140385</v>
          </cell>
          <cell r="U340">
            <v>0</v>
          </cell>
          <cell r="V340">
            <v>1140385</v>
          </cell>
          <cell r="W340">
            <v>1140385</v>
          </cell>
          <cell r="X340">
            <v>0</v>
          </cell>
        </row>
        <row r="341">
          <cell r="B341">
            <v>514101115666</v>
          </cell>
          <cell r="C341" t="str">
            <v>PJU  POJOK</v>
          </cell>
          <cell r="D341" t="str">
            <v>POJOK WATES</v>
          </cell>
          <cell r="E341"/>
          <cell r="F341"/>
          <cell r="G341" t="str">
            <v>P3</v>
          </cell>
          <cell r="H341">
            <v>4400</v>
          </cell>
          <cell r="I341" t="str">
            <v>202505</v>
          </cell>
          <cell r="J341" t="str">
            <v>048416</v>
          </cell>
          <cell r="K341">
            <v>2030</v>
          </cell>
          <cell r="L341">
            <v>3450046</v>
          </cell>
          <cell r="M341">
            <v>0</v>
          </cell>
          <cell r="N341">
            <v>3450046</v>
          </cell>
          <cell r="O341">
            <v>0</v>
          </cell>
          <cell r="P341">
            <v>0</v>
          </cell>
          <cell r="Q341">
            <v>0</v>
          </cell>
          <cell r="R341">
            <v>3450046</v>
          </cell>
          <cell r="S341">
            <v>0</v>
          </cell>
          <cell r="T341">
            <v>3450046</v>
          </cell>
          <cell r="U341">
            <v>0</v>
          </cell>
          <cell r="V341">
            <v>3450046</v>
          </cell>
          <cell r="W341">
            <v>3450046</v>
          </cell>
          <cell r="X341">
            <v>0</v>
          </cell>
        </row>
        <row r="342">
          <cell r="B342">
            <v>514101115674</v>
          </cell>
          <cell r="C342" t="str">
            <v>PJU NGERCO</v>
          </cell>
          <cell r="D342" t="str">
            <v>NGERCO</v>
          </cell>
          <cell r="E342"/>
          <cell r="F342"/>
          <cell r="G342" t="str">
            <v>P3</v>
          </cell>
          <cell r="H342">
            <v>3500</v>
          </cell>
          <cell r="I342" t="str">
            <v>202505</v>
          </cell>
          <cell r="J342" t="str">
            <v>048333</v>
          </cell>
          <cell r="K342">
            <v>851</v>
          </cell>
          <cell r="L342">
            <v>1446300</v>
          </cell>
          <cell r="M342">
            <v>0</v>
          </cell>
          <cell r="N342">
            <v>1446300</v>
          </cell>
          <cell r="O342">
            <v>0</v>
          </cell>
          <cell r="P342">
            <v>0</v>
          </cell>
          <cell r="Q342">
            <v>0</v>
          </cell>
          <cell r="R342">
            <v>1446300</v>
          </cell>
          <cell r="S342">
            <v>0</v>
          </cell>
          <cell r="T342">
            <v>1446300</v>
          </cell>
          <cell r="U342">
            <v>0</v>
          </cell>
          <cell r="V342">
            <v>1446300</v>
          </cell>
          <cell r="W342">
            <v>1446300</v>
          </cell>
          <cell r="X342">
            <v>0</v>
          </cell>
        </row>
        <row r="343">
          <cell r="B343">
            <v>514101115682</v>
          </cell>
          <cell r="C343" t="str">
            <v>PJU  BEDUG</v>
          </cell>
          <cell r="D343" t="str">
            <v>BEDUG</v>
          </cell>
          <cell r="E343"/>
          <cell r="F343"/>
          <cell r="G343" t="str">
            <v>P3</v>
          </cell>
          <cell r="H343">
            <v>5500</v>
          </cell>
          <cell r="I343" t="str">
            <v>202505</v>
          </cell>
          <cell r="J343" t="str">
            <v>048596</v>
          </cell>
          <cell r="K343">
            <v>772</v>
          </cell>
          <cell r="L343">
            <v>1312037</v>
          </cell>
          <cell r="M343">
            <v>0</v>
          </cell>
          <cell r="N343">
            <v>1312037</v>
          </cell>
          <cell r="O343">
            <v>0</v>
          </cell>
          <cell r="P343">
            <v>0</v>
          </cell>
          <cell r="Q343">
            <v>0</v>
          </cell>
          <cell r="R343">
            <v>1312037</v>
          </cell>
          <cell r="S343">
            <v>0</v>
          </cell>
          <cell r="T343">
            <v>1312037</v>
          </cell>
          <cell r="U343">
            <v>0</v>
          </cell>
          <cell r="V343">
            <v>1312037</v>
          </cell>
          <cell r="W343">
            <v>1312037</v>
          </cell>
          <cell r="X343">
            <v>0</v>
          </cell>
        </row>
        <row r="344">
          <cell r="B344">
            <v>514101115690</v>
          </cell>
          <cell r="C344" t="str">
            <v>PJU KARTOSARI</v>
          </cell>
          <cell r="D344" t="str">
            <v>KARTOSARI KANDAT</v>
          </cell>
          <cell r="E344"/>
          <cell r="F344"/>
          <cell r="G344" t="str">
            <v>P3</v>
          </cell>
          <cell r="H344">
            <v>5500</v>
          </cell>
          <cell r="I344" t="str">
            <v>202505</v>
          </cell>
          <cell r="J344" t="str">
            <v>048608</v>
          </cell>
          <cell r="K344">
            <v>2541</v>
          </cell>
          <cell r="L344">
            <v>4318506</v>
          </cell>
          <cell r="M344">
            <v>0</v>
          </cell>
          <cell r="N344">
            <v>4318506</v>
          </cell>
          <cell r="O344">
            <v>0</v>
          </cell>
          <cell r="P344">
            <v>0</v>
          </cell>
          <cell r="Q344">
            <v>0</v>
          </cell>
          <cell r="R344">
            <v>4318506</v>
          </cell>
          <cell r="S344">
            <v>0</v>
          </cell>
          <cell r="T344">
            <v>4318506</v>
          </cell>
          <cell r="U344">
            <v>0</v>
          </cell>
          <cell r="V344">
            <v>4318506</v>
          </cell>
          <cell r="W344">
            <v>4318506</v>
          </cell>
          <cell r="X344">
            <v>0</v>
          </cell>
        </row>
        <row r="345">
          <cell r="B345">
            <v>514101115704</v>
          </cell>
          <cell r="C345" t="str">
            <v>PJU BANJARANYAR KRAS</v>
          </cell>
          <cell r="D345" t="str">
            <v>BANJARANYAR</v>
          </cell>
          <cell r="E345"/>
          <cell r="F345"/>
          <cell r="G345" t="str">
            <v>P3</v>
          </cell>
          <cell r="H345">
            <v>3500</v>
          </cell>
          <cell r="I345" t="str">
            <v>202505</v>
          </cell>
          <cell r="J345" t="str">
            <v>048323</v>
          </cell>
          <cell r="K345">
            <v>1314</v>
          </cell>
          <cell r="L345">
            <v>2233182</v>
          </cell>
          <cell r="M345">
            <v>0</v>
          </cell>
          <cell r="N345">
            <v>2233182</v>
          </cell>
          <cell r="O345">
            <v>0</v>
          </cell>
          <cell r="P345">
            <v>0</v>
          </cell>
          <cell r="Q345">
            <v>0</v>
          </cell>
          <cell r="R345">
            <v>2233182</v>
          </cell>
          <cell r="S345">
            <v>0</v>
          </cell>
          <cell r="T345">
            <v>2233182</v>
          </cell>
          <cell r="U345">
            <v>0</v>
          </cell>
          <cell r="V345">
            <v>2233182</v>
          </cell>
          <cell r="W345">
            <v>2233182</v>
          </cell>
          <cell r="X345">
            <v>0</v>
          </cell>
        </row>
        <row r="346">
          <cell r="B346">
            <v>514101115712</v>
          </cell>
          <cell r="C346" t="str">
            <v>PJU  PAGU 1</v>
          </cell>
          <cell r="D346" t="str">
            <v>PAGU</v>
          </cell>
          <cell r="E346"/>
          <cell r="F346"/>
          <cell r="G346" t="str">
            <v>P3</v>
          </cell>
          <cell r="H346">
            <v>5500</v>
          </cell>
          <cell r="I346" t="str">
            <v>202505</v>
          </cell>
          <cell r="J346" t="str">
            <v>048639</v>
          </cell>
          <cell r="K346">
            <v>1615</v>
          </cell>
          <cell r="L346">
            <v>2744741</v>
          </cell>
          <cell r="M346">
            <v>0</v>
          </cell>
          <cell r="N346">
            <v>2744741</v>
          </cell>
          <cell r="O346">
            <v>0</v>
          </cell>
          <cell r="P346">
            <v>0</v>
          </cell>
          <cell r="Q346">
            <v>0</v>
          </cell>
          <cell r="R346">
            <v>2744741</v>
          </cell>
          <cell r="S346">
            <v>0</v>
          </cell>
          <cell r="T346">
            <v>2744741</v>
          </cell>
          <cell r="U346">
            <v>0</v>
          </cell>
          <cell r="V346">
            <v>2744741</v>
          </cell>
          <cell r="W346">
            <v>2744741</v>
          </cell>
          <cell r="X346">
            <v>0</v>
          </cell>
        </row>
        <row r="347">
          <cell r="B347">
            <v>514101115720</v>
          </cell>
          <cell r="C347" t="str">
            <v>PJU BADAL PANDEAN</v>
          </cell>
          <cell r="D347" t="str">
            <v>BADAL PANDEAN</v>
          </cell>
          <cell r="E347"/>
          <cell r="F347"/>
          <cell r="G347" t="str">
            <v>P3</v>
          </cell>
          <cell r="H347">
            <v>5500</v>
          </cell>
          <cell r="I347" t="str">
            <v>202505</v>
          </cell>
          <cell r="J347" t="str">
            <v>048737</v>
          </cell>
          <cell r="K347">
            <v>2756</v>
          </cell>
          <cell r="L347">
            <v>4683905</v>
          </cell>
          <cell r="M347">
            <v>0</v>
          </cell>
          <cell r="N347">
            <v>4683905</v>
          </cell>
          <cell r="O347">
            <v>0</v>
          </cell>
          <cell r="P347">
            <v>0</v>
          </cell>
          <cell r="Q347">
            <v>0</v>
          </cell>
          <cell r="R347">
            <v>4683905</v>
          </cell>
          <cell r="S347">
            <v>0</v>
          </cell>
          <cell r="T347">
            <v>4683905</v>
          </cell>
          <cell r="U347">
            <v>0</v>
          </cell>
          <cell r="V347">
            <v>4683905</v>
          </cell>
          <cell r="W347">
            <v>4683905</v>
          </cell>
          <cell r="X347">
            <v>0</v>
          </cell>
        </row>
        <row r="348">
          <cell r="B348">
            <v>514101115738</v>
          </cell>
          <cell r="C348" t="str">
            <v>PJU CENDONO</v>
          </cell>
          <cell r="D348" t="str">
            <v>CENDONO KANDAT</v>
          </cell>
          <cell r="E348"/>
          <cell r="F348"/>
          <cell r="G348" t="str">
            <v>P3</v>
          </cell>
          <cell r="H348">
            <v>3500</v>
          </cell>
          <cell r="I348" t="str">
            <v>202505</v>
          </cell>
          <cell r="J348" t="str">
            <v>048507</v>
          </cell>
          <cell r="K348">
            <v>1021</v>
          </cell>
          <cell r="L348">
            <v>1735220</v>
          </cell>
          <cell r="M348">
            <v>0</v>
          </cell>
          <cell r="N348">
            <v>1735220</v>
          </cell>
          <cell r="O348">
            <v>0</v>
          </cell>
          <cell r="P348">
            <v>0</v>
          </cell>
          <cell r="Q348">
            <v>0</v>
          </cell>
          <cell r="R348">
            <v>1735220</v>
          </cell>
          <cell r="S348">
            <v>0</v>
          </cell>
          <cell r="T348">
            <v>1735220</v>
          </cell>
          <cell r="U348">
            <v>0</v>
          </cell>
          <cell r="V348">
            <v>1735220</v>
          </cell>
          <cell r="W348">
            <v>1735220</v>
          </cell>
          <cell r="X348">
            <v>0</v>
          </cell>
        </row>
        <row r="349">
          <cell r="B349">
            <v>514101115746</v>
          </cell>
          <cell r="C349" t="str">
            <v>PJU JAMBEAN SEKETI</v>
          </cell>
          <cell r="D349" t="str">
            <v>JAMBEAN SEKETI</v>
          </cell>
          <cell r="E349"/>
          <cell r="F349"/>
          <cell r="G349" t="str">
            <v>P3</v>
          </cell>
          <cell r="H349">
            <v>5500</v>
          </cell>
          <cell r="I349" t="str">
            <v>202505</v>
          </cell>
          <cell r="J349" t="str">
            <v>048448</v>
          </cell>
          <cell r="K349">
            <v>1570</v>
          </cell>
          <cell r="L349">
            <v>2668262</v>
          </cell>
          <cell r="M349">
            <v>0</v>
          </cell>
          <cell r="N349">
            <v>2668262</v>
          </cell>
          <cell r="O349">
            <v>0</v>
          </cell>
          <cell r="P349">
            <v>0</v>
          </cell>
          <cell r="Q349">
            <v>0</v>
          </cell>
          <cell r="R349">
            <v>2668262</v>
          </cell>
          <cell r="S349">
            <v>0</v>
          </cell>
          <cell r="T349">
            <v>2668262</v>
          </cell>
          <cell r="U349">
            <v>0</v>
          </cell>
          <cell r="V349">
            <v>2668262</v>
          </cell>
          <cell r="W349">
            <v>2668262</v>
          </cell>
          <cell r="X349">
            <v>0</v>
          </cell>
        </row>
        <row r="350">
          <cell r="B350">
            <v>514101115753</v>
          </cell>
          <cell r="C350" t="str">
            <v>PJU NGRECO</v>
          </cell>
          <cell r="D350" t="str">
            <v>NGRECO</v>
          </cell>
          <cell r="E350"/>
          <cell r="F350"/>
          <cell r="G350" t="str">
            <v>P3</v>
          </cell>
          <cell r="H350">
            <v>4400</v>
          </cell>
          <cell r="I350" t="str">
            <v>202505</v>
          </cell>
          <cell r="J350" t="str">
            <v>048385</v>
          </cell>
          <cell r="K350">
            <v>1237</v>
          </cell>
          <cell r="L350">
            <v>2102319</v>
          </cell>
          <cell r="M350">
            <v>0</v>
          </cell>
          <cell r="N350">
            <v>2102319</v>
          </cell>
          <cell r="O350">
            <v>0</v>
          </cell>
          <cell r="P350">
            <v>0</v>
          </cell>
          <cell r="Q350">
            <v>0</v>
          </cell>
          <cell r="R350">
            <v>2102319</v>
          </cell>
          <cell r="S350">
            <v>0</v>
          </cell>
          <cell r="T350">
            <v>2102319</v>
          </cell>
          <cell r="U350">
            <v>0</v>
          </cell>
          <cell r="V350">
            <v>2102319</v>
          </cell>
          <cell r="W350">
            <v>2102319</v>
          </cell>
          <cell r="X350">
            <v>0</v>
          </cell>
        </row>
        <row r="351">
          <cell r="B351">
            <v>514101115761</v>
          </cell>
          <cell r="C351" t="str">
            <v>PJU JAMBEAN</v>
          </cell>
          <cell r="D351" t="str">
            <v>JAMBEAN</v>
          </cell>
          <cell r="E351"/>
          <cell r="F351"/>
          <cell r="G351" t="str">
            <v>P3</v>
          </cell>
          <cell r="H351">
            <v>3500</v>
          </cell>
          <cell r="I351" t="str">
            <v>202505</v>
          </cell>
          <cell r="J351" t="str">
            <v>048362</v>
          </cell>
          <cell r="K351">
            <v>1347</v>
          </cell>
          <cell r="L351">
            <v>2289267</v>
          </cell>
          <cell r="M351">
            <v>0</v>
          </cell>
          <cell r="N351">
            <v>2289267</v>
          </cell>
          <cell r="O351">
            <v>0</v>
          </cell>
          <cell r="P351">
            <v>0</v>
          </cell>
          <cell r="Q351">
            <v>0</v>
          </cell>
          <cell r="R351">
            <v>2289267</v>
          </cell>
          <cell r="S351">
            <v>0</v>
          </cell>
          <cell r="T351">
            <v>2289267</v>
          </cell>
          <cell r="U351">
            <v>0</v>
          </cell>
          <cell r="V351">
            <v>2289267</v>
          </cell>
          <cell r="W351">
            <v>2289267</v>
          </cell>
          <cell r="X351">
            <v>0</v>
          </cell>
        </row>
        <row r="352">
          <cell r="B352">
            <v>514101115779</v>
          </cell>
          <cell r="C352" t="str">
            <v>PJU POJOJK 2 WATES</v>
          </cell>
          <cell r="D352" t="str">
            <v>POJOK WATES</v>
          </cell>
          <cell r="E352"/>
          <cell r="F352"/>
          <cell r="G352" t="str">
            <v>P3</v>
          </cell>
          <cell r="H352">
            <v>5500</v>
          </cell>
          <cell r="I352" t="str">
            <v>202505</v>
          </cell>
          <cell r="J352" t="str">
            <v>048592</v>
          </cell>
          <cell r="K352">
            <v>1873</v>
          </cell>
          <cell r="L352">
            <v>3183220</v>
          </cell>
          <cell r="M352">
            <v>0</v>
          </cell>
          <cell r="N352">
            <v>3183220</v>
          </cell>
          <cell r="O352">
            <v>0</v>
          </cell>
          <cell r="P352">
            <v>0</v>
          </cell>
          <cell r="Q352">
            <v>0</v>
          </cell>
          <cell r="R352">
            <v>3183220</v>
          </cell>
          <cell r="S352">
            <v>0</v>
          </cell>
          <cell r="T352">
            <v>3183220</v>
          </cell>
          <cell r="U352">
            <v>0</v>
          </cell>
          <cell r="V352">
            <v>3183220</v>
          </cell>
          <cell r="W352">
            <v>3183220</v>
          </cell>
          <cell r="X352">
            <v>0</v>
          </cell>
        </row>
        <row r="353">
          <cell r="B353">
            <v>514101115787</v>
          </cell>
          <cell r="C353" t="str">
            <v>PJU BATUAJI</v>
          </cell>
          <cell r="D353" t="str">
            <v>BATUAJI</v>
          </cell>
          <cell r="E353"/>
          <cell r="F353"/>
          <cell r="G353" t="str">
            <v>P3</v>
          </cell>
          <cell r="H353">
            <v>3500</v>
          </cell>
          <cell r="I353" t="str">
            <v>202505</v>
          </cell>
          <cell r="J353" t="str">
            <v>048586</v>
          </cell>
          <cell r="K353">
            <v>1048</v>
          </cell>
          <cell r="L353">
            <v>1781107</v>
          </cell>
          <cell r="M353">
            <v>0</v>
          </cell>
          <cell r="N353">
            <v>1781107</v>
          </cell>
          <cell r="O353">
            <v>0</v>
          </cell>
          <cell r="P353">
            <v>0</v>
          </cell>
          <cell r="Q353">
            <v>0</v>
          </cell>
          <cell r="R353">
            <v>1781107</v>
          </cell>
          <cell r="S353">
            <v>0</v>
          </cell>
          <cell r="T353">
            <v>1781107</v>
          </cell>
          <cell r="U353">
            <v>0</v>
          </cell>
          <cell r="V353">
            <v>1781107</v>
          </cell>
          <cell r="W353">
            <v>1781107</v>
          </cell>
          <cell r="X353">
            <v>0</v>
          </cell>
        </row>
        <row r="354">
          <cell r="B354">
            <v>514101115795</v>
          </cell>
          <cell r="C354" t="str">
            <v>PJU BANJARANYAR 2</v>
          </cell>
          <cell r="D354" t="str">
            <v>BANJARANYAR</v>
          </cell>
          <cell r="E354"/>
          <cell r="F354"/>
          <cell r="G354" t="str">
            <v>P3</v>
          </cell>
          <cell r="H354">
            <v>3500</v>
          </cell>
          <cell r="I354" t="str">
            <v>202505</v>
          </cell>
          <cell r="J354" t="str">
            <v>048562</v>
          </cell>
          <cell r="K354">
            <v>1292</v>
          </cell>
          <cell r="L354">
            <v>2195793</v>
          </cell>
          <cell r="M354">
            <v>0</v>
          </cell>
          <cell r="N354">
            <v>2195793</v>
          </cell>
          <cell r="O354">
            <v>0</v>
          </cell>
          <cell r="P354">
            <v>0</v>
          </cell>
          <cell r="Q354">
            <v>0</v>
          </cell>
          <cell r="R354">
            <v>2195793</v>
          </cell>
          <cell r="S354">
            <v>0</v>
          </cell>
          <cell r="T354">
            <v>2195793</v>
          </cell>
          <cell r="U354">
            <v>0</v>
          </cell>
          <cell r="V354">
            <v>2195793</v>
          </cell>
          <cell r="W354">
            <v>2195793</v>
          </cell>
          <cell r="X354">
            <v>0</v>
          </cell>
        </row>
        <row r="355">
          <cell r="B355">
            <v>514101115808</v>
          </cell>
          <cell r="C355" t="str">
            <v>PJU TEGALAN</v>
          </cell>
          <cell r="D355" t="str">
            <v>TEGALAN</v>
          </cell>
          <cell r="E355"/>
          <cell r="F355"/>
          <cell r="G355" t="str">
            <v>P3</v>
          </cell>
          <cell r="H355">
            <v>3500</v>
          </cell>
          <cell r="I355" t="str">
            <v>202505</v>
          </cell>
          <cell r="J355" t="str">
            <v>048413</v>
          </cell>
          <cell r="K355">
            <v>1318</v>
          </cell>
          <cell r="L355">
            <v>2239981</v>
          </cell>
          <cell r="M355">
            <v>0</v>
          </cell>
          <cell r="N355">
            <v>2239981</v>
          </cell>
          <cell r="O355">
            <v>0</v>
          </cell>
          <cell r="P355">
            <v>0</v>
          </cell>
          <cell r="Q355">
            <v>0</v>
          </cell>
          <cell r="R355">
            <v>2239981</v>
          </cell>
          <cell r="S355">
            <v>0</v>
          </cell>
          <cell r="T355">
            <v>2239981</v>
          </cell>
          <cell r="U355">
            <v>0</v>
          </cell>
          <cell r="V355">
            <v>2239981</v>
          </cell>
          <cell r="W355">
            <v>2239981</v>
          </cell>
          <cell r="X355">
            <v>0</v>
          </cell>
        </row>
        <row r="356">
          <cell r="B356">
            <v>514101115816</v>
          </cell>
          <cell r="C356" t="str">
            <v>PJU SUMBERJO</v>
          </cell>
          <cell r="D356" t="str">
            <v>SUMBERJO</v>
          </cell>
          <cell r="E356"/>
          <cell r="F356"/>
          <cell r="G356" t="str">
            <v>P3</v>
          </cell>
          <cell r="H356">
            <v>3500</v>
          </cell>
          <cell r="I356" t="str">
            <v>202505</v>
          </cell>
          <cell r="J356" t="str">
            <v>048458</v>
          </cell>
          <cell r="K356">
            <v>1904</v>
          </cell>
          <cell r="L356">
            <v>3235905</v>
          </cell>
          <cell r="M356">
            <v>0</v>
          </cell>
          <cell r="N356">
            <v>3235905</v>
          </cell>
          <cell r="O356">
            <v>0</v>
          </cell>
          <cell r="P356">
            <v>0</v>
          </cell>
          <cell r="Q356">
            <v>0</v>
          </cell>
          <cell r="R356">
            <v>3235905</v>
          </cell>
          <cell r="S356">
            <v>0</v>
          </cell>
          <cell r="T356">
            <v>3235905</v>
          </cell>
          <cell r="U356">
            <v>0</v>
          </cell>
          <cell r="V356">
            <v>3235905</v>
          </cell>
          <cell r="W356">
            <v>3235905</v>
          </cell>
          <cell r="X356">
            <v>0</v>
          </cell>
        </row>
        <row r="357">
          <cell r="B357">
            <v>514101115824</v>
          </cell>
          <cell r="C357" t="str">
            <v>PJU BLABAK</v>
          </cell>
          <cell r="D357" t="str">
            <v>BLABAK</v>
          </cell>
          <cell r="E357"/>
          <cell r="F357"/>
          <cell r="G357" t="str">
            <v>P3</v>
          </cell>
          <cell r="H357">
            <v>3500</v>
          </cell>
          <cell r="I357" t="str">
            <v>202505</v>
          </cell>
          <cell r="J357" t="str">
            <v>048755</v>
          </cell>
          <cell r="K357">
            <v>253</v>
          </cell>
          <cell r="L357">
            <v>429981</v>
          </cell>
          <cell r="M357">
            <v>0</v>
          </cell>
          <cell r="N357">
            <v>429981</v>
          </cell>
          <cell r="O357">
            <v>0</v>
          </cell>
          <cell r="P357">
            <v>0</v>
          </cell>
          <cell r="Q357">
            <v>0</v>
          </cell>
          <cell r="R357">
            <v>429981</v>
          </cell>
          <cell r="S357">
            <v>0</v>
          </cell>
          <cell r="T357">
            <v>429981</v>
          </cell>
          <cell r="U357">
            <v>0</v>
          </cell>
          <cell r="V357">
            <v>429981</v>
          </cell>
          <cell r="W357">
            <v>429981</v>
          </cell>
          <cell r="X357">
            <v>0</v>
          </cell>
        </row>
        <row r="358">
          <cell r="B358">
            <v>514101115832</v>
          </cell>
          <cell r="C358" t="str">
            <v>PJU SELODONO</v>
          </cell>
          <cell r="D358" t="str">
            <v>SELODONO</v>
          </cell>
          <cell r="E358"/>
          <cell r="F358"/>
          <cell r="G358" t="str">
            <v>P3</v>
          </cell>
          <cell r="H358">
            <v>5500</v>
          </cell>
          <cell r="I358" t="str">
            <v>202505</v>
          </cell>
          <cell r="J358" t="str">
            <v>048695</v>
          </cell>
          <cell r="K358">
            <v>1933</v>
          </cell>
          <cell r="L358">
            <v>3285191</v>
          </cell>
          <cell r="M358">
            <v>0</v>
          </cell>
          <cell r="N358">
            <v>3285191</v>
          </cell>
          <cell r="O358">
            <v>0</v>
          </cell>
          <cell r="P358">
            <v>0</v>
          </cell>
          <cell r="Q358">
            <v>0</v>
          </cell>
          <cell r="R358">
            <v>3285191</v>
          </cell>
          <cell r="S358">
            <v>0</v>
          </cell>
          <cell r="T358">
            <v>3285191</v>
          </cell>
          <cell r="U358">
            <v>0</v>
          </cell>
          <cell r="V358">
            <v>3285191</v>
          </cell>
          <cell r="W358">
            <v>3285191</v>
          </cell>
          <cell r="X358">
            <v>0</v>
          </cell>
        </row>
        <row r="359">
          <cell r="B359">
            <v>514101115840</v>
          </cell>
          <cell r="C359" t="str">
            <v>PJU PAGU</v>
          </cell>
          <cell r="D359" t="str">
            <v>PAGU WATES</v>
          </cell>
          <cell r="E359"/>
          <cell r="F359"/>
          <cell r="G359" t="str">
            <v>P3</v>
          </cell>
          <cell r="H359">
            <v>3500</v>
          </cell>
          <cell r="I359" t="str">
            <v>202505</v>
          </cell>
          <cell r="J359" t="str">
            <v>048491</v>
          </cell>
          <cell r="K359">
            <v>1816</v>
          </cell>
          <cell r="L359">
            <v>3086346</v>
          </cell>
          <cell r="M359">
            <v>0</v>
          </cell>
          <cell r="N359">
            <v>3086346</v>
          </cell>
          <cell r="O359">
            <v>0</v>
          </cell>
          <cell r="P359">
            <v>0</v>
          </cell>
          <cell r="Q359">
            <v>0</v>
          </cell>
          <cell r="R359">
            <v>3086346</v>
          </cell>
          <cell r="S359">
            <v>0</v>
          </cell>
          <cell r="T359">
            <v>3086346</v>
          </cell>
          <cell r="U359">
            <v>0</v>
          </cell>
          <cell r="V359">
            <v>3086346</v>
          </cell>
          <cell r="W359">
            <v>3086346</v>
          </cell>
          <cell r="X359">
            <v>0</v>
          </cell>
        </row>
        <row r="360">
          <cell r="B360">
            <v>514101115857</v>
          </cell>
          <cell r="C360" t="str">
            <v>PJU RINGINSARI</v>
          </cell>
          <cell r="D360" t="str">
            <v>RINGINSARI</v>
          </cell>
          <cell r="E360"/>
          <cell r="F360"/>
          <cell r="G360" t="str">
            <v>P3</v>
          </cell>
          <cell r="H360">
            <v>3500</v>
          </cell>
          <cell r="I360" t="str">
            <v>202505</v>
          </cell>
          <cell r="J360" t="str">
            <v>048290</v>
          </cell>
          <cell r="K360">
            <v>1425</v>
          </cell>
          <cell r="L360">
            <v>2421830</v>
          </cell>
          <cell r="M360">
            <v>0</v>
          </cell>
          <cell r="N360">
            <v>2421830</v>
          </cell>
          <cell r="O360">
            <v>0</v>
          </cell>
          <cell r="P360">
            <v>0</v>
          </cell>
          <cell r="Q360">
            <v>0</v>
          </cell>
          <cell r="R360">
            <v>2421830</v>
          </cell>
          <cell r="S360">
            <v>0</v>
          </cell>
          <cell r="T360">
            <v>2421830</v>
          </cell>
          <cell r="U360">
            <v>0</v>
          </cell>
          <cell r="V360">
            <v>2421830</v>
          </cell>
          <cell r="W360">
            <v>2421830</v>
          </cell>
          <cell r="X360">
            <v>0</v>
          </cell>
        </row>
        <row r="361">
          <cell r="B361">
            <v>514101115865</v>
          </cell>
          <cell r="C361" t="str">
            <v>PJU PELAS 2</v>
          </cell>
          <cell r="D361" t="str">
            <v>PELAS</v>
          </cell>
          <cell r="E361"/>
          <cell r="F361"/>
          <cell r="G361" t="str">
            <v>P3</v>
          </cell>
          <cell r="H361">
            <v>3500</v>
          </cell>
          <cell r="I361" t="str">
            <v>202505</v>
          </cell>
          <cell r="J361" t="str">
            <v>048272</v>
          </cell>
          <cell r="K361">
            <v>1100</v>
          </cell>
          <cell r="L361">
            <v>1869483</v>
          </cell>
          <cell r="M361">
            <v>0</v>
          </cell>
          <cell r="N361">
            <v>1869483</v>
          </cell>
          <cell r="O361">
            <v>0</v>
          </cell>
          <cell r="P361">
            <v>0</v>
          </cell>
          <cell r="Q361">
            <v>0</v>
          </cell>
          <cell r="R361">
            <v>1869483</v>
          </cell>
          <cell r="S361">
            <v>0</v>
          </cell>
          <cell r="T361">
            <v>1869483</v>
          </cell>
          <cell r="U361">
            <v>0</v>
          </cell>
          <cell r="V361">
            <v>1869483</v>
          </cell>
          <cell r="W361">
            <v>1869483</v>
          </cell>
          <cell r="X361">
            <v>0</v>
          </cell>
        </row>
        <row r="362">
          <cell r="B362">
            <v>514101115873</v>
          </cell>
          <cell r="C362" t="str">
            <v>PJU  WONOREJO</v>
          </cell>
          <cell r="D362" t="str">
            <v>WONOREJO</v>
          </cell>
          <cell r="E362"/>
          <cell r="F362"/>
          <cell r="G362" t="str">
            <v>P3</v>
          </cell>
          <cell r="H362">
            <v>5500</v>
          </cell>
          <cell r="I362" t="str">
            <v>202505</v>
          </cell>
          <cell r="J362" t="str">
            <v>048770</v>
          </cell>
          <cell r="K362">
            <v>1063</v>
          </cell>
          <cell r="L362">
            <v>1806600</v>
          </cell>
          <cell r="M362">
            <v>0</v>
          </cell>
          <cell r="N362">
            <v>1806600</v>
          </cell>
          <cell r="O362">
            <v>0</v>
          </cell>
          <cell r="P362">
            <v>0</v>
          </cell>
          <cell r="Q362">
            <v>0</v>
          </cell>
          <cell r="R362">
            <v>1806600</v>
          </cell>
          <cell r="S362">
            <v>0</v>
          </cell>
          <cell r="T362">
            <v>1806600</v>
          </cell>
          <cell r="U362">
            <v>0</v>
          </cell>
          <cell r="V362">
            <v>1806600</v>
          </cell>
          <cell r="W362">
            <v>1806600</v>
          </cell>
          <cell r="X362">
            <v>0</v>
          </cell>
        </row>
        <row r="363">
          <cell r="B363">
            <v>514101115881</v>
          </cell>
          <cell r="C363" t="str">
            <v>PJU JAMBEAN 2</v>
          </cell>
          <cell r="D363" t="str">
            <v>JAMBEAN</v>
          </cell>
          <cell r="E363"/>
          <cell r="F363"/>
          <cell r="G363" t="str">
            <v>P3</v>
          </cell>
          <cell r="H363">
            <v>3500</v>
          </cell>
          <cell r="I363" t="str">
            <v>202505</v>
          </cell>
          <cell r="J363" t="str">
            <v>048452</v>
          </cell>
          <cell r="K363">
            <v>1360</v>
          </cell>
          <cell r="L363">
            <v>2311361</v>
          </cell>
          <cell r="M363">
            <v>0</v>
          </cell>
          <cell r="N363">
            <v>2311361</v>
          </cell>
          <cell r="O363">
            <v>0</v>
          </cell>
          <cell r="P363">
            <v>0</v>
          </cell>
          <cell r="Q363">
            <v>0</v>
          </cell>
          <cell r="R363">
            <v>2311361</v>
          </cell>
          <cell r="S363">
            <v>0</v>
          </cell>
          <cell r="T363">
            <v>2311361</v>
          </cell>
          <cell r="U363">
            <v>0</v>
          </cell>
          <cell r="V363">
            <v>2311361</v>
          </cell>
          <cell r="W363">
            <v>2311361</v>
          </cell>
          <cell r="X363">
            <v>0</v>
          </cell>
        </row>
        <row r="364">
          <cell r="B364">
            <v>514101115899</v>
          </cell>
          <cell r="C364" t="str">
            <v>PJU NGRECO 2</v>
          </cell>
          <cell r="D364" t="str">
            <v>NGRECO</v>
          </cell>
          <cell r="E364"/>
          <cell r="F364"/>
          <cell r="G364" t="str">
            <v>P3</v>
          </cell>
          <cell r="H364">
            <v>3500</v>
          </cell>
          <cell r="I364" t="str">
            <v>202505</v>
          </cell>
          <cell r="J364" t="str">
            <v>048647</v>
          </cell>
          <cell r="K364">
            <v>1881</v>
          </cell>
          <cell r="L364">
            <v>3196816</v>
          </cell>
          <cell r="M364">
            <v>0</v>
          </cell>
          <cell r="N364">
            <v>3196816</v>
          </cell>
          <cell r="O364">
            <v>0</v>
          </cell>
          <cell r="P364">
            <v>0</v>
          </cell>
          <cell r="Q364">
            <v>0</v>
          </cell>
          <cell r="R364">
            <v>3196816</v>
          </cell>
          <cell r="S364">
            <v>0</v>
          </cell>
          <cell r="T364">
            <v>3196816</v>
          </cell>
          <cell r="U364">
            <v>0</v>
          </cell>
          <cell r="V364">
            <v>3196816</v>
          </cell>
          <cell r="W364">
            <v>3196816</v>
          </cell>
          <cell r="X364">
            <v>0</v>
          </cell>
        </row>
        <row r="365">
          <cell r="B365">
            <v>514101115903</v>
          </cell>
          <cell r="C365" t="str">
            <v>PJU DS. NGLETIH</v>
          </cell>
          <cell r="D365" t="str">
            <v>NGLETIH</v>
          </cell>
          <cell r="E365"/>
          <cell r="F365"/>
          <cell r="G365" t="str">
            <v>P3</v>
          </cell>
          <cell r="H365">
            <v>2200</v>
          </cell>
          <cell r="I365" t="str">
            <v>202505</v>
          </cell>
          <cell r="J365" t="str">
            <v>048511</v>
          </cell>
          <cell r="K365">
            <v>845</v>
          </cell>
          <cell r="L365">
            <v>1436103</v>
          </cell>
          <cell r="M365">
            <v>0</v>
          </cell>
          <cell r="N365">
            <v>1436103</v>
          </cell>
          <cell r="O365">
            <v>0</v>
          </cell>
          <cell r="P365">
            <v>0</v>
          </cell>
          <cell r="Q365">
            <v>0</v>
          </cell>
          <cell r="R365">
            <v>1436103</v>
          </cell>
          <cell r="S365">
            <v>0</v>
          </cell>
          <cell r="T365">
            <v>1436103</v>
          </cell>
          <cell r="U365">
            <v>0</v>
          </cell>
          <cell r="V365">
            <v>1436103</v>
          </cell>
          <cell r="W365">
            <v>1436103</v>
          </cell>
          <cell r="X365">
            <v>0</v>
          </cell>
        </row>
        <row r="366">
          <cell r="B366">
            <v>514101115911</v>
          </cell>
          <cell r="C366" t="str">
            <v>PJU  PULE</v>
          </cell>
          <cell r="D366" t="str">
            <v>PULE</v>
          </cell>
          <cell r="E366"/>
          <cell r="F366"/>
          <cell r="G366" t="str">
            <v>P3</v>
          </cell>
          <cell r="H366">
            <v>5500</v>
          </cell>
          <cell r="I366" t="str">
            <v>202505</v>
          </cell>
          <cell r="J366" t="str">
            <v>048772</v>
          </cell>
          <cell r="K366">
            <v>1290</v>
          </cell>
          <cell r="L366">
            <v>2192394</v>
          </cell>
          <cell r="M366">
            <v>0</v>
          </cell>
          <cell r="N366">
            <v>2192394</v>
          </cell>
          <cell r="O366">
            <v>0</v>
          </cell>
          <cell r="P366">
            <v>0</v>
          </cell>
          <cell r="Q366">
            <v>0</v>
          </cell>
          <cell r="R366">
            <v>2192394</v>
          </cell>
          <cell r="S366">
            <v>0</v>
          </cell>
          <cell r="T366">
            <v>2192394</v>
          </cell>
          <cell r="U366">
            <v>0</v>
          </cell>
          <cell r="V366">
            <v>2192394</v>
          </cell>
          <cell r="W366">
            <v>2192394</v>
          </cell>
          <cell r="X366">
            <v>0</v>
          </cell>
        </row>
        <row r="367">
          <cell r="B367">
            <v>514101115929</v>
          </cell>
          <cell r="C367" t="str">
            <v>PJU SUSUHBANGO</v>
          </cell>
          <cell r="D367" t="str">
            <v>SUSUH BANGO</v>
          </cell>
          <cell r="E367"/>
          <cell r="F367"/>
          <cell r="G367" t="str">
            <v>P3</v>
          </cell>
          <cell r="H367">
            <v>3500</v>
          </cell>
          <cell r="I367" t="str">
            <v>202505</v>
          </cell>
          <cell r="J367" t="str">
            <v>048472</v>
          </cell>
          <cell r="K367">
            <v>1444</v>
          </cell>
          <cell r="L367">
            <v>2454121</v>
          </cell>
          <cell r="M367">
            <v>0</v>
          </cell>
          <cell r="N367">
            <v>2454121</v>
          </cell>
          <cell r="O367">
            <v>0</v>
          </cell>
          <cell r="P367">
            <v>0</v>
          </cell>
          <cell r="Q367">
            <v>0</v>
          </cell>
          <cell r="R367">
            <v>2454121</v>
          </cell>
          <cell r="S367">
            <v>0</v>
          </cell>
          <cell r="T367">
            <v>2454121</v>
          </cell>
          <cell r="U367">
            <v>0</v>
          </cell>
          <cell r="V367">
            <v>2454121</v>
          </cell>
          <cell r="W367">
            <v>2454121</v>
          </cell>
          <cell r="X367">
            <v>0</v>
          </cell>
        </row>
        <row r="368">
          <cell r="B368">
            <v>514101115937</v>
          </cell>
          <cell r="C368" t="str">
            <v>PJU NGADILUWIH</v>
          </cell>
          <cell r="D368" t="str">
            <v>NGADILUWIH</v>
          </cell>
          <cell r="E368"/>
          <cell r="F368"/>
          <cell r="G368" t="str">
            <v>P3</v>
          </cell>
          <cell r="H368">
            <v>4400</v>
          </cell>
          <cell r="I368" t="str">
            <v>202505</v>
          </cell>
          <cell r="J368" t="str">
            <v>048713</v>
          </cell>
          <cell r="K368">
            <v>214</v>
          </cell>
          <cell r="L368">
            <v>363699</v>
          </cell>
          <cell r="M368">
            <v>0</v>
          </cell>
          <cell r="N368">
            <v>363699</v>
          </cell>
          <cell r="O368">
            <v>0</v>
          </cell>
          <cell r="P368">
            <v>0</v>
          </cell>
          <cell r="Q368">
            <v>0</v>
          </cell>
          <cell r="R368">
            <v>363699</v>
          </cell>
          <cell r="S368">
            <v>0</v>
          </cell>
          <cell r="T368">
            <v>363699</v>
          </cell>
          <cell r="U368">
            <v>0</v>
          </cell>
          <cell r="V368">
            <v>363699</v>
          </cell>
          <cell r="W368">
            <v>363699</v>
          </cell>
          <cell r="X368">
            <v>0</v>
          </cell>
        </row>
        <row r="369">
          <cell r="B369">
            <v>514101115945</v>
          </cell>
          <cell r="C369" t="str">
            <v>PJU NGLETIH 2</v>
          </cell>
          <cell r="D369" t="str">
            <v>NGLETIH</v>
          </cell>
          <cell r="E369"/>
          <cell r="F369"/>
          <cell r="G369" t="str">
            <v>P3</v>
          </cell>
          <cell r="H369">
            <v>5500</v>
          </cell>
          <cell r="I369" t="str">
            <v>202505</v>
          </cell>
          <cell r="J369" t="str">
            <v>048303</v>
          </cell>
          <cell r="K369">
            <v>1709</v>
          </cell>
          <cell r="L369">
            <v>2904497</v>
          </cell>
          <cell r="M369">
            <v>0</v>
          </cell>
          <cell r="N369">
            <v>2904497</v>
          </cell>
          <cell r="O369">
            <v>0</v>
          </cell>
          <cell r="P369">
            <v>0</v>
          </cell>
          <cell r="Q369">
            <v>0</v>
          </cell>
          <cell r="R369">
            <v>2904497</v>
          </cell>
          <cell r="S369">
            <v>0</v>
          </cell>
          <cell r="T369">
            <v>2904497</v>
          </cell>
          <cell r="U369">
            <v>0</v>
          </cell>
          <cell r="V369">
            <v>2904497</v>
          </cell>
          <cell r="W369">
            <v>2904497</v>
          </cell>
          <cell r="X369">
            <v>0</v>
          </cell>
        </row>
        <row r="370">
          <cell r="B370">
            <v>514101115952</v>
          </cell>
          <cell r="C370" t="str">
            <v>PJU PAGU  2</v>
          </cell>
          <cell r="D370" t="str">
            <v>PAGU</v>
          </cell>
          <cell r="E370"/>
          <cell r="F370"/>
          <cell r="G370" t="str">
            <v>P3</v>
          </cell>
          <cell r="H370">
            <v>5500</v>
          </cell>
          <cell r="I370" t="str">
            <v>202505</v>
          </cell>
          <cell r="J370" t="str">
            <v>048428</v>
          </cell>
          <cell r="K370">
            <v>847</v>
          </cell>
          <cell r="L370">
            <v>1439502</v>
          </cell>
          <cell r="M370">
            <v>0</v>
          </cell>
          <cell r="N370">
            <v>1439502</v>
          </cell>
          <cell r="O370">
            <v>0</v>
          </cell>
          <cell r="P370">
            <v>0</v>
          </cell>
          <cell r="Q370">
            <v>0</v>
          </cell>
          <cell r="R370">
            <v>1439502</v>
          </cell>
          <cell r="S370">
            <v>0</v>
          </cell>
          <cell r="T370">
            <v>1439502</v>
          </cell>
          <cell r="U370">
            <v>0</v>
          </cell>
          <cell r="V370">
            <v>1439502</v>
          </cell>
          <cell r="W370">
            <v>1439502</v>
          </cell>
          <cell r="X370">
            <v>0</v>
          </cell>
        </row>
        <row r="371">
          <cell r="B371">
            <v>514101115960</v>
          </cell>
          <cell r="C371" t="str">
            <v>PJU PURWODADI</v>
          </cell>
          <cell r="D371" t="str">
            <v>PURWODADI</v>
          </cell>
          <cell r="E371"/>
          <cell r="F371"/>
          <cell r="G371" t="str">
            <v>P3</v>
          </cell>
          <cell r="H371">
            <v>3500</v>
          </cell>
          <cell r="I371" t="str">
            <v>202505</v>
          </cell>
          <cell r="J371" t="str">
            <v>048449</v>
          </cell>
          <cell r="K371">
            <v>743</v>
          </cell>
          <cell r="L371">
            <v>1262751</v>
          </cell>
          <cell r="M371">
            <v>0</v>
          </cell>
          <cell r="N371">
            <v>1262751</v>
          </cell>
          <cell r="O371">
            <v>0</v>
          </cell>
          <cell r="P371">
            <v>0</v>
          </cell>
          <cell r="Q371">
            <v>0</v>
          </cell>
          <cell r="R371">
            <v>1262751</v>
          </cell>
          <cell r="S371">
            <v>0</v>
          </cell>
          <cell r="T371">
            <v>1262751</v>
          </cell>
          <cell r="U371">
            <v>0</v>
          </cell>
          <cell r="V371">
            <v>1262751</v>
          </cell>
          <cell r="W371">
            <v>1262751</v>
          </cell>
          <cell r="X371">
            <v>0</v>
          </cell>
        </row>
        <row r="372">
          <cell r="B372">
            <v>514101115978</v>
          </cell>
          <cell r="C372" t="str">
            <v>PJU BADAL 2</v>
          </cell>
          <cell r="D372" t="str">
            <v>BADAL</v>
          </cell>
          <cell r="E372"/>
          <cell r="F372"/>
          <cell r="G372" t="str">
            <v>P3</v>
          </cell>
          <cell r="H372">
            <v>4400</v>
          </cell>
          <cell r="I372" t="str">
            <v>202505</v>
          </cell>
          <cell r="J372" t="str">
            <v>048667</v>
          </cell>
          <cell r="K372">
            <v>844</v>
          </cell>
          <cell r="L372">
            <v>1434403</v>
          </cell>
          <cell r="M372">
            <v>0</v>
          </cell>
          <cell r="N372">
            <v>1434403</v>
          </cell>
          <cell r="O372">
            <v>0</v>
          </cell>
          <cell r="P372">
            <v>0</v>
          </cell>
          <cell r="Q372">
            <v>0</v>
          </cell>
          <cell r="R372">
            <v>1434403</v>
          </cell>
          <cell r="S372">
            <v>0</v>
          </cell>
          <cell r="T372">
            <v>1434403</v>
          </cell>
          <cell r="U372">
            <v>0</v>
          </cell>
          <cell r="V372">
            <v>1434403</v>
          </cell>
          <cell r="W372">
            <v>1434403</v>
          </cell>
          <cell r="X372">
            <v>0</v>
          </cell>
        </row>
        <row r="373">
          <cell r="B373">
            <v>514101115986</v>
          </cell>
          <cell r="C373" t="str">
            <v>PJU BANJARANYAR 2</v>
          </cell>
          <cell r="D373" t="str">
            <v>BANJARANYAR</v>
          </cell>
          <cell r="E373"/>
          <cell r="F373"/>
          <cell r="G373" t="str">
            <v>P3</v>
          </cell>
          <cell r="H373">
            <v>5500</v>
          </cell>
          <cell r="I373" t="str">
            <v>202505</v>
          </cell>
          <cell r="J373" t="str">
            <v>048621</v>
          </cell>
          <cell r="K373">
            <v>2100</v>
          </cell>
          <cell r="L373">
            <v>3569013</v>
          </cell>
          <cell r="M373">
            <v>0</v>
          </cell>
          <cell r="N373">
            <v>3569013</v>
          </cell>
          <cell r="O373">
            <v>0</v>
          </cell>
          <cell r="P373">
            <v>0</v>
          </cell>
          <cell r="Q373">
            <v>0</v>
          </cell>
          <cell r="R373">
            <v>3569013</v>
          </cell>
          <cell r="S373">
            <v>0</v>
          </cell>
          <cell r="T373">
            <v>3569013</v>
          </cell>
          <cell r="U373">
            <v>0</v>
          </cell>
          <cell r="V373">
            <v>3569013</v>
          </cell>
          <cell r="W373">
            <v>3569013</v>
          </cell>
          <cell r="X373">
            <v>0</v>
          </cell>
        </row>
        <row r="374">
          <cell r="B374">
            <v>514101115994</v>
          </cell>
          <cell r="C374" t="str">
            <v>PJU CENDONO 2</v>
          </cell>
          <cell r="D374" t="str">
            <v>CENDONO</v>
          </cell>
          <cell r="E374"/>
          <cell r="F374"/>
          <cell r="G374" t="str">
            <v>P3</v>
          </cell>
          <cell r="H374">
            <v>3500</v>
          </cell>
          <cell r="I374" t="str">
            <v>202505</v>
          </cell>
          <cell r="J374" t="str">
            <v>048655</v>
          </cell>
          <cell r="K374">
            <v>1143</v>
          </cell>
          <cell r="L374">
            <v>1942563</v>
          </cell>
          <cell r="M374">
            <v>0</v>
          </cell>
          <cell r="N374">
            <v>1942563</v>
          </cell>
          <cell r="O374">
            <v>0</v>
          </cell>
          <cell r="P374">
            <v>0</v>
          </cell>
          <cell r="Q374">
            <v>0</v>
          </cell>
          <cell r="R374">
            <v>1942563</v>
          </cell>
          <cell r="S374">
            <v>0</v>
          </cell>
          <cell r="T374">
            <v>1942563</v>
          </cell>
          <cell r="U374">
            <v>0</v>
          </cell>
          <cell r="V374">
            <v>1942563</v>
          </cell>
          <cell r="W374">
            <v>1942563</v>
          </cell>
          <cell r="X374">
            <v>0</v>
          </cell>
        </row>
        <row r="375">
          <cell r="B375">
            <v>514101116004</v>
          </cell>
          <cell r="C375" t="str">
            <v>PJU NGADILUWIH</v>
          </cell>
          <cell r="D375" t="str">
            <v>NGADILUWIH</v>
          </cell>
          <cell r="E375"/>
          <cell r="F375"/>
          <cell r="G375" t="str">
            <v>P3</v>
          </cell>
          <cell r="H375">
            <v>2200</v>
          </cell>
          <cell r="I375" t="str">
            <v>202505</v>
          </cell>
          <cell r="J375" t="str">
            <v>048610</v>
          </cell>
          <cell r="K375">
            <v>400</v>
          </cell>
          <cell r="L375">
            <v>679812</v>
          </cell>
          <cell r="M375">
            <v>0</v>
          </cell>
          <cell r="N375">
            <v>679812</v>
          </cell>
          <cell r="O375">
            <v>0</v>
          </cell>
          <cell r="P375">
            <v>0</v>
          </cell>
          <cell r="Q375">
            <v>0</v>
          </cell>
          <cell r="R375">
            <v>679812</v>
          </cell>
          <cell r="S375">
            <v>0</v>
          </cell>
          <cell r="T375">
            <v>679812</v>
          </cell>
          <cell r="U375">
            <v>0</v>
          </cell>
          <cell r="V375">
            <v>679812</v>
          </cell>
          <cell r="W375">
            <v>679812</v>
          </cell>
          <cell r="X375">
            <v>0</v>
          </cell>
        </row>
        <row r="376">
          <cell r="B376">
            <v>514101116012</v>
          </cell>
          <cell r="C376" t="str">
            <v>PJU GONDANG</v>
          </cell>
          <cell r="D376" t="str">
            <v>KRONCONG</v>
          </cell>
          <cell r="E376"/>
          <cell r="F376"/>
          <cell r="G376" t="str">
            <v>P3</v>
          </cell>
          <cell r="H376">
            <v>4400</v>
          </cell>
          <cell r="I376" t="str">
            <v>202505</v>
          </cell>
          <cell r="J376" t="str">
            <v>048747</v>
          </cell>
          <cell r="K376">
            <v>1163</v>
          </cell>
          <cell r="L376">
            <v>1976553</v>
          </cell>
          <cell r="M376">
            <v>0</v>
          </cell>
          <cell r="N376">
            <v>1976553</v>
          </cell>
          <cell r="O376">
            <v>0</v>
          </cell>
          <cell r="P376">
            <v>0</v>
          </cell>
          <cell r="Q376">
            <v>0</v>
          </cell>
          <cell r="R376">
            <v>1976553</v>
          </cell>
          <cell r="S376">
            <v>0</v>
          </cell>
          <cell r="T376">
            <v>1976553</v>
          </cell>
          <cell r="U376">
            <v>0</v>
          </cell>
          <cell r="V376">
            <v>1976553</v>
          </cell>
          <cell r="W376">
            <v>1976553</v>
          </cell>
          <cell r="X376">
            <v>0</v>
          </cell>
        </row>
        <row r="377">
          <cell r="B377">
            <v>514101116020</v>
          </cell>
          <cell r="C377" t="str">
            <v>PJU BADAL 1</v>
          </cell>
          <cell r="D377" t="str">
            <v>BADAL</v>
          </cell>
          <cell r="E377"/>
          <cell r="F377"/>
          <cell r="G377" t="str">
            <v>P3</v>
          </cell>
          <cell r="H377">
            <v>4400</v>
          </cell>
          <cell r="I377" t="str">
            <v>202505</v>
          </cell>
          <cell r="J377" t="str">
            <v>048392</v>
          </cell>
          <cell r="K377">
            <v>1515</v>
          </cell>
          <cell r="L377">
            <v>2574788</v>
          </cell>
          <cell r="M377">
            <v>0</v>
          </cell>
          <cell r="N377">
            <v>2574788</v>
          </cell>
          <cell r="O377">
            <v>0</v>
          </cell>
          <cell r="P377">
            <v>0</v>
          </cell>
          <cell r="Q377">
            <v>0</v>
          </cell>
          <cell r="R377">
            <v>2574788</v>
          </cell>
          <cell r="S377">
            <v>0</v>
          </cell>
          <cell r="T377">
            <v>2574788</v>
          </cell>
          <cell r="U377">
            <v>0</v>
          </cell>
          <cell r="V377">
            <v>2574788</v>
          </cell>
          <cell r="W377">
            <v>2574788</v>
          </cell>
          <cell r="X377">
            <v>0</v>
          </cell>
        </row>
        <row r="378">
          <cell r="B378">
            <v>514101116038</v>
          </cell>
          <cell r="C378" t="str">
            <v>PJU BLEBER PELAS</v>
          </cell>
          <cell r="D378" t="str">
            <v>BLEBER</v>
          </cell>
          <cell r="E378"/>
          <cell r="F378"/>
          <cell r="G378" t="str">
            <v>P3</v>
          </cell>
          <cell r="H378">
            <v>3500</v>
          </cell>
          <cell r="I378" t="str">
            <v>202505</v>
          </cell>
          <cell r="J378" t="str">
            <v>048637</v>
          </cell>
          <cell r="K378">
            <v>982</v>
          </cell>
          <cell r="L378">
            <v>1668938</v>
          </cell>
          <cell r="M378">
            <v>0</v>
          </cell>
          <cell r="N378">
            <v>1668938</v>
          </cell>
          <cell r="O378">
            <v>0</v>
          </cell>
          <cell r="P378">
            <v>0</v>
          </cell>
          <cell r="Q378">
            <v>0</v>
          </cell>
          <cell r="R378">
            <v>1668938</v>
          </cell>
          <cell r="S378">
            <v>0</v>
          </cell>
          <cell r="T378">
            <v>1668938</v>
          </cell>
          <cell r="U378">
            <v>0</v>
          </cell>
          <cell r="V378">
            <v>1668938</v>
          </cell>
          <cell r="W378">
            <v>1668938</v>
          </cell>
          <cell r="X378">
            <v>0</v>
          </cell>
        </row>
        <row r="379">
          <cell r="B379">
            <v>514101116046</v>
          </cell>
          <cell r="C379" t="str">
            <v>PJU  REMBANG</v>
          </cell>
          <cell r="D379" t="str">
            <v>REMBANG</v>
          </cell>
          <cell r="E379"/>
          <cell r="F379"/>
          <cell r="G379" t="str">
            <v>P3</v>
          </cell>
          <cell r="H379">
            <v>5500</v>
          </cell>
          <cell r="I379" t="str">
            <v>202505</v>
          </cell>
          <cell r="J379" t="str">
            <v>048505</v>
          </cell>
          <cell r="K379">
            <v>1860</v>
          </cell>
          <cell r="L379">
            <v>3161126</v>
          </cell>
          <cell r="M379">
            <v>0</v>
          </cell>
          <cell r="N379">
            <v>3161126</v>
          </cell>
          <cell r="O379">
            <v>0</v>
          </cell>
          <cell r="P379">
            <v>0</v>
          </cell>
          <cell r="Q379">
            <v>0</v>
          </cell>
          <cell r="R379">
            <v>3161126</v>
          </cell>
          <cell r="S379">
            <v>0</v>
          </cell>
          <cell r="T379">
            <v>3161126</v>
          </cell>
          <cell r="U379">
            <v>0</v>
          </cell>
          <cell r="V379">
            <v>3161126</v>
          </cell>
          <cell r="W379">
            <v>3161126</v>
          </cell>
          <cell r="X379">
            <v>0</v>
          </cell>
        </row>
        <row r="380">
          <cell r="B380">
            <v>514101116053</v>
          </cell>
          <cell r="C380" t="str">
            <v>PJU MANGUNREJO</v>
          </cell>
          <cell r="D380" t="str">
            <v>MANGUNREJO</v>
          </cell>
          <cell r="E380"/>
          <cell r="F380"/>
          <cell r="G380" t="str">
            <v>P3</v>
          </cell>
          <cell r="H380">
            <v>3500</v>
          </cell>
          <cell r="I380" t="str">
            <v>202505</v>
          </cell>
          <cell r="J380" t="str">
            <v>048573</v>
          </cell>
          <cell r="K380">
            <v>1342</v>
          </cell>
          <cell r="L380">
            <v>2280769</v>
          </cell>
          <cell r="M380">
            <v>0</v>
          </cell>
          <cell r="N380">
            <v>2280769</v>
          </cell>
          <cell r="O380">
            <v>0</v>
          </cell>
          <cell r="P380">
            <v>0</v>
          </cell>
          <cell r="Q380">
            <v>0</v>
          </cell>
          <cell r="R380">
            <v>2280769</v>
          </cell>
          <cell r="S380">
            <v>0</v>
          </cell>
          <cell r="T380">
            <v>2280769</v>
          </cell>
          <cell r="U380">
            <v>0</v>
          </cell>
          <cell r="V380">
            <v>2280769</v>
          </cell>
          <cell r="W380">
            <v>2280769</v>
          </cell>
          <cell r="X380">
            <v>0</v>
          </cell>
        </row>
        <row r="381">
          <cell r="B381">
            <v>514101116061</v>
          </cell>
          <cell r="C381" t="str">
            <v>PJU DS SELODONO BARU</v>
          </cell>
          <cell r="D381" t="str">
            <v>SELODONO</v>
          </cell>
          <cell r="E381"/>
          <cell r="F381"/>
          <cell r="G381" t="str">
            <v>P3</v>
          </cell>
          <cell r="H381">
            <v>5500</v>
          </cell>
          <cell r="I381" t="str">
            <v>202505</v>
          </cell>
          <cell r="J381" t="str">
            <v>048583</v>
          </cell>
          <cell r="K381">
            <v>1546</v>
          </cell>
          <cell r="L381">
            <v>2627473</v>
          </cell>
          <cell r="M381">
            <v>0</v>
          </cell>
          <cell r="N381">
            <v>2627473</v>
          </cell>
          <cell r="O381">
            <v>0</v>
          </cell>
          <cell r="P381">
            <v>0</v>
          </cell>
          <cell r="Q381">
            <v>0</v>
          </cell>
          <cell r="R381">
            <v>2627473</v>
          </cell>
          <cell r="S381">
            <v>0</v>
          </cell>
          <cell r="T381">
            <v>2627473</v>
          </cell>
          <cell r="U381">
            <v>0</v>
          </cell>
          <cell r="V381">
            <v>2627473</v>
          </cell>
          <cell r="W381">
            <v>2627473</v>
          </cell>
          <cell r="X381">
            <v>0</v>
          </cell>
        </row>
        <row r="382">
          <cell r="B382">
            <v>514101116079</v>
          </cell>
          <cell r="C382" t="str">
            <v>PJU  PELAS</v>
          </cell>
          <cell r="D382" t="str">
            <v>PELAS</v>
          </cell>
          <cell r="E382"/>
          <cell r="F382"/>
          <cell r="G382" t="str">
            <v>P3</v>
          </cell>
          <cell r="H382">
            <v>3500</v>
          </cell>
          <cell r="I382" t="str">
            <v>202505</v>
          </cell>
          <cell r="J382" t="str">
            <v>048264</v>
          </cell>
          <cell r="K382">
            <v>1433</v>
          </cell>
          <cell r="L382">
            <v>2435426</v>
          </cell>
          <cell r="M382">
            <v>0</v>
          </cell>
          <cell r="N382">
            <v>2435426</v>
          </cell>
          <cell r="O382">
            <v>0</v>
          </cell>
          <cell r="P382">
            <v>0</v>
          </cell>
          <cell r="Q382">
            <v>0</v>
          </cell>
          <cell r="R382">
            <v>2435426</v>
          </cell>
          <cell r="S382">
            <v>0</v>
          </cell>
          <cell r="T382">
            <v>2435426</v>
          </cell>
          <cell r="U382">
            <v>0</v>
          </cell>
          <cell r="V382">
            <v>2435426</v>
          </cell>
          <cell r="W382">
            <v>2435426</v>
          </cell>
          <cell r="X382">
            <v>0</v>
          </cell>
        </row>
        <row r="383">
          <cell r="B383">
            <v>514101159169</v>
          </cell>
          <cell r="C383" t="str">
            <v>PJU BANGLE JEMBATAN NGADI</v>
          </cell>
          <cell r="D383" t="str">
            <v>BANGGLE</v>
          </cell>
          <cell r="E383"/>
          <cell r="F383"/>
          <cell r="G383" t="str">
            <v>P3</v>
          </cell>
          <cell r="H383">
            <v>5500</v>
          </cell>
          <cell r="I383" t="str">
            <v>202505</v>
          </cell>
          <cell r="J383" t="str">
            <v>063613</v>
          </cell>
          <cell r="K383">
            <v>833</v>
          </cell>
          <cell r="L383">
            <v>1415708</v>
          </cell>
          <cell r="M383">
            <v>0</v>
          </cell>
          <cell r="N383">
            <v>1415708</v>
          </cell>
          <cell r="O383">
            <v>0</v>
          </cell>
          <cell r="P383">
            <v>0</v>
          </cell>
          <cell r="Q383">
            <v>0</v>
          </cell>
          <cell r="R383">
            <v>1415708</v>
          </cell>
          <cell r="S383">
            <v>0</v>
          </cell>
          <cell r="T383">
            <v>1415708</v>
          </cell>
          <cell r="U383">
            <v>0</v>
          </cell>
          <cell r="V383">
            <v>1415708</v>
          </cell>
          <cell r="W383">
            <v>1415708</v>
          </cell>
          <cell r="X383">
            <v>0</v>
          </cell>
        </row>
        <row r="384">
          <cell r="B384">
            <v>514101171248</v>
          </cell>
          <cell r="C384" t="str">
            <v>PJU REI HARMONI</v>
          </cell>
          <cell r="D384" t="str">
            <v>BRANGGAHAN</v>
          </cell>
          <cell r="E384"/>
          <cell r="F384"/>
          <cell r="G384" t="str">
            <v>P3</v>
          </cell>
          <cell r="H384">
            <v>1300</v>
          </cell>
          <cell r="I384" t="str">
            <v>202505</v>
          </cell>
          <cell r="J384" t="str">
            <v>006609</v>
          </cell>
          <cell r="K384">
            <v>125</v>
          </cell>
          <cell r="L384">
            <v>212441</v>
          </cell>
          <cell r="M384">
            <v>0</v>
          </cell>
          <cell r="N384">
            <v>212441</v>
          </cell>
          <cell r="O384">
            <v>0</v>
          </cell>
          <cell r="P384">
            <v>0</v>
          </cell>
          <cell r="Q384">
            <v>0</v>
          </cell>
          <cell r="R384">
            <v>212441</v>
          </cell>
          <cell r="S384">
            <v>0</v>
          </cell>
          <cell r="T384">
            <v>212441</v>
          </cell>
          <cell r="U384">
            <v>0</v>
          </cell>
          <cell r="V384">
            <v>212441</v>
          </cell>
          <cell r="W384">
            <v>212441</v>
          </cell>
          <cell r="X384">
            <v>0</v>
          </cell>
        </row>
        <row r="385">
          <cell r="B385">
            <v>514101176958</v>
          </cell>
          <cell r="C385" t="str">
            <v>HERU P.</v>
          </cell>
          <cell r="D385" t="str">
            <v>DUKUH VIEW</v>
          </cell>
          <cell r="E385"/>
          <cell r="F385"/>
          <cell r="G385" t="str">
            <v>P3</v>
          </cell>
          <cell r="H385">
            <v>900</v>
          </cell>
          <cell r="I385" t="str">
            <v>202505</v>
          </cell>
          <cell r="J385" t="str">
            <v>048388</v>
          </cell>
          <cell r="K385">
            <v>103</v>
          </cell>
          <cell r="L385">
            <v>175052</v>
          </cell>
          <cell r="M385">
            <v>0</v>
          </cell>
          <cell r="N385">
            <v>175052</v>
          </cell>
          <cell r="O385">
            <v>0</v>
          </cell>
          <cell r="P385">
            <v>0</v>
          </cell>
          <cell r="Q385">
            <v>0</v>
          </cell>
          <cell r="R385">
            <v>175052</v>
          </cell>
          <cell r="S385">
            <v>0</v>
          </cell>
          <cell r="T385">
            <v>175052</v>
          </cell>
          <cell r="U385">
            <v>0</v>
          </cell>
          <cell r="V385">
            <v>175052</v>
          </cell>
          <cell r="W385">
            <v>175052</v>
          </cell>
          <cell r="X385">
            <v>0</v>
          </cell>
        </row>
        <row r="386">
          <cell r="B386">
            <v>514101187361</v>
          </cell>
          <cell r="C386" t="str">
            <v>SULISTYOWATI</v>
          </cell>
          <cell r="D386" t="str">
            <v>GREEN VIEW</v>
          </cell>
          <cell r="E386"/>
          <cell r="F386"/>
          <cell r="G386" t="str">
            <v>P3</v>
          </cell>
          <cell r="H386">
            <v>900</v>
          </cell>
          <cell r="I386" t="str">
            <v>202505</v>
          </cell>
          <cell r="J386" t="str">
            <v>048259</v>
          </cell>
          <cell r="K386">
            <v>60</v>
          </cell>
          <cell r="L386">
            <v>101972</v>
          </cell>
          <cell r="M386">
            <v>0</v>
          </cell>
          <cell r="N386">
            <v>101972</v>
          </cell>
          <cell r="O386">
            <v>0</v>
          </cell>
          <cell r="P386">
            <v>0</v>
          </cell>
          <cell r="Q386">
            <v>0</v>
          </cell>
          <cell r="R386">
            <v>101972</v>
          </cell>
          <cell r="S386">
            <v>0</v>
          </cell>
          <cell r="T386">
            <v>101972</v>
          </cell>
          <cell r="U386">
            <v>0</v>
          </cell>
          <cell r="V386">
            <v>101972</v>
          </cell>
          <cell r="W386">
            <v>101972</v>
          </cell>
          <cell r="X386">
            <v>0</v>
          </cell>
        </row>
        <row r="387">
          <cell r="B387">
            <v>514101192255</v>
          </cell>
          <cell r="C387" t="str">
            <v>PJU GREEN REMBANG PERMAI</v>
          </cell>
          <cell r="D387" t="str">
            <v>REMBANG</v>
          </cell>
          <cell r="E387"/>
          <cell r="F387"/>
          <cell r="G387" t="str">
            <v>P3</v>
          </cell>
          <cell r="H387">
            <v>900</v>
          </cell>
          <cell r="I387" t="str">
            <v>202505</v>
          </cell>
          <cell r="J387" t="str">
            <v>048654</v>
          </cell>
          <cell r="K387">
            <v>81</v>
          </cell>
          <cell r="L387">
            <v>137662</v>
          </cell>
          <cell r="M387">
            <v>0</v>
          </cell>
          <cell r="N387">
            <v>137662</v>
          </cell>
          <cell r="O387">
            <v>0</v>
          </cell>
          <cell r="P387">
            <v>0</v>
          </cell>
          <cell r="Q387">
            <v>0</v>
          </cell>
          <cell r="R387">
            <v>137662</v>
          </cell>
          <cell r="S387">
            <v>0</v>
          </cell>
          <cell r="T387">
            <v>137662</v>
          </cell>
          <cell r="U387">
            <v>0</v>
          </cell>
          <cell r="V387">
            <v>137662</v>
          </cell>
          <cell r="W387">
            <v>137662</v>
          </cell>
          <cell r="X387">
            <v>0</v>
          </cell>
        </row>
        <row r="388">
          <cell r="B388">
            <v>514101197423</v>
          </cell>
          <cell r="C388" t="str">
            <v>PJU PULE KANDAT 3</v>
          </cell>
          <cell r="D388" t="str">
            <v>PULE</v>
          </cell>
          <cell r="E388"/>
          <cell r="F388"/>
          <cell r="G388" t="str">
            <v>P3</v>
          </cell>
          <cell r="H388">
            <v>2200</v>
          </cell>
          <cell r="I388" t="str">
            <v>202505</v>
          </cell>
          <cell r="J388" t="str">
            <v>065787</v>
          </cell>
          <cell r="K388">
            <v>822</v>
          </cell>
          <cell r="L388">
            <v>1397014</v>
          </cell>
          <cell r="M388">
            <v>0</v>
          </cell>
          <cell r="N388">
            <v>1397014</v>
          </cell>
          <cell r="O388">
            <v>0</v>
          </cell>
          <cell r="P388">
            <v>0</v>
          </cell>
          <cell r="Q388">
            <v>0</v>
          </cell>
          <cell r="R388">
            <v>1397014</v>
          </cell>
          <cell r="S388">
            <v>0</v>
          </cell>
          <cell r="T388">
            <v>1397014</v>
          </cell>
          <cell r="U388">
            <v>0</v>
          </cell>
          <cell r="V388">
            <v>1397014</v>
          </cell>
          <cell r="W388">
            <v>1397014</v>
          </cell>
          <cell r="X388">
            <v>0</v>
          </cell>
        </row>
        <row r="389">
          <cell r="B389">
            <v>514101197431</v>
          </cell>
          <cell r="C389" t="str">
            <v>PJU PULE KANDAT 2</v>
          </cell>
          <cell r="D389" t="str">
            <v>PULE</v>
          </cell>
          <cell r="E389"/>
          <cell r="F389"/>
          <cell r="G389" t="str">
            <v>P3</v>
          </cell>
          <cell r="H389">
            <v>2200</v>
          </cell>
          <cell r="I389" t="str">
            <v>202505</v>
          </cell>
          <cell r="J389" t="str">
            <v>056916</v>
          </cell>
          <cell r="K389">
            <v>760</v>
          </cell>
          <cell r="L389">
            <v>1291643</v>
          </cell>
          <cell r="M389">
            <v>0</v>
          </cell>
          <cell r="N389">
            <v>1291643</v>
          </cell>
          <cell r="O389">
            <v>0</v>
          </cell>
          <cell r="P389">
            <v>0</v>
          </cell>
          <cell r="Q389">
            <v>0</v>
          </cell>
          <cell r="R389">
            <v>1291643</v>
          </cell>
          <cell r="S389">
            <v>0</v>
          </cell>
          <cell r="T389">
            <v>1291643</v>
          </cell>
          <cell r="U389">
            <v>0</v>
          </cell>
          <cell r="V389">
            <v>1291643</v>
          </cell>
          <cell r="W389">
            <v>1291643</v>
          </cell>
          <cell r="X389">
            <v>0</v>
          </cell>
        </row>
        <row r="390">
          <cell r="B390">
            <v>514101197449</v>
          </cell>
          <cell r="C390" t="str">
            <v>PJU PULE KANDAT1</v>
          </cell>
          <cell r="D390" t="str">
            <v>PULE</v>
          </cell>
          <cell r="E390"/>
          <cell r="F390"/>
          <cell r="G390" t="str">
            <v>P3</v>
          </cell>
          <cell r="H390">
            <v>2200</v>
          </cell>
          <cell r="I390" t="str">
            <v>202505</v>
          </cell>
          <cell r="J390" t="str">
            <v>047348</v>
          </cell>
          <cell r="K390">
            <v>764</v>
          </cell>
          <cell r="L390">
            <v>1298441</v>
          </cell>
          <cell r="M390">
            <v>0</v>
          </cell>
          <cell r="N390">
            <v>1298441</v>
          </cell>
          <cell r="O390">
            <v>0</v>
          </cell>
          <cell r="P390">
            <v>0</v>
          </cell>
          <cell r="Q390">
            <v>0</v>
          </cell>
          <cell r="R390">
            <v>1298441</v>
          </cell>
          <cell r="S390">
            <v>0</v>
          </cell>
          <cell r="T390">
            <v>1298441</v>
          </cell>
          <cell r="U390">
            <v>0</v>
          </cell>
          <cell r="V390">
            <v>1298441</v>
          </cell>
          <cell r="W390">
            <v>1298441</v>
          </cell>
          <cell r="X390">
            <v>0</v>
          </cell>
        </row>
        <row r="391">
          <cell r="B391">
            <v>514101217573</v>
          </cell>
          <cell r="C391" t="str">
            <v>POS BANJAREJO VIEW</v>
          </cell>
          <cell r="D391" t="str">
            <v>BANJAREJO KEC.NGADILUWIH</v>
          </cell>
          <cell r="E391"/>
          <cell r="F391"/>
          <cell r="G391" t="str">
            <v>P3</v>
          </cell>
          <cell r="H391">
            <v>1300</v>
          </cell>
          <cell r="I391" t="str">
            <v>202505</v>
          </cell>
          <cell r="J391" t="str">
            <v>048557</v>
          </cell>
          <cell r="K391">
            <v>169</v>
          </cell>
          <cell r="L391">
            <v>287221</v>
          </cell>
          <cell r="M391">
            <v>0</v>
          </cell>
          <cell r="N391">
            <v>287221</v>
          </cell>
          <cell r="O391">
            <v>0</v>
          </cell>
          <cell r="P391">
            <v>0</v>
          </cell>
          <cell r="Q391">
            <v>0</v>
          </cell>
          <cell r="R391">
            <v>287221</v>
          </cell>
          <cell r="S391">
            <v>0</v>
          </cell>
          <cell r="T391">
            <v>287221</v>
          </cell>
          <cell r="U391">
            <v>0</v>
          </cell>
          <cell r="V391">
            <v>287221</v>
          </cell>
          <cell r="W391">
            <v>287221</v>
          </cell>
          <cell r="X391">
            <v>0</v>
          </cell>
        </row>
        <row r="392">
          <cell r="B392">
            <v>514101238801</v>
          </cell>
          <cell r="C392" t="str">
            <v>PJU PERUM RAYA CITRA HARM</v>
          </cell>
          <cell r="D392" t="str">
            <v>RAYACITRA HARMONY 3</v>
          </cell>
          <cell r="E392"/>
          <cell r="F392"/>
          <cell r="G392" t="str">
            <v>P3</v>
          </cell>
          <cell r="H392">
            <v>1300</v>
          </cell>
          <cell r="I392" t="str">
            <v>202505</v>
          </cell>
          <cell r="J392" t="str">
            <v>003233</v>
          </cell>
          <cell r="K392">
            <v>52</v>
          </cell>
          <cell r="L392">
            <v>88376</v>
          </cell>
          <cell r="M392">
            <v>0</v>
          </cell>
          <cell r="N392">
            <v>88376</v>
          </cell>
          <cell r="O392">
            <v>0</v>
          </cell>
          <cell r="P392">
            <v>0</v>
          </cell>
          <cell r="Q392">
            <v>0</v>
          </cell>
          <cell r="R392">
            <v>88376</v>
          </cell>
          <cell r="S392">
            <v>0</v>
          </cell>
          <cell r="T392">
            <v>88376</v>
          </cell>
          <cell r="U392">
            <v>0</v>
          </cell>
          <cell r="V392">
            <v>88376</v>
          </cell>
          <cell r="W392">
            <v>88376</v>
          </cell>
          <cell r="X392">
            <v>0</v>
          </cell>
        </row>
        <row r="393">
          <cell r="B393">
            <v>514101280745</v>
          </cell>
          <cell r="C393" t="str">
            <v>PJU PR GREEN BANJAREJO</v>
          </cell>
          <cell r="D393" t="str">
            <v>PERUMAHAN GREEN BANJAREJO RESI</v>
          </cell>
          <cell r="E393"/>
          <cell r="F393"/>
          <cell r="G393" t="str">
            <v>P3</v>
          </cell>
          <cell r="H393">
            <v>1300</v>
          </cell>
          <cell r="I393" t="str">
            <v>202505</v>
          </cell>
          <cell r="J393" t="str">
            <v>048544</v>
          </cell>
          <cell r="K393">
            <v>97</v>
          </cell>
          <cell r="L393">
            <v>164854</v>
          </cell>
          <cell r="M393">
            <v>0</v>
          </cell>
          <cell r="N393">
            <v>164854</v>
          </cell>
          <cell r="O393">
            <v>0</v>
          </cell>
          <cell r="P393">
            <v>0</v>
          </cell>
          <cell r="Q393">
            <v>0</v>
          </cell>
          <cell r="R393">
            <v>164854</v>
          </cell>
          <cell r="S393">
            <v>0</v>
          </cell>
          <cell r="T393">
            <v>164854</v>
          </cell>
          <cell r="U393">
            <v>0</v>
          </cell>
          <cell r="V393">
            <v>164854</v>
          </cell>
          <cell r="W393">
            <v>164854</v>
          </cell>
          <cell r="X393">
            <v>0</v>
          </cell>
        </row>
        <row r="394">
          <cell r="B394">
            <v>514101290225</v>
          </cell>
          <cell r="C394" t="str">
            <v>POS BEDUG VIEW</v>
          </cell>
          <cell r="D394" t="str">
            <v>BEDUG VIEW</v>
          </cell>
          <cell r="E394"/>
          <cell r="F394"/>
          <cell r="G394" t="str">
            <v>P3</v>
          </cell>
          <cell r="H394">
            <v>900</v>
          </cell>
          <cell r="I394" t="str">
            <v>202505</v>
          </cell>
          <cell r="J394" t="str">
            <v>001044</v>
          </cell>
          <cell r="K394">
            <v>36</v>
          </cell>
          <cell r="L394">
            <v>61183</v>
          </cell>
          <cell r="M394">
            <v>0</v>
          </cell>
          <cell r="N394">
            <v>61183</v>
          </cell>
          <cell r="O394">
            <v>0</v>
          </cell>
          <cell r="P394">
            <v>0</v>
          </cell>
          <cell r="Q394">
            <v>0</v>
          </cell>
          <cell r="R394">
            <v>61183</v>
          </cell>
          <cell r="S394">
            <v>0</v>
          </cell>
          <cell r="T394">
            <v>61183</v>
          </cell>
          <cell r="U394">
            <v>0</v>
          </cell>
          <cell r="V394">
            <v>61183</v>
          </cell>
          <cell r="W394">
            <v>61183</v>
          </cell>
          <cell r="X394">
            <v>0</v>
          </cell>
        </row>
        <row r="395">
          <cell r="B395">
            <v>514101297015</v>
          </cell>
          <cell r="C395" t="str">
            <v>PJU PR GREEN REMBANG PERM</v>
          </cell>
          <cell r="D395" t="str">
            <v>PERUMAHAN GREEN REMBANG PERMAI</v>
          </cell>
          <cell r="E395"/>
          <cell r="F395"/>
          <cell r="G395" t="str">
            <v>P3</v>
          </cell>
          <cell r="H395">
            <v>900</v>
          </cell>
          <cell r="I395" t="str">
            <v>202505</v>
          </cell>
          <cell r="J395" t="str">
            <v>048424</v>
          </cell>
          <cell r="K395">
            <v>55</v>
          </cell>
          <cell r="L395">
            <v>93474</v>
          </cell>
          <cell r="M395">
            <v>0</v>
          </cell>
          <cell r="N395">
            <v>93474</v>
          </cell>
          <cell r="O395">
            <v>0</v>
          </cell>
          <cell r="P395">
            <v>0</v>
          </cell>
          <cell r="Q395">
            <v>0</v>
          </cell>
          <cell r="R395">
            <v>93474</v>
          </cell>
          <cell r="S395">
            <v>0</v>
          </cell>
          <cell r="T395">
            <v>93474</v>
          </cell>
          <cell r="U395">
            <v>0</v>
          </cell>
          <cell r="V395">
            <v>93474</v>
          </cell>
          <cell r="W395">
            <v>93474</v>
          </cell>
          <cell r="X395">
            <v>0</v>
          </cell>
        </row>
        <row r="396">
          <cell r="B396">
            <v>514101307125</v>
          </cell>
          <cell r="C396" t="str">
            <v>PJU PR JOHO VIEW</v>
          </cell>
          <cell r="D396" t="str">
            <v>JOHO VIEW</v>
          </cell>
          <cell r="E396"/>
          <cell r="F396"/>
          <cell r="G396" t="str">
            <v>P3</v>
          </cell>
          <cell r="H396">
            <v>900</v>
          </cell>
          <cell r="I396" t="str">
            <v>202505</v>
          </cell>
          <cell r="J396" t="str">
            <v>048372</v>
          </cell>
          <cell r="K396">
            <v>36</v>
          </cell>
          <cell r="L396">
            <v>61183</v>
          </cell>
          <cell r="M396">
            <v>0</v>
          </cell>
          <cell r="N396">
            <v>61183</v>
          </cell>
          <cell r="O396">
            <v>0</v>
          </cell>
          <cell r="P396">
            <v>0</v>
          </cell>
          <cell r="Q396">
            <v>0</v>
          </cell>
          <cell r="R396">
            <v>61183</v>
          </cell>
          <cell r="S396">
            <v>0</v>
          </cell>
          <cell r="T396">
            <v>61183</v>
          </cell>
          <cell r="U396">
            <v>0</v>
          </cell>
          <cell r="V396">
            <v>61183</v>
          </cell>
          <cell r="W396">
            <v>61183</v>
          </cell>
          <cell r="X396">
            <v>0</v>
          </cell>
        </row>
        <row r="397">
          <cell r="B397">
            <v>496135296</v>
          </cell>
          <cell r="C397">
            <v>0</v>
          </cell>
          <cell r="D397">
            <v>496255296</v>
          </cell>
          <cell r="E397">
            <v>0</v>
          </cell>
          <cell r="F397">
            <v>0</v>
          </cell>
          <cell r="G397">
            <v>0</v>
          </cell>
          <cell r="H397">
            <v>496135296</v>
          </cell>
          <cell r="I397" t="str">
            <v>KEDIRI, May 8, 2025   8:45</v>
          </cell>
          <cell r="J397"/>
          <cell r="K397">
            <v>291925</v>
          </cell>
          <cell r="L397">
            <v>496135296</v>
          </cell>
          <cell r="M397">
            <v>120000</v>
          </cell>
          <cell r="N397">
            <v>496255296</v>
          </cell>
          <cell r="O397">
            <v>0</v>
          </cell>
          <cell r="P397">
            <v>0</v>
          </cell>
          <cell r="Q397">
            <v>0</v>
          </cell>
          <cell r="R397">
            <v>496135296</v>
          </cell>
          <cell r="S397">
            <v>0</v>
          </cell>
          <cell r="T397">
            <v>496135296</v>
          </cell>
          <cell r="U397">
            <v>120000</v>
          </cell>
          <cell r="V397">
            <v>496255296</v>
          </cell>
          <cell r="W397">
            <v>496135296</v>
          </cell>
          <cell r="X397">
            <v>0</v>
          </cell>
        </row>
        <row r="398">
          <cell r="B398"/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</row>
        <row r="400">
          <cell r="B400"/>
        </row>
        <row r="402">
          <cell r="B402" t="str">
            <v>UP3 : KEDIRI
ULP : KEDIRI SELATAN</v>
          </cell>
          <cell r="C402" t="str">
            <v>LAPORAN TAGIHAN KODE KOLEKTIF NOTA BUKU
Bulan : MEI-2025</v>
          </cell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</row>
        <row r="403">
          <cell r="B403" t="str">
            <v>IDPEL</v>
          </cell>
          <cell r="C403" t="str">
            <v>NAMA</v>
          </cell>
          <cell r="D403" t="str">
            <v>ALAMAT</v>
          </cell>
          <cell r="E403" t="str">
            <v>TGL BAYAR</v>
          </cell>
          <cell r="F403" t="str">
            <v>KDPEMBAYAR</v>
          </cell>
          <cell r="G403" t="str">
            <v>TRP</v>
          </cell>
          <cell r="H403" t="str">
            <v>DAYA</v>
          </cell>
          <cell r="I403" t="str">
            <v>BLTH</v>
          </cell>
          <cell r="J403" t="str">
            <v>NOREK</v>
          </cell>
          <cell r="K403" t="str">
            <v>KWH</v>
          </cell>
          <cell r="L403" t="str">
            <v>PTL</v>
          </cell>
          <cell r="M403" t="str">
            <v>MAT</v>
          </cell>
          <cell r="N403" t="str">
            <v>PLN</v>
          </cell>
          <cell r="O403" t="str">
            <v>TRAFO</v>
          </cell>
          <cell r="P403" t="str">
            <v>PPN</v>
          </cell>
          <cell r="Q403" t="str">
            <v>PJU</v>
          </cell>
          <cell r="R403" t="str">
            <v>TAGIHAN</v>
          </cell>
        </row>
        <row r="404">
          <cell r="B404">
            <v>514100000040</v>
          </cell>
          <cell r="C404" t="str">
            <v>RUMAH KABUPATEN</v>
          </cell>
          <cell r="D404" t="str">
            <v>PANG SUDIRMAN</v>
          </cell>
          <cell r="E404"/>
          <cell r="F404"/>
          <cell r="G404" t="str">
            <v>R3</v>
          </cell>
          <cell r="H404">
            <v>147000</v>
          </cell>
          <cell r="I404" t="str">
            <v>202505</v>
          </cell>
          <cell r="J404" t="str">
            <v>068714</v>
          </cell>
          <cell r="K404">
            <v>14119</v>
          </cell>
          <cell r="L404">
            <v>23995664</v>
          </cell>
          <cell r="M404">
            <v>10000</v>
          </cell>
          <cell r="N404">
            <v>24005664</v>
          </cell>
          <cell r="O404">
            <v>0</v>
          </cell>
          <cell r="P404">
            <v>2639523</v>
          </cell>
          <cell r="Q404">
            <v>0</v>
          </cell>
          <cell r="R404">
            <v>26635187</v>
          </cell>
          <cell r="S404">
            <v>2639523</v>
          </cell>
          <cell r="T404">
            <v>23995664</v>
          </cell>
          <cell r="U404">
            <v>10000</v>
          </cell>
          <cell r="V404">
            <v>26645187</v>
          </cell>
          <cell r="W404">
            <v>26635187</v>
          </cell>
          <cell r="X404">
            <v>0</v>
          </cell>
        </row>
        <row r="405">
          <cell r="B405">
            <v>514100000853</v>
          </cell>
          <cell r="C405" t="str">
            <v>KANT.KABUPATEN</v>
          </cell>
          <cell r="D405" t="str">
            <v>PANG SUDIRMAN</v>
          </cell>
          <cell r="E405"/>
          <cell r="F405"/>
          <cell r="G405" t="str">
            <v>P1</v>
          </cell>
          <cell r="H405">
            <v>23000</v>
          </cell>
          <cell r="I405" t="str">
            <v>202505</v>
          </cell>
          <cell r="J405" t="str">
            <v>068927</v>
          </cell>
          <cell r="K405">
            <v>5118</v>
          </cell>
          <cell r="L405">
            <v>8698195</v>
          </cell>
          <cell r="M405">
            <v>10000</v>
          </cell>
          <cell r="N405">
            <v>8708195</v>
          </cell>
          <cell r="O405">
            <v>0</v>
          </cell>
          <cell r="P405">
            <v>0</v>
          </cell>
          <cell r="Q405">
            <v>0</v>
          </cell>
          <cell r="R405">
            <v>8698195</v>
          </cell>
          <cell r="S405">
            <v>0</v>
          </cell>
          <cell r="T405">
            <v>8698195</v>
          </cell>
          <cell r="U405">
            <v>10000</v>
          </cell>
          <cell r="V405">
            <v>8708195</v>
          </cell>
          <cell r="W405">
            <v>8698195</v>
          </cell>
          <cell r="X405">
            <v>0</v>
          </cell>
        </row>
        <row r="406">
          <cell r="B406">
            <v>514100001831</v>
          </cell>
          <cell r="C406" t="str">
            <v>RUM DINAS PEMDA.KAB.</v>
          </cell>
          <cell r="D406" t="str">
            <v>BRIGJEN KATAMSO</v>
          </cell>
          <cell r="E406"/>
          <cell r="F406"/>
          <cell r="G406" t="str">
            <v>R1</v>
          </cell>
          <cell r="H406">
            <v>1300</v>
          </cell>
          <cell r="I406" t="str">
            <v>202505</v>
          </cell>
          <cell r="J406" t="str">
            <v>064911</v>
          </cell>
          <cell r="K406">
            <v>149</v>
          </cell>
          <cell r="L406">
            <v>215260</v>
          </cell>
          <cell r="M406">
            <v>0</v>
          </cell>
          <cell r="N406">
            <v>215260</v>
          </cell>
          <cell r="O406">
            <v>0</v>
          </cell>
          <cell r="P406">
            <v>0</v>
          </cell>
          <cell r="Q406">
            <v>0</v>
          </cell>
          <cell r="R406">
            <v>215260</v>
          </cell>
          <cell r="S406">
            <v>0</v>
          </cell>
          <cell r="T406">
            <v>215260</v>
          </cell>
          <cell r="U406">
            <v>0</v>
          </cell>
          <cell r="V406">
            <v>215260</v>
          </cell>
          <cell r="W406">
            <v>215260</v>
          </cell>
          <cell r="X406">
            <v>0</v>
          </cell>
        </row>
        <row r="407">
          <cell r="B407">
            <v>514100014583</v>
          </cell>
          <cell r="C407" t="str">
            <v>RUMAH DIN BUPATI</v>
          </cell>
          <cell r="D407" t="str">
            <v>SEMBOJA</v>
          </cell>
          <cell r="E407"/>
          <cell r="F407"/>
          <cell r="G407" t="str">
            <v>R1</v>
          </cell>
          <cell r="H407">
            <v>2200</v>
          </cell>
          <cell r="I407" t="str">
            <v>202505</v>
          </cell>
          <cell r="J407" t="str">
            <v>048451</v>
          </cell>
          <cell r="K407">
            <v>925</v>
          </cell>
          <cell r="L407">
            <v>1336348</v>
          </cell>
          <cell r="M407">
            <v>0</v>
          </cell>
          <cell r="N407">
            <v>1336348</v>
          </cell>
          <cell r="O407">
            <v>0</v>
          </cell>
          <cell r="P407">
            <v>0</v>
          </cell>
          <cell r="Q407">
            <v>0</v>
          </cell>
          <cell r="R407">
            <v>1336348</v>
          </cell>
          <cell r="S407">
            <v>0</v>
          </cell>
          <cell r="T407">
            <v>1336348</v>
          </cell>
          <cell r="U407">
            <v>0</v>
          </cell>
          <cell r="V407">
            <v>1336348</v>
          </cell>
          <cell r="W407">
            <v>1336348</v>
          </cell>
          <cell r="X407">
            <v>0</v>
          </cell>
        </row>
        <row r="408">
          <cell r="B408">
            <v>514100016171</v>
          </cell>
          <cell r="C408" t="str">
            <v>RUMDIN PEMDA KAB KED</v>
          </cell>
          <cell r="D408" t="str">
            <v>KAMPUNG DALEM 1</v>
          </cell>
          <cell r="E408"/>
          <cell r="F408"/>
          <cell r="G408" t="str">
            <v>R1</v>
          </cell>
          <cell r="H408">
            <v>2200</v>
          </cell>
          <cell r="I408" t="str">
            <v>202505</v>
          </cell>
          <cell r="J408" t="str">
            <v>067788</v>
          </cell>
          <cell r="K408">
            <v>232</v>
          </cell>
          <cell r="L408">
            <v>335170</v>
          </cell>
          <cell r="M408">
            <v>0</v>
          </cell>
          <cell r="N408">
            <v>335170</v>
          </cell>
          <cell r="O408">
            <v>0</v>
          </cell>
          <cell r="P408">
            <v>0</v>
          </cell>
          <cell r="Q408">
            <v>0</v>
          </cell>
          <cell r="R408">
            <v>335170</v>
          </cell>
          <cell r="S408">
            <v>0</v>
          </cell>
          <cell r="T408">
            <v>335170</v>
          </cell>
          <cell r="U408">
            <v>0</v>
          </cell>
          <cell r="V408">
            <v>335170</v>
          </cell>
          <cell r="W408">
            <v>335170</v>
          </cell>
          <cell r="X408">
            <v>0</v>
          </cell>
        </row>
        <row r="409">
          <cell r="B409">
            <v>514100023236</v>
          </cell>
          <cell r="C409" t="str">
            <v>R.C.P.D KABUPATEN</v>
          </cell>
          <cell r="D409" t="str">
            <v>PANG SUDIRMAN</v>
          </cell>
          <cell r="E409"/>
          <cell r="F409"/>
          <cell r="G409" t="str">
            <v>P1</v>
          </cell>
          <cell r="H409">
            <v>6600</v>
          </cell>
          <cell r="I409" t="str">
            <v>202505</v>
          </cell>
          <cell r="J409" t="str">
            <v>048780</v>
          </cell>
          <cell r="K409">
            <v>893</v>
          </cell>
          <cell r="L409">
            <v>1517680</v>
          </cell>
          <cell r="M409">
            <v>0</v>
          </cell>
          <cell r="N409">
            <v>1517680</v>
          </cell>
          <cell r="O409">
            <v>0</v>
          </cell>
          <cell r="P409">
            <v>0</v>
          </cell>
          <cell r="Q409">
            <v>0</v>
          </cell>
          <cell r="R409">
            <v>1517680</v>
          </cell>
          <cell r="S409">
            <v>0</v>
          </cell>
          <cell r="T409">
            <v>1517680</v>
          </cell>
          <cell r="U409">
            <v>0</v>
          </cell>
          <cell r="V409">
            <v>1517680</v>
          </cell>
          <cell r="W409">
            <v>1517680</v>
          </cell>
          <cell r="X409">
            <v>0</v>
          </cell>
        </row>
        <row r="410">
          <cell r="B410">
            <v>514100027108</v>
          </cell>
          <cell r="C410" t="str">
            <v>KANT KAWEDANAN</v>
          </cell>
          <cell r="D410" t="str">
            <v>RAYA NGADILUWIH</v>
          </cell>
          <cell r="E410"/>
          <cell r="F410"/>
          <cell r="G410" t="str">
            <v>P1</v>
          </cell>
          <cell r="H410">
            <v>1300</v>
          </cell>
          <cell r="I410" t="str">
            <v>202505</v>
          </cell>
          <cell r="J410" t="str">
            <v>067834</v>
          </cell>
          <cell r="K410">
            <v>225</v>
          </cell>
          <cell r="L410">
            <v>236025</v>
          </cell>
          <cell r="M410">
            <v>0</v>
          </cell>
          <cell r="N410">
            <v>236025</v>
          </cell>
          <cell r="O410">
            <v>0</v>
          </cell>
          <cell r="P410">
            <v>0</v>
          </cell>
          <cell r="Q410">
            <v>0</v>
          </cell>
          <cell r="R410">
            <v>236025</v>
          </cell>
          <cell r="S410">
            <v>0</v>
          </cell>
          <cell r="T410">
            <v>236025</v>
          </cell>
          <cell r="U410">
            <v>0</v>
          </cell>
          <cell r="V410">
            <v>236025</v>
          </cell>
          <cell r="W410">
            <v>236025</v>
          </cell>
          <cell r="X410">
            <v>0</v>
          </cell>
        </row>
        <row r="411">
          <cell r="B411">
            <v>36334342</v>
          </cell>
          <cell r="C411">
            <v>0</v>
          </cell>
          <cell r="D411">
            <v>36354342</v>
          </cell>
          <cell r="E411">
            <v>0</v>
          </cell>
          <cell r="F411">
            <v>2639523</v>
          </cell>
          <cell r="G411">
            <v>0</v>
          </cell>
          <cell r="H411">
            <v>38973865</v>
          </cell>
          <cell r="I411" t="str">
            <v>KEDIRI, May 2, 2025  14:58</v>
          </cell>
          <cell r="J411"/>
          <cell r="K411">
            <v>21661</v>
          </cell>
          <cell r="L411">
            <v>36334342</v>
          </cell>
          <cell r="M411">
            <v>20000</v>
          </cell>
          <cell r="N411">
            <v>36354342</v>
          </cell>
          <cell r="O411">
            <v>0</v>
          </cell>
          <cell r="P411">
            <v>2639523</v>
          </cell>
          <cell r="Q411">
            <v>0</v>
          </cell>
          <cell r="R411">
            <v>38973865</v>
          </cell>
          <cell r="S411">
            <v>2639523</v>
          </cell>
          <cell r="T411">
            <v>36334342</v>
          </cell>
          <cell r="U411">
            <v>20000</v>
          </cell>
          <cell r="V411">
            <v>38993865</v>
          </cell>
          <cell r="W411">
            <v>38973865</v>
          </cell>
          <cell r="X411">
            <v>0</v>
          </cell>
        </row>
        <row r="412">
          <cell r="B412"/>
          <cell r="C412"/>
          <cell r="D412"/>
          <cell r="E412"/>
          <cell r="F412"/>
          <cell r="G412"/>
          <cell r="H412">
            <v>183600</v>
          </cell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</row>
        <row r="415">
          <cell r="B415"/>
        </row>
        <row r="417">
          <cell r="B417" t="str">
            <v>UP3 : KEDIRI
ULP : KEDIRI SELATAN</v>
          </cell>
          <cell r="C417" t="str">
            <v>LAPORAN TAGIHAN KODE KOLEKTIF NOTA BUKU
Bulan : MEI-2025</v>
          </cell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</row>
        <row r="418">
          <cell r="B418" t="str">
            <v>IDPEL</v>
          </cell>
          <cell r="C418" t="str">
            <v>NAMA</v>
          </cell>
          <cell r="D418" t="str">
            <v>ALAMAT</v>
          </cell>
          <cell r="E418" t="str">
            <v>TGL BAYAR</v>
          </cell>
          <cell r="F418" t="str">
            <v>KDPEMBAYAR</v>
          </cell>
          <cell r="G418" t="str">
            <v>TRP</v>
          </cell>
          <cell r="H418" t="str">
            <v>DAYA</v>
          </cell>
          <cell r="I418" t="str">
            <v>BLTH</v>
          </cell>
          <cell r="J418" t="str">
            <v>NOREK</v>
          </cell>
          <cell r="K418" t="str">
            <v>KWH</v>
          </cell>
          <cell r="L418" t="str">
            <v>PTL</v>
          </cell>
          <cell r="M418" t="str">
            <v>MAT</v>
          </cell>
          <cell r="N418" t="str">
            <v>PLN</v>
          </cell>
          <cell r="O418" t="str">
            <v>TRAFO</v>
          </cell>
          <cell r="P418" t="str">
            <v>PPN</v>
          </cell>
          <cell r="Q418" t="str">
            <v>PJU</v>
          </cell>
          <cell r="R418" t="str">
            <v>TAGIHAN</v>
          </cell>
        </row>
        <row r="419">
          <cell r="B419">
            <v>514100770517</v>
          </cell>
          <cell r="C419" t="str">
            <v>KANT DINAS PERTANIAN</v>
          </cell>
          <cell r="D419" t="str">
            <v>TEMPUREJO</v>
          </cell>
          <cell r="E419"/>
          <cell r="F419"/>
          <cell r="G419" t="str">
            <v>P1</v>
          </cell>
          <cell r="H419">
            <v>2200</v>
          </cell>
          <cell r="I419" t="str">
            <v>202505</v>
          </cell>
          <cell r="J419" t="str">
            <v>058268</v>
          </cell>
          <cell r="K419">
            <v>92</v>
          </cell>
          <cell r="L419">
            <v>98992</v>
          </cell>
          <cell r="M419">
            <v>0</v>
          </cell>
          <cell r="N419">
            <v>98992</v>
          </cell>
          <cell r="O419">
            <v>0</v>
          </cell>
          <cell r="P419">
            <v>0</v>
          </cell>
          <cell r="Q419">
            <v>0</v>
          </cell>
          <cell r="R419">
            <v>98992</v>
          </cell>
          <cell r="S419">
            <v>0</v>
          </cell>
          <cell r="T419">
            <v>98992</v>
          </cell>
          <cell r="U419">
            <v>0</v>
          </cell>
          <cell r="V419">
            <v>98992</v>
          </cell>
          <cell r="W419">
            <v>98992</v>
          </cell>
          <cell r="X419">
            <v>0</v>
          </cell>
        </row>
        <row r="420">
          <cell r="B420">
            <v>98992</v>
          </cell>
          <cell r="C420">
            <v>0</v>
          </cell>
          <cell r="D420">
            <v>98992</v>
          </cell>
          <cell r="E420">
            <v>0</v>
          </cell>
          <cell r="F420">
            <v>0</v>
          </cell>
          <cell r="G420">
            <v>0</v>
          </cell>
          <cell r="H420">
            <v>98992</v>
          </cell>
          <cell r="I420" t="str">
            <v>KEDIRI, May 2, 2025  14:59</v>
          </cell>
          <cell r="J420"/>
          <cell r="K420">
            <v>92</v>
          </cell>
          <cell r="L420">
            <v>98992</v>
          </cell>
          <cell r="M420">
            <v>0</v>
          </cell>
          <cell r="N420">
            <v>98992</v>
          </cell>
          <cell r="O420">
            <v>0</v>
          </cell>
          <cell r="P420">
            <v>0</v>
          </cell>
          <cell r="Q420">
            <v>0</v>
          </cell>
          <cell r="R420">
            <v>98992</v>
          </cell>
          <cell r="S420">
            <v>0</v>
          </cell>
          <cell r="T420">
            <v>98992</v>
          </cell>
          <cell r="U420">
            <v>0</v>
          </cell>
          <cell r="V420">
            <v>98992</v>
          </cell>
          <cell r="W420">
            <v>98992</v>
          </cell>
          <cell r="X420">
            <v>0</v>
          </cell>
        </row>
        <row r="421">
          <cell r="B421"/>
          <cell r="C421"/>
          <cell r="D421"/>
          <cell r="E421"/>
          <cell r="F421"/>
          <cell r="G421"/>
          <cell r="H421">
            <v>2200</v>
          </cell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</row>
        <row r="424">
          <cell r="B424"/>
        </row>
        <row r="426">
          <cell r="B426" t="str">
            <v>UP3 : KEDIRI
ULP : KEDIRI SELATAN</v>
          </cell>
          <cell r="C426" t="str">
            <v>LAPORAN TAGIHAN KODE KOLEKTIF NOTA BUKU
Bulan : MEI-2025</v>
          </cell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</row>
        <row r="427">
          <cell r="B427" t="str">
            <v>IDPEL</v>
          </cell>
          <cell r="C427" t="str">
            <v>NAMA</v>
          </cell>
          <cell r="D427" t="str">
            <v>ALAMAT</v>
          </cell>
          <cell r="E427" t="str">
            <v>TGL BAYAR</v>
          </cell>
          <cell r="F427" t="str">
            <v>KDPEMBAYAR</v>
          </cell>
          <cell r="G427" t="str">
            <v>TRP</v>
          </cell>
          <cell r="H427" t="str">
            <v>DAYA</v>
          </cell>
          <cell r="I427" t="str">
            <v>BLTH</v>
          </cell>
          <cell r="J427" t="str">
            <v>NOREK</v>
          </cell>
          <cell r="K427" t="str">
            <v>KWH</v>
          </cell>
          <cell r="L427" t="str">
            <v>PTL</v>
          </cell>
          <cell r="M427" t="str">
            <v>MAT</v>
          </cell>
          <cell r="N427" t="str">
            <v>PLN</v>
          </cell>
          <cell r="O427" t="str">
            <v>TRAFO</v>
          </cell>
          <cell r="P427" t="str">
            <v>PPN</v>
          </cell>
          <cell r="Q427" t="str">
            <v>PJU</v>
          </cell>
          <cell r="R427" t="str">
            <v>TAGIHAN</v>
          </cell>
        </row>
        <row r="428">
          <cell r="B428">
            <v>514100421969</v>
          </cell>
          <cell r="C428" t="str">
            <v>PJU</v>
          </cell>
          <cell r="D428" t="str">
            <v>MAUNI</v>
          </cell>
          <cell r="E428"/>
          <cell r="F428"/>
          <cell r="G428" t="str">
            <v>P3</v>
          </cell>
          <cell r="H428">
            <v>10600</v>
          </cell>
          <cell r="I428" t="str">
            <v>202505</v>
          </cell>
          <cell r="J428" t="str">
            <v>048484</v>
          </cell>
          <cell r="K428">
            <v>3975</v>
          </cell>
          <cell r="L428">
            <v>6755632</v>
          </cell>
          <cell r="M428">
            <v>10000</v>
          </cell>
          <cell r="N428">
            <v>6765632</v>
          </cell>
          <cell r="O428">
            <v>0</v>
          </cell>
          <cell r="P428">
            <v>0</v>
          </cell>
          <cell r="Q428">
            <v>0</v>
          </cell>
          <cell r="R428">
            <v>6755632</v>
          </cell>
          <cell r="S428">
            <v>0</v>
          </cell>
          <cell r="T428">
            <v>6755632</v>
          </cell>
          <cell r="U428">
            <v>10000</v>
          </cell>
          <cell r="V428">
            <v>6765632</v>
          </cell>
          <cell r="W428">
            <v>6755632</v>
          </cell>
          <cell r="X428">
            <v>0</v>
          </cell>
        </row>
        <row r="429">
          <cell r="B429">
            <v>514100430384</v>
          </cell>
          <cell r="C429" t="str">
            <v>PJU</v>
          </cell>
          <cell r="D429" t="str">
            <v>SE SUHARMAJI</v>
          </cell>
          <cell r="E429"/>
          <cell r="F429"/>
          <cell r="G429" t="str">
            <v>P3</v>
          </cell>
          <cell r="H429">
            <v>10600</v>
          </cell>
          <cell r="I429" t="str">
            <v>202505</v>
          </cell>
          <cell r="J429" t="str">
            <v>048367</v>
          </cell>
          <cell r="K429">
            <v>3975</v>
          </cell>
          <cell r="L429">
            <v>6755632</v>
          </cell>
          <cell r="M429">
            <v>10000</v>
          </cell>
          <cell r="N429">
            <v>6765632</v>
          </cell>
          <cell r="O429">
            <v>0</v>
          </cell>
          <cell r="P429">
            <v>0</v>
          </cell>
          <cell r="Q429">
            <v>0</v>
          </cell>
          <cell r="R429">
            <v>6755632</v>
          </cell>
          <cell r="S429">
            <v>0</v>
          </cell>
          <cell r="T429">
            <v>6755632</v>
          </cell>
          <cell r="U429">
            <v>10000</v>
          </cell>
          <cell r="V429">
            <v>6765632</v>
          </cell>
          <cell r="W429">
            <v>6755632</v>
          </cell>
          <cell r="X429">
            <v>0</v>
          </cell>
        </row>
        <row r="430">
          <cell r="B430">
            <v>514100431672</v>
          </cell>
          <cell r="C430" t="str">
            <v>PJU URIP SOMOHARJO</v>
          </cell>
          <cell r="D430" t="str">
            <v>URIP SUMOHARJO</v>
          </cell>
          <cell r="E430"/>
          <cell r="F430"/>
          <cell r="G430" t="str">
            <v>P3</v>
          </cell>
          <cell r="H430">
            <v>5500</v>
          </cell>
          <cell r="I430" t="str">
            <v>202505</v>
          </cell>
          <cell r="J430" t="str">
            <v>048271</v>
          </cell>
          <cell r="K430">
            <v>609</v>
          </cell>
          <cell r="L430">
            <v>1035014</v>
          </cell>
          <cell r="M430">
            <v>0</v>
          </cell>
          <cell r="N430">
            <v>1035014</v>
          </cell>
          <cell r="O430">
            <v>0</v>
          </cell>
          <cell r="P430">
            <v>0</v>
          </cell>
          <cell r="Q430">
            <v>0</v>
          </cell>
          <cell r="R430">
            <v>1035014</v>
          </cell>
          <cell r="S430">
            <v>0</v>
          </cell>
          <cell r="T430">
            <v>1035014</v>
          </cell>
          <cell r="U430">
            <v>0</v>
          </cell>
          <cell r="V430">
            <v>1035014</v>
          </cell>
          <cell r="W430">
            <v>1035014</v>
          </cell>
          <cell r="X430">
            <v>0</v>
          </cell>
        </row>
        <row r="431">
          <cell r="B431">
            <v>514100494993</v>
          </cell>
          <cell r="C431" t="str">
            <v>PJU STASIUN</v>
          </cell>
          <cell r="D431" t="str">
            <v>SETASIUN</v>
          </cell>
          <cell r="E431"/>
          <cell r="F431"/>
          <cell r="G431" t="str">
            <v>P3</v>
          </cell>
          <cell r="H431">
            <v>5500</v>
          </cell>
          <cell r="I431" t="str">
            <v>202505</v>
          </cell>
          <cell r="J431" t="str">
            <v>048395</v>
          </cell>
          <cell r="K431">
            <v>673</v>
          </cell>
          <cell r="L431">
            <v>1143784</v>
          </cell>
          <cell r="M431">
            <v>0</v>
          </cell>
          <cell r="N431">
            <v>1143784</v>
          </cell>
          <cell r="O431">
            <v>0</v>
          </cell>
          <cell r="P431">
            <v>0</v>
          </cell>
          <cell r="Q431">
            <v>0</v>
          </cell>
          <cell r="R431">
            <v>1143784</v>
          </cell>
          <cell r="S431">
            <v>0</v>
          </cell>
          <cell r="T431">
            <v>1143784</v>
          </cell>
          <cell r="U431">
            <v>0</v>
          </cell>
          <cell r="V431">
            <v>1143784</v>
          </cell>
          <cell r="W431">
            <v>1143784</v>
          </cell>
          <cell r="X431">
            <v>0</v>
          </cell>
        </row>
        <row r="432">
          <cell r="B432">
            <v>514100541048</v>
          </cell>
          <cell r="C432" t="str">
            <v>PJU BAWANG PESANTREN</v>
          </cell>
          <cell r="D432" t="str">
            <v>BAWANG PESANTREN</v>
          </cell>
          <cell r="E432"/>
          <cell r="F432"/>
          <cell r="G432" t="str">
            <v>P3</v>
          </cell>
          <cell r="H432">
            <v>3500</v>
          </cell>
          <cell r="I432" t="str">
            <v>202505</v>
          </cell>
          <cell r="J432" t="str">
            <v>048563</v>
          </cell>
          <cell r="K432">
            <v>1313</v>
          </cell>
          <cell r="L432">
            <v>2231483</v>
          </cell>
          <cell r="M432">
            <v>0</v>
          </cell>
          <cell r="N432">
            <v>2231483</v>
          </cell>
          <cell r="O432">
            <v>0</v>
          </cell>
          <cell r="P432">
            <v>0</v>
          </cell>
          <cell r="Q432">
            <v>0</v>
          </cell>
          <cell r="R432">
            <v>2231483</v>
          </cell>
          <cell r="S432">
            <v>0</v>
          </cell>
          <cell r="T432">
            <v>2231483</v>
          </cell>
          <cell r="U432">
            <v>0</v>
          </cell>
          <cell r="V432">
            <v>2231483</v>
          </cell>
          <cell r="W432">
            <v>2231483</v>
          </cell>
          <cell r="X432">
            <v>0</v>
          </cell>
        </row>
        <row r="433">
          <cell r="B433">
            <v>514100563613</v>
          </cell>
          <cell r="C433" t="str">
            <v>PJU TI KAPTEN TENDEN</v>
          </cell>
          <cell r="D433" t="str">
            <v>REJOMULYO</v>
          </cell>
          <cell r="E433"/>
          <cell r="F433"/>
          <cell r="G433" t="str">
            <v>P3</v>
          </cell>
          <cell r="H433">
            <v>2200</v>
          </cell>
          <cell r="I433" t="str">
            <v>202505</v>
          </cell>
          <cell r="J433" t="str">
            <v>048457</v>
          </cell>
          <cell r="K433">
            <v>825</v>
          </cell>
          <cell r="L433">
            <v>1402112</v>
          </cell>
          <cell r="M433">
            <v>0</v>
          </cell>
          <cell r="N433">
            <v>1402112</v>
          </cell>
          <cell r="O433">
            <v>0</v>
          </cell>
          <cell r="P433">
            <v>0</v>
          </cell>
          <cell r="Q433">
            <v>0</v>
          </cell>
          <cell r="R433">
            <v>1402112</v>
          </cell>
          <cell r="S433">
            <v>0</v>
          </cell>
          <cell r="T433">
            <v>1402112</v>
          </cell>
          <cell r="U433">
            <v>0</v>
          </cell>
          <cell r="V433">
            <v>1402112</v>
          </cell>
          <cell r="W433">
            <v>1402112</v>
          </cell>
          <cell r="X433">
            <v>0</v>
          </cell>
        </row>
        <row r="434">
          <cell r="B434">
            <v>514100568578</v>
          </cell>
          <cell r="C434" t="str">
            <v>PJU TINALAN</v>
          </cell>
          <cell r="D434" t="str">
            <v>TINALAN</v>
          </cell>
          <cell r="E434"/>
          <cell r="F434"/>
          <cell r="G434" t="str">
            <v>P3</v>
          </cell>
          <cell r="H434">
            <v>5500</v>
          </cell>
          <cell r="I434" t="str">
            <v>202505</v>
          </cell>
          <cell r="J434" t="str">
            <v>048591</v>
          </cell>
          <cell r="K434">
            <v>3960</v>
          </cell>
          <cell r="L434">
            <v>6730139</v>
          </cell>
          <cell r="M434">
            <v>10000</v>
          </cell>
          <cell r="N434">
            <v>6740139</v>
          </cell>
          <cell r="O434">
            <v>0</v>
          </cell>
          <cell r="P434">
            <v>0</v>
          </cell>
          <cell r="Q434">
            <v>0</v>
          </cell>
          <cell r="R434">
            <v>6730139</v>
          </cell>
          <cell r="S434">
            <v>0</v>
          </cell>
          <cell r="T434">
            <v>6730139</v>
          </cell>
          <cell r="U434">
            <v>10000</v>
          </cell>
          <cell r="V434">
            <v>6740139</v>
          </cell>
          <cell r="W434">
            <v>6730139</v>
          </cell>
          <cell r="X434">
            <v>0</v>
          </cell>
        </row>
        <row r="435">
          <cell r="B435">
            <v>514100585321</v>
          </cell>
          <cell r="C435" t="str">
            <v>PJU</v>
          </cell>
          <cell r="D435" t="str">
            <v>SERSAN SUHARMAJI</v>
          </cell>
          <cell r="E435"/>
          <cell r="F435"/>
          <cell r="G435" t="str">
            <v>P3</v>
          </cell>
          <cell r="H435">
            <v>4400</v>
          </cell>
          <cell r="I435" t="str">
            <v>202505</v>
          </cell>
          <cell r="J435" t="str">
            <v>048707</v>
          </cell>
          <cell r="K435">
            <v>1650</v>
          </cell>
          <cell r="L435">
            <v>2804225</v>
          </cell>
          <cell r="M435">
            <v>0</v>
          </cell>
          <cell r="N435">
            <v>2804225</v>
          </cell>
          <cell r="O435">
            <v>0</v>
          </cell>
          <cell r="P435">
            <v>0</v>
          </cell>
          <cell r="Q435">
            <v>0</v>
          </cell>
          <cell r="R435">
            <v>2804225</v>
          </cell>
          <cell r="S435">
            <v>0</v>
          </cell>
          <cell r="T435">
            <v>2804225</v>
          </cell>
          <cell r="U435">
            <v>0</v>
          </cell>
          <cell r="V435">
            <v>2804225</v>
          </cell>
          <cell r="W435">
            <v>2804225</v>
          </cell>
          <cell r="X435">
            <v>0</v>
          </cell>
        </row>
        <row r="436">
          <cell r="B436">
            <v>514100616385</v>
          </cell>
          <cell r="C436" t="str">
            <v>PJU TEMPUREJO PESANTREN</v>
          </cell>
          <cell r="D436" t="str">
            <v>TEMPUREJO PST.</v>
          </cell>
          <cell r="E436"/>
          <cell r="F436"/>
          <cell r="G436" t="str">
            <v>P3</v>
          </cell>
          <cell r="H436">
            <v>7700</v>
          </cell>
          <cell r="I436" t="str">
            <v>202505</v>
          </cell>
          <cell r="J436" t="str">
            <v>048740</v>
          </cell>
          <cell r="K436">
            <v>2888</v>
          </cell>
          <cell r="L436">
            <v>4908243</v>
          </cell>
          <cell r="M436">
            <v>0</v>
          </cell>
          <cell r="N436">
            <v>4908243</v>
          </cell>
          <cell r="O436">
            <v>0</v>
          </cell>
          <cell r="P436">
            <v>0</v>
          </cell>
          <cell r="Q436">
            <v>0</v>
          </cell>
          <cell r="R436">
            <v>4908243</v>
          </cell>
          <cell r="S436">
            <v>0</v>
          </cell>
          <cell r="T436">
            <v>4908243</v>
          </cell>
          <cell r="U436">
            <v>0</v>
          </cell>
          <cell r="V436">
            <v>4908243</v>
          </cell>
          <cell r="W436">
            <v>4908243</v>
          </cell>
          <cell r="X436">
            <v>0</v>
          </cell>
        </row>
        <row r="437">
          <cell r="B437">
            <v>514100616393</v>
          </cell>
          <cell r="C437" t="str">
            <v>PJU KLECO JAMSAREN PST</v>
          </cell>
          <cell r="D437" t="str">
            <v>KLECO JAMSAREN</v>
          </cell>
          <cell r="E437"/>
          <cell r="F437"/>
          <cell r="G437" t="str">
            <v>P3</v>
          </cell>
          <cell r="H437">
            <v>7700</v>
          </cell>
          <cell r="I437" t="str">
            <v>202505</v>
          </cell>
          <cell r="J437" t="str">
            <v>048787</v>
          </cell>
          <cell r="K437">
            <v>2888</v>
          </cell>
          <cell r="L437">
            <v>4908243</v>
          </cell>
          <cell r="M437">
            <v>0</v>
          </cell>
          <cell r="N437">
            <v>4908243</v>
          </cell>
          <cell r="O437">
            <v>0</v>
          </cell>
          <cell r="P437">
            <v>0</v>
          </cell>
          <cell r="Q437">
            <v>0</v>
          </cell>
          <cell r="R437">
            <v>4908243</v>
          </cell>
          <cell r="S437">
            <v>0</v>
          </cell>
          <cell r="T437">
            <v>4908243</v>
          </cell>
          <cell r="U437">
            <v>0</v>
          </cell>
          <cell r="V437">
            <v>4908243</v>
          </cell>
          <cell r="W437">
            <v>4908243</v>
          </cell>
          <cell r="X437">
            <v>0</v>
          </cell>
        </row>
        <row r="438">
          <cell r="B438">
            <v>514100633033</v>
          </cell>
          <cell r="C438" t="str">
            <v>PJU KAPTEN TENDEAN 2</v>
          </cell>
          <cell r="D438" t="str">
            <v>KAPTEN TENDEAN</v>
          </cell>
          <cell r="E438"/>
          <cell r="F438"/>
          <cell r="G438" t="str">
            <v>P3</v>
          </cell>
          <cell r="H438">
            <v>5500</v>
          </cell>
          <cell r="I438" t="str">
            <v>202505</v>
          </cell>
          <cell r="J438" t="str">
            <v>048694</v>
          </cell>
          <cell r="K438">
            <v>900</v>
          </cell>
          <cell r="L438">
            <v>1529577</v>
          </cell>
          <cell r="M438">
            <v>0</v>
          </cell>
          <cell r="N438">
            <v>1529577</v>
          </cell>
          <cell r="O438">
            <v>0</v>
          </cell>
          <cell r="P438">
            <v>0</v>
          </cell>
          <cell r="Q438">
            <v>0</v>
          </cell>
          <cell r="R438">
            <v>1529577</v>
          </cell>
          <cell r="S438">
            <v>0</v>
          </cell>
          <cell r="T438">
            <v>1529577</v>
          </cell>
          <cell r="U438">
            <v>0</v>
          </cell>
          <cell r="V438">
            <v>1529577</v>
          </cell>
          <cell r="W438">
            <v>1529577</v>
          </cell>
          <cell r="X438">
            <v>0</v>
          </cell>
        </row>
        <row r="439">
          <cell r="B439">
            <v>514100648848</v>
          </cell>
          <cell r="C439" t="str">
            <v>PJU REJOMULYO</v>
          </cell>
          <cell r="D439" t="str">
            <v>REJOMULYO</v>
          </cell>
          <cell r="E439"/>
          <cell r="F439"/>
          <cell r="G439" t="str">
            <v>P3</v>
          </cell>
          <cell r="H439">
            <v>6600</v>
          </cell>
          <cell r="I439" t="str">
            <v>202505</v>
          </cell>
          <cell r="J439" t="str">
            <v>048595</v>
          </cell>
          <cell r="K439">
            <v>2475</v>
          </cell>
          <cell r="L439">
            <v>4206337</v>
          </cell>
          <cell r="M439">
            <v>0</v>
          </cell>
          <cell r="N439">
            <v>4206337</v>
          </cell>
          <cell r="O439">
            <v>0</v>
          </cell>
          <cell r="P439">
            <v>0</v>
          </cell>
          <cell r="Q439">
            <v>0</v>
          </cell>
          <cell r="R439">
            <v>4206337</v>
          </cell>
          <cell r="S439">
            <v>0</v>
          </cell>
          <cell r="T439">
            <v>4206337</v>
          </cell>
          <cell r="U439">
            <v>0</v>
          </cell>
          <cell r="V439">
            <v>4206337</v>
          </cell>
          <cell r="W439">
            <v>4206337</v>
          </cell>
          <cell r="X439">
            <v>0</v>
          </cell>
        </row>
        <row r="440">
          <cell r="B440">
            <v>514100651427</v>
          </cell>
          <cell r="C440" t="str">
            <v>PJU GAPURO PERBATASAN</v>
          </cell>
          <cell r="D440" t="str">
            <v>SERSAN SUHARMAJI</v>
          </cell>
          <cell r="E440"/>
          <cell r="F440"/>
          <cell r="G440" t="str">
            <v>P3</v>
          </cell>
          <cell r="H440">
            <v>6600</v>
          </cell>
          <cell r="I440" t="str">
            <v>202505</v>
          </cell>
          <cell r="J440" t="str">
            <v>048535</v>
          </cell>
          <cell r="K440">
            <v>2475</v>
          </cell>
          <cell r="L440">
            <v>4206337</v>
          </cell>
          <cell r="M440">
            <v>0</v>
          </cell>
          <cell r="N440">
            <v>4206337</v>
          </cell>
          <cell r="O440">
            <v>0</v>
          </cell>
          <cell r="P440">
            <v>0</v>
          </cell>
          <cell r="Q440">
            <v>0</v>
          </cell>
          <cell r="R440">
            <v>4206337</v>
          </cell>
          <cell r="S440">
            <v>0</v>
          </cell>
          <cell r="T440">
            <v>4206337</v>
          </cell>
          <cell r="U440">
            <v>0</v>
          </cell>
          <cell r="V440">
            <v>4206337</v>
          </cell>
          <cell r="W440">
            <v>4206337</v>
          </cell>
          <cell r="X440">
            <v>0</v>
          </cell>
        </row>
        <row r="441">
          <cell r="B441">
            <v>514100651468</v>
          </cell>
          <cell r="C441" t="str">
            <v>PJU SERSAN SUHARMAJI</v>
          </cell>
          <cell r="D441" t="str">
            <v>SERSAN SUHARMAJI</v>
          </cell>
          <cell r="E441"/>
          <cell r="F441"/>
          <cell r="G441" t="str">
            <v>P3</v>
          </cell>
          <cell r="H441">
            <v>3500</v>
          </cell>
          <cell r="I441" t="str">
            <v>202505</v>
          </cell>
          <cell r="J441" t="str">
            <v>048622</v>
          </cell>
          <cell r="K441">
            <v>1477</v>
          </cell>
          <cell r="L441">
            <v>2510206</v>
          </cell>
          <cell r="M441">
            <v>0</v>
          </cell>
          <cell r="N441">
            <v>2510206</v>
          </cell>
          <cell r="O441">
            <v>0</v>
          </cell>
          <cell r="P441">
            <v>0</v>
          </cell>
          <cell r="Q441">
            <v>0</v>
          </cell>
          <cell r="R441">
            <v>2510206</v>
          </cell>
          <cell r="S441">
            <v>0</v>
          </cell>
          <cell r="T441">
            <v>2510206</v>
          </cell>
          <cell r="U441">
            <v>0</v>
          </cell>
          <cell r="V441">
            <v>2510206</v>
          </cell>
          <cell r="W441">
            <v>2510206</v>
          </cell>
          <cell r="X441">
            <v>0</v>
          </cell>
        </row>
        <row r="442">
          <cell r="B442">
            <v>514100651476</v>
          </cell>
          <cell r="C442" t="str">
            <v>PJU SERSAN SUHARMAJI 78</v>
          </cell>
          <cell r="D442" t="str">
            <v>SERSAN SUHARMAJI</v>
          </cell>
          <cell r="E442"/>
          <cell r="F442"/>
          <cell r="G442" t="str">
            <v>P3</v>
          </cell>
          <cell r="H442">
            <v>3500</v>
          </cell>
          <cell r="I442" t="str">
            <v>202505</v>
          </cell>
          <cell r="J442" t="str">
            <v>048383</v>
          </cell>
          <cell r="K442">
            <v>1249</v>
          </cell>
          <cell r="L442">
            <v>2122713</v>
          </cell>
          <cell r="M442">
            <v>0</v>
          </cell>
          <cell r="N442">
            <v>2122713</v>
          </cell>
          <cell r="O442">
            <v>0</v>
          </cell>
          <cell r="P442">
            <v>0</v>
          </cell>
          <cell r="Q442">
            <v>0</v>
          </cell>
          <cell r="R442">
            <v>2122713</v>
          </cell>
          <cell r="S442">
            <v>0</v>
          </cell>
          <cell r="T442">
            <v>2122713</v>
          </cell>
          <cell r="U442">
            <v>0</v>
          </cell>
          <cell r="V442">
            <v>2122713</v>
          </cell>
          <cell r="W442">
            <v>2122713</v>
          </cell>
          <cell r="X442">
            <v>0</v>
          </cell>
        </row>
        <row r="443">
          <cell r="B443">
            <v>514100653413</v>
          </cell>
          <cell r="C443" t="str">
            <v>PJU TRUNOJOYO</v>
          </cell>
          <cell r="D443" t="str">
            <v>TRUNOJOYO KEDIRI</v>
          </cell>
          <cell r="E443"/>
          <cell r="F443"/>
          <cell r="G443" t="str">
            <v>P3</v>
          </cell>
          <cell r="H443">
            <v>5500</v>
          </cell>
          <cell r="I443" t="str">
            <v>202505</v>
          </cell>
          <cell r="J443" t="str">
            <v>048464</v>
          </cell>
          <cell r="K443">
            <v>626</v>
          </cell>
          <cell r="L443">
            <v>1063906</v>
          </cell>
          <cell r="M443">
            <v>0</v>
          </cell>
          <cell r="N443">
            <v>1063906</v>
          </cell>
          <cell r="O443">
            <v>0</v>
          </cell>
          <cell r="P443">
            <v>0</v>
          </cell>
          <cell r="Q443">
            <v>0</v>
          </cell>
          <cell r="R443">
            <v>1063906</v>
          </cell>
          <cell r="S443">
            <v>0</v>
          </cell>
          <cell r="T443">
            <v>1063906</v>
          </cell>
          <cell r="U443">
            <v>0</v>
          </cell>
          <cell r="V443">
            <v>1063906</v>
          </cell>
          <cell r="W443">
            <v>1063906</v>
          </cell>
          <cell r="X443">
            <v>0</v>
          </cell>
        </row>
        <row r="444">
          <cell r="B444">
            <v>514100653439</v>
          </cell>
          <cell r="C444" t="str">
            <v>PJU MONGINSIDI</v>
          </cell>
          <cell r="D444" t="str">
            <v>MONGINSIDI</v>
          </cell>
          <cell r="E444"/>
          <cell r="F444"/>
          <cell r="G444" t="str">
            <v>P3</v>
          </cell>
          <cell r="H444">
            <v>4400</v>
          </cell>
          <cell r="I444" t="str">
            <v>202505</v>
          </cell>
          <cell r="J444" t="str">
            <v>048516</v>
          </cell>
          <cell r="K444">
            <v>1650</v>
          </cell>
          <cell r="L444">
            <v>2804225</v>
          </cell>
          <cell r="M444">
            <v>0</v>
          </cell>
          <cell r="N444">
            <v>2804225</v>
          </cell>
          <cell r="O444">
            <v>0</v>
          </cell>
          <cell r="P444">
            <v>0</v>
          </cell>
          <cell r="Q444">
            <v>0</v>
          </cell>
          <cell r="R444">
            <v>2804225</v>
          </cell>
          <cell r="S444">
            <v>0</v>
          </cell>
          <cell r="T444">
            <v>2804225</v>
          </cell>
          <cell r="U444">
            <v>0</v>
          </cell>
          <cell r="V444">
            <v>2804225</v>
          </cell>
          <cell r="W444">
            <v>2804225</v>
          </cell>
          <cell r="X444">
            <v>0</v>
          </cell>
        </row>
        <row r="445">
          <cell r="B445">
            <v>514100653447</v>
          </cell>
          <cell r="C445" t="str">
            <v>PJU DR.WAHIDIN</v>
          </cell>
          <cell r="D445" t="str">
            <v>DR. WAHIDIN</v>
          </cell>
          <cell r="E445"/>
          <cell r="F445"/>
          <cell r="G445" t="str">
            <v>P3</v>
          </cell>
          <cell r="H445">
            <v>2200</v>
          </cell>
          <cell r="I445" t="str">
            <v>202505</v>
          </cell>
          <cell r="J445" t="str">
            <v>048773</v>
          </cell>
          <cell r="K445">
            <v>825</v>
          </cell>
          <cell r="L445">
            <v>1402112</v>
          </cell>
          <cell r="M445">
            <v>0</v>
          </cell>
          <cell r="N445">
            <v>1402112</v>
          </cell>
          <cell r="O445">
            <v>0</v>
          </cell>
          <cell r="P445">
            <v>0</v>
          </cell>
          <cell r="Q445">
            <v>0</v>
          </cell>
          <cell r="R445">
            <v>1402112</v>
          </cell>
          <cell r="S445">
            <v>0</v>
          </cell>
          <cell r="T445">
            <v>1402112</v>
          </cell>
          <cell r="U445">
            <v>0</v>
          </cell>
          <cell r="V445">
            <v>1402112</v>
          </cell>
          <cell r="W445">
            <v>1402112</v>
          </cell>
          <cell r="X445">
            <v>0</v>
          </cell>
        </row>
        <row r="446">
          <cell r="B446">
            <v>514100653454</v>
          </cell>
          <cell r="C446" t="str">
            <v>PJU KYAI MOJO</v>
          </cell>
          <cell r="D446" t="str">
            <v>KYAI MOJO KEDIRI</v>
          </cell>
          <cell r="E446"/>
          <cell r="F446"/>
          <cell r="G446" t="str">
            <v>P3</v>
          </cell>
          <cell r="H446">
            <v>2200</v>
          </cell>
          <cell r="I446" t="str">
            <v>202505</v>
          </cell>
          <cell r="J446" t="str">
            <v>048716</v>
          </cell>
          <cell r="K446">
            <v>825</v>
          </cell>
          <cell r="L446">
            <v>1402112</v>
          </cell>
          <cell r="M446">
            <v>0</v>
          </cell>
          <cell r="N446">
            <v>1402112</v>
          </cell>
          <cell r="O446">
            <v>0</v>
          </cell>
          <cell r="P446">
            <v>0</v>
          </cell>
          <cell r="Q446">
            <v>0</v>
          </cell>
          <cell r="R446">
            <v>1402112</v>
          </cell>
          <cell r="S446">
            <v>0</v>
          </cell>
          <cell r="T446">
            <v>1402112</v>
          </cell>
          <cell r="U446">
            <v>0</v>
          </cell>
          <cell r="V446">
            <v>1402112</v>
          </cell>
          <cell r="W446">
            <v>1402112</v>
          </cell>
          <cell r="X446">
            <v>0</v>
          </cell>
        </row>
        <row r="447">
          <cell r="B447">
            <v>514100653488</v>
          </cell>
          <cell r="C447" t="str">
            <v>PJU DR. SETIA BUDI</v>
          </cell>
          <cell r="D447" t="str">
            <v>DR. SETIA BUDI</v>
          </cell>
          <cell r="E447"/>
          <cell r="F447"/>
          <cell r="G447" t="str">
            <v>P3</v>
          </cell>
          <cell r="H447">
            <v>2200</v>
          </cell>
          <cell r="I447" t="str">
            <v>202505</v>
          </cell>
          <cell r="J447" t="str">
            <v>048554</v>
          </cell>
          <cell r="K447">
            <v>825</v>
          </cell>
          <cell r="L447">
            <v>1402112</v>
          </cell>
          <cell r="M447">
            <v>0</v>
          </cell>
          <cell r="N447">
            <v>1402112</v>
          </cell>
          <cell r="O447">
            <v>0</v>
          </cell>
          <cell r="P447">
            <v>0</v>
          </cell>
          <cell r="Q447">
            <v>0</v>
          </cell>
          <cell r="R447">
            <v>1402112</v>
          </cell>
          <cell r="S447">
            <v>0</v>
          </cell>
          <cell r="T447">
            <v>1402112</v>
          </cell>
          <cell r="U447">
            <v>0</v>
          </cell>
          <cell r="V447">
            <v>1402112</v>
          </cell>
          <cell r="W447">
            <v>1402112</v>
          </cell>
          <cell r="X447">
            <v>0</v>
          </cell>
        </row>
        <row r="448">
          <cell r="B448">
            <v>514100653500</v>
          </cell>
          <cell r="C448" t="str">
            <v>PJU SRIWIJAYA</v>
          </cell>
          <cell r="D448" t="str">
            <v>SRIWIJAYA</v>
          </cell>
          <cell r="E448"/>
          <cell r="F448"/>
          <cell r="G448" t="str">
            <v>P3</v>
          </cell>
          <cell r="H448">
            <v>2200</v>
          </cell>
          <cell r="I448" t="str">
            <v>202505</v>
          </cell>
          <cell r="J448" t="str">
            <v>048334</v>
          </cell>
          <cell r="K448">
            <v>825</v>
          </cell>
          <cell r="L448">
            <v>1402112</v>
          </cell>
          <cell r="M448">
            <v>0</v>
          </cell>
          <cell r="N448">
            <v>1402112</v>
          </cell>
          <cell r="O448">
            <v>0</v>
          </cell>
          <cell r="P448">
            <v>0</v>
          </cell>
          <cell r="Q448">
            <v>0</v>
          </cell>
          <cell r="R448">
            <v>1402112</v>
          </cell>
          <cell r="S448">
            <v>0</v>
          </cell>
          <cell r="T448">
            <v>1402112</v>
          </cell>
          <cell r="U448">
            <v>0</v>
          </cell>
          <cell r="V448">
            <v>1402112</v>
          </cell>
          <cell r="W448">
            <v>1402112</v>
          </cell>
          <cell r="X448">
            <v>0</v>
          </cell>
        </row>
        <row r="449">
          <cell r="B449">
            <v>514100653518</v>
          </cell>
          <cell r="C449" t="str">
            <v>PJU PATIUNUS</v>
          </cell>
          <cell r="D449" t="str">
            <v>PATIUNUS KEMASAN</v>
          </cell>
          <cell r="E449"/>
          <cell r="F449"/>
          <cell r="G449" t="str">
            <v>P3</v>
          </cell>
          <cell r="H449">
            <v>5500</v>
          </cell>
          <cell r="I449" t="str">
            <v>202505</v>
          </cell>
          <cell r="J449" t="str">
            <v>048446</v>
          </cell>
          <cell r="K449">
            <v>2063</v>
          </cell>
          <cell r="L449">
            <v>3506130</v>
          </cell>
          <cell r="M449">
            <v>0</v>
          </cell>
          <cell r="N449">
            <v>3506130</v>
          </cell>
          <cell r="O449">
            <v>0</v>
          </cell>
          <cell r="P449">
            <v>0</v>
          </cell>
          <cell r="Q449">
            <v>0</v>
          </cell>
          <cell r="R449">
            <v>3506130</v>
          </cell>
          <cell r="S449">
            <v>0</v>
          </cell>
          <cell r="T449">
            <v>3506130</v>
          </cell>
          <cell r="U449">
            <v>0</v>
          </cell>
          <cell r="V449">
            <v>3506130</v>
          </cell>
          <cell r="W449">
            <v>3506130</v>
          </cell>
          <cell r="X449">
            <v>0</v>
          </cell>
        </row>
        <row r="450">
          <cell r="B450">
            <v>514100653526</v>
          </cell>
          <cell r="C450" t="str">
            <v>PJU MH. TAMRIN</v>
          </cell>
          <cell r="D450" t="str">
            <v>MH. TAMRIN</v>
          </cell>
          <cell r="E450"/>
          <cell r="F450"/>
          <cell r="G450" t="str">
            <v>P3</v>
          </cell>
          <cell r="H450">
            <v>2200</v>
          </cell>
          <cell r="I450" t="str">
            <v>202505</v>
          </cell>
          <cell r="J450" t="str">
            <v>048541</v>
          </cell>
          <cell r="K450">
            <v>825</v>
          </cell>
          <cell r="L450">
            <v>1402112</v>
          </cell>
          <cell r="M450">
            <v>0</v>
          </cell>
          <cell r="N450">
            <v>1402112</v>
          </cell>
          <cell r="O450">
            <v>0</v>
          </cell>
          <cell r="P450">
            <v>0</v>
          </cell>
          <cell r="Q450">
            <v>0</v>
          </cell>
          <cell r="R450">
            <v>1402112</v>
          </cell>
          <cell r="S450">
            <v>0</v>
          </cell>
          <cell r="T450">
            <v>1402112</v>
          </cell>
          <cell r="U450">
            <v>0</v>
          </cell>
          <cell r="V450">
            <v>1402112</v>
          </cell>
          <cell r="W450">
            <v>1402112</v>
          </cell>
          <cell r="X450">
            <v>0</v>
          </cell>
        </row>
        <row r="451">
          <cell r="B451">
            <v>514100664345</v>
          </cell>
          <cell r="C451" t="str">
            <v>PJU KAPTEN TENDEAN 1</v>
          </cell>
          <cell r="D451" t="str">
            <v>KAPTEN TENDEAN</v>
          </cell>
          <cell r="E451"/>
          <cell r="F451"/>
          <cell r="G451" t="str">
            <v>P3</v>
          </cell>
          <cell r="H451">
            <v>5500</v>
          </cell>
          <cell r="I451" t="str">
            <v>202505</v>
          </cell>
          <cell r="J451" t="str">
            <v>048282</v>
          </cell>
          <cell r="K451">
            <v>456</v>
          </cell>
          <cell r="L451">
            <v>774986</v>
          </cell>
          <cell r="M451">
            <v>0</v>
          </cell>
          <cell r="N451">
            <v>774986</v>
          </cell>
          <cell r="O451">
            <v>0</v>
          </cell>
          <cell r="P451">
            <v>0</v>
          </cell>
          <cell r="Q451">
            <v>0</v>
          </cell>
          <cell r="R451">
            <v>774986</v>
          </cell>
          <cell r="S451">
            <v>0</v>
          </cell>
          <cell r="T451">
            <v>774986</v>
          </cell>
          <cell r="U451">
            <v>0</v>
          </cell>
          <cell r="V451">
            <v>774986</v>
          </cell>
          <cell r="W451">
            <v>774986</v>
          </cell>
          <cell r="X451">
            <v>0</v>
          </cell>
        </row>
        <row r="452">
          <cell r="B452">
            <v>514100664352</v>
          </cell>
          <cell r="C452" t="str">
            <v>PJU KAPTEN TENDEAN 3</v>
          </cell>
          <cell r="D452" t="str">
            <v>KAPTEN TENDEAN</v>
          </cell>
          <cell r="E452"/>
          <cell r="F452"/>
          <cell r="G452" t="str">
            <v>P3</v>
          </cell>
          <cell r="H452">
            <v>5500</v>
          </cell>
          <cell r="I452" t="str">
            <v>202505</v>
          </cell>
          <cell r="J452" t="str">
            <v>048565</v>
          </cell>
          <cell r="K452">
            <v>616</v>
          </cell>
          <cell r="L452">
            <v>1046910</v>
          </cell>
          <cell r="M452">
            <v>0</v>
          </cell>
          <cell r="N452">
            <v>1046910</v>
          </cell>
          <cell r="O452">
            <v>0</v>
          </cell>
          <cell r="P452">
            <v>0</v>
          </cell>
          <cell r="Q452">
            <v>0</v>
          </cell>
          <cell r="R452">
            <v>1046910</v>
          </cell>
          <cell r="S452">
            <v>0</v>
          </cell>
          <cell r="T452">
            <v>1046910</v>
          </cell>
          <cell r="U452">
            <v>0</v>
          </cell>
          <cell r="V452">
            <v>1046910</v>
          </cell>
          <cell r="W452">
            <v>1046910</v>
          </cell>
          <cell r="X452">
            <v>0</v>
          </cell>
        </row>
        <row r="453">
          <cell r="B453">
            <v>514100664360</v>
          </cell>
          <cell r="C453" t="str">
            <v>PJU SUPERSEMAR 1</v>
          </cell>
          <cell r="D453" t="str">
            <v>SUPER SEMAR KEDIRI</v>
          </cell>
          <cell r="E453"/>
          <cell r="F453"/>
          <cell r="G453" t="str">
            <v>P3</v>
          </cell>
          <cell r="H453">
            <v>5500</v>
          </cell>
          <cell r="I453" t="str">
            <v>202505</v>
          </cell>
          <cell r="J453" t="str">
            <v>048798</v>
          </cell>
          <cell r="K453">
            <v>659</v>
          </cell>
          <cell r="L453">
            <v>1119990</v>
          </cell>
          <cell r="M453">
            <v>0</v>
          </cell>
          <cell r="N453">
            <v>1119990</v>
          </cell>
          <cell r="O453">
            <v>0</v>
          </cell>
          <cell r="P453">
            <v>0</v>
          </cell>
          <cell r="Q453">
            <v>0</v>
          </cell>
          <cell r="R453">
            <v>1119990</v>
          </cell>
          <cell r="S453">
            <v>0</v>
          </cell>
          <cell r="T453">
            <v>1119990</v>
          </cell>
          <cell r="U453">
            <v>0</v>
          </cell>
          <cell r="V453">
            <v>1119990</v>
          </cell>
          <cell r="W453">
            <v>1119990</v>
          </cell>
          <cell r="X453">
            <v>0</v>
          </cell>
        </row>
        <row r="454">
          <cell r="B454">
            <v>514100664378</v>
          </cell>
          <cell r="C454" t="str">
            <v>PJU SUPERSEMAR 2</v>
          </cell>
          <cell r="D454" t="str">
            <v>SUPER SEMAR KEDIRI</v>
          </cell>
          <cell r="E454"/>
          <cell r="F454"/>
          <cell r="G454" t="str">
            <v>P3</v>
          </cell>
          <cell r="H454">
            <v>4400</v>
          </cell>
          <cell r="I454" t="str">
            <v>202505</v>
          </cell>
          <cell r="J454" t="str">
            <v>048510</v>
          </cell>
          <cell r="K454">
            <v>1431</v>
          </cell>
          <cell r="L454">
            <v>2432027</v>
          </cell>
          <cell r="M454">
            <v>0</v>
          </cell>
          <cell r="N454">
            <v>2432027</v>
          </cell>
          <cell r="O454">
            <v>0</v>
          </cell>
          <cell r="P454">
            <v>0</v>
          </cell>
          <cell r="Q454">
            <v>0</v>
          </cell>
          <cell r="R454">
            <v>2432027</v>
          </cell>
          <cell r="S454">
            <v>0</v>
          </cell>
          <cell r="T454">
            <v>2432027</v>
          </cell>
          <cell r="U454">
            <v>0</v>
          </cell>
          <cell r="V454">
            <v>2432027</v>
          </cell>
          <cell r="W454">
            <v>2432027</v>
          </cell>
          <cell r="X454">
            <v>0</v>
          </cell>
        </row>
        <row r="455">
          <cell r="B455">
            <v>514100664386</v>
          </cell>
          <cell r="C455" t="str">
            <v>PJU P.KEMERDEKAAN 1</v>
          </cell>
          <cell r="D455" t="str">
            <v>P. KEMERDEKAAN</v>
          </cell>
          <cell r="E455"/>
          <cell r="F455"/>
          <cell r="G455" t="str">
            <v>P3</v>
          </cell>
          <cell r="H455">
            <v>5500</v>
          </cell>
          <cell r="I455" t="str">
            <v>202505</v>
          </cell>
          <cell r="J455" t="str">
            <v>048426</v>
          </cell>
          <cell r="K455">
            <v>976</v>
          </cell>
          <cell r="L455">
            <v>1658741</v>
          </cell>
          <cell r="M455">
            <v>0</v>
          </cell>
          <cell r="N455">
            <v>1658741</v>
          </cell>
          <cell r="O455">
            <v>0</v>
          </cell>
          <cell r="P455">
            <v>0</v>
          </cell>
          <cell r="Q455">
            <v>0</v>
          </cell>
          <cell r="R455">
            <v>1658741</v>
          </cell>
          <cell r="S455">
            <v>0</v>
          </cell>
          <cell r="T455">
            <v>1658741</v>
          </cell>
          <cell r="U455">
            <v>0</v>
          </cell>
          <cell r="V455">
            <v>1658741</v>
          </cell>
          <cell r="W455">
            <v>1658741</v>
          </cell>
          <cell r="X455">
            <v>0</v>
          </cell>
        </row>
        <row r="456">
          <cell r="B456">
            <v>514100664394</v>
          </cell>
          <cell r="C456" t="str">
            <v>PJU P. KEMERDEKAAN 2</v>
          </cell>
          <cell r="D456" t="str">
            <v>P. KEMERDEKAAN</v>
          </cell>
          <cell r="E456"/>
          <cell r="F456"/>
          <cell r="G456" t="str">
            <v>P3</v>
          </cell>
          <cell r="H456">
            <v>4400</v>
          </cell>
          <cell r="I456" t="str">
            <v>202505</v>
          </cell>
          <cell r="J456" t="str">
            <v>048604</v>
          </cell>
          <cell r="K456">
            <v>803</v>
          </cell>
          <cell r="L456">
            <v>1364723</v>
          </cell>
          <cell r="M456">
            <v>0</v>
          </cell>
          <cell r="N456">
            <v>1364723</v>
          </cell>
          <cell r="O456">
            <v>0</v>
          </cell>
          <cell r="P456">
            <v>0</v>
          </cell>
          <cell r="Q456">
            <v>0</v>
          </cell>
          <cell r="R456">
            <v>1364723</v>
          </cell>
          <cell r="S456">
            <v>0</v>
          </cell>
          <cell r="T456">
            <v>1364723</v>
          </cell>
          <cell r="U456">
            <v>0</v>
          </cell>
          <cell r="V456">
            <v>1364723</v>
          </cell>
          <cell r="W456">
            <v>1364723</v>
          </cell>
          <cell r="X456">
            <v>0</v>
          </cell>
        </row>
        <row r="457">
          <cell r="B457">
            <v>514100664407</v>
          </cell>
          <cell r="C457" t="str">
            <v>PJU SERSAN SUHARMAJI</v>
          </cell>
          <cell r="D457" t="str">
            <v>SERSAN SUHARMAJI</v>
          </cell>
          <cell r="E457"/>
          <cell r="F457"/>
          <cell r="G457" t="str">
            <v>P3</v>
          </cell>
          <cell r="H457">
            <v>7700</v>
          </cell>
          <cell r="I457" t="str">
            <v>202505</v>
          </cell>
          <cell r="J457" t="str">
            <v>048669</v>
          </cell>
          <cell r="K457">
            <v>800</v>
          </cell>
          <cell r="L457">
            <v>1359624</v>
          </cell>
          <cell r="M457">
            <v>0</v>
          </cell>
          <cell r="N457">
            <v>1359624</v>
          </cell>
          <cell r="O457">
            <v>0</v>
          </cell>
          <cell r="P457">
            <v>0</v>
          </cell>
          <cell r="Q457">
            <v>0</v>
          </cell>
          <cell r="R457">
            <v>1359624</v>
          </cell>
          <cell r="S457">
            <v>0</v>
          </cell>
          <cell r="T457">
            <v>1359624</v>
          </cell>
          <cell r="U457">
            <v>0</v>
          </cell>
          <cell r="V457">
            <v>1359624</v>
          </cell>
          <cell r="W457">
            <v>1359624</v>
          </cell>
          <cell r="X457">
            <v>0</v>
          </cell>
        </row>
        <row r="458">
          <cell r="B458">
            <v>514100664415</v>
          </cell>
          <cell r="C458" t="str">
            <v>PJU URIP SUMOHARJO 1</v>
          </cell>
          <cell r="D458" t="str">
            <v>URIP SUMOHARJO</v>
          </cell>
          <cell r="E458"/>
          <cell r="F458"/>
          <cell r="G458" t="str">
            <v>P3</v>
          </cell>
          <cell r="H458">
            <v>5500</v>
          </cell>
          <cell r="I458" t="str">
            <v>202505</v>
          </cell>
          <cell r="J458" t="str">
            <v>048427</v>
          </cell>
          <cell r="K458">
            <v>609</v>
          </cell>
          <cell r="L458">
            <v>1035014</v>
          </cell>
          <cell r="M458">
            <v>0</v>
          </cell>
          <cell r="N458">
            <v>1035014</v>
          </cell>
          <cell r="O458">
            <v>0</v>
          </cell>
          <cell r="P458">
            <v>0</v>
          </cell>
          <cell r="Q458">
            <v>0</v>
          </cell>
          <cell r="R458">
            <v>1035014</v>
          </cell>
          <cell r="S458">
            <v>0</v>
          </cell>
          <cell r="T458">
            <v>1035014</v>
          </cell>
          <cell r="U458">
            <v>0</v>
          </cell>
          <cell r="V458">
            <v>1035014</v>
          </cell>
          <cell r="W458">
            <v>1035014</v>
          </cell>
          <cell r="X458">
            <v>0</v>
          </cell>
        </row>
        <row r="459">
          <cell r="B459">
            <v>514100664423</v>
          </cell>
          <cell r="C459" t="str">
            <v>PJU U.SUMOHARJO 2</v>
          </cell>
          <cell r="D459" t="str">
            <v>URIP SUMOHARJO</v>
          </cell>
          <cell r="E459"/>
          <cell r="F459"/>
          <cell r="G459" t="str">
            <v>P3</v>
          </cell>
          <cell r="H459">
            <v>7700</v>
          </cell>
          <cell r="I459" t="str">
            <v>202505</v>
          </cell>
          <cell r="J459" t="str">
            <v>048390</v>
          </cell>
          <cell r="K459">
            <v>670</v>
          </cell>
          <cell r="L459">
            <v>1138685</v>
          </cell>
          <cell r="M459">
            <v>0</v>
          </cell>
          <cell r="N459">
            <v>1138685</v>
          </cell>
          <cell r="O459">
            <v>0</v>
          </cell>
          <cell r="P459">
            <v>0</v>
          </cell>
          <cell r="Q459">
            <v>0</v>
          </cell>
          <cell r="R459">
            <v>1138685</v>
          </cell>
          <cell r="S459">
            <v>0</v>
          </cell>
          <cell r="T459">
            <v>1138685</v>
          </cell>
          <cell r="U459">
            <v>0</v>
          </cell>
          <cell r="V459">
            <v>1138685</v>
          </cell>
          <cell r="W459">
            <v>1138685</v>
          </cell>
          <cell r="X459">
            <v>0</v>
          </cell>
        </row>
        <row r="460">
          <cell r="B460">
            <v>514100664431</v>
          </cell>
          <cell r="C460" t="str">
            <v>PJU BRIGJEN KATAMSO</v>
          </cell>
          <cell r="D460" t="str">
            <v>BRIGJEN KATAMSO</v>
          </cell>
          <cell r="E460"/>
          <cell r="F460"/>
          <cell r="G460" t="str">
            <v>P3</v>
          </cell>
          <cell r="H460">
            <v>5500</v>
          </cell>
          <cell r="I460" t="str">
            <v>202505</v>
          </cell>
          <cell r="J460" t="str">
            <v>048673</v>
          </cell>
          <cell r="K460">
            <v>650</v>
          </cell>
          <cell r="L460">
            <v>1104695</v>
          </cell>
          <cell r="M460">
            <v>0</v>
          </cell>
          <cell r="N460">
            <v>1104695</v>
          </cell>
          <cell r="O460">
            <v>0</v>
          </cell>
          <cell r="P460">
            <v>0</v>
          </cell>
          <cell r="Q460">
            <v>0</v>
          </cell>
          <cell r="R460">
            <v>1104695</v>
          </cell>
          <cell r="S460">
            <v>0</v>
          </cell>
          <cell r="T460">
            <v>1104695</v>
          </cell>
          <cell r="U460">
            <v>0</v>
          </cell>
          <cell r="V460">
            <v>1104695</v>
          </cell>
          <cell r="W460">
            <v>1104695</v>
          </cell>
          <cell r="X460">
            <v>0</v>
          </cell>
        </row>
        <row r="461">
          <cell r="B461">
            <v>514100664449</v>
          </cell>
          <cell r="C461" t="str">
            <v>PJU LETJEN S. PARMAN</v>
          </cell>
          <cell r="D461" t="str">
            <v>LETJEN S.PARMAN</v>
          </cell>
          <cell r="E461"/>
          <cell r="F461"/>
          <cell r="G461" t="str">
            <v>P3</v>
          </cell>
          <cell r="H461">
            <v>7700</v>
          </cell>
          <cell r="I461" t="str">
            <v>202505</v>
          </cell>
          <cell r="J461" t="str">
            <v>048487</v>
          </cell>
          <cell r="K461">
            <v>882</v>
          </cell>
          <cell r="L461">
            <v>1498985</v>
          </cell>
          <cell r="M461">
            <v>0</v>
          </cell>
          <cell r="N461">
            <v>1498985</v>
          </cell>
          <cell r="O461">
            <v>0</v>
          </cell>
          <cell r="P461">
            <v>0</v>
          </cell>
          <cell r="Q461">
            <v>0</v>
          </cell>
          <cell r="R461">
            <v>1498985</v>
          </cell>
          <cell r="S461">
            <v>0</v>
          </cell>
          <cell r="T461">
            <v>1498985</v>
          </cell>
          <cell r="U461">
            <v>0</v>
          </cell>
          <cell r="V461">
            <v>1498985</v>
          </cell>
          <cell r="W461">
            <v>1498985</v>
          </cell>
          <cell r="X461">
            <v>0</v>
          </cell>
        </row>
        <row r="462">
          <cell r="B462">
            <v>514100664456</v>
          </cell>
          <cell r="C462" t="str">
            <v>PJU PANJAITAN</v>
          </cell>
          <cell r="D462" t="str">
            <v>LETJEN PANJAITAN</v>
          </cell>
          <cell r="E462"/>
          <cell r="F462"/>
          <cell r="G462" t="str">
            <v>P3</v>
          </cell>
          <cell r="H462">
            <v>7700</v>
          </cell>
          <cell r="I462" t="str">
            <v>202505</v>
          </cell>
          <cell r="J462" t="str">
            <v>048803</v>
          </cell>
          <cell r="K462">
            <v>678</v>
          </cell>
          <cell r="L462">
            <v>1152281</v>
          </cell>
          <cell r="M462">
            <v>0</v>
          </cell>
          <cell r="N462">
            <v>1152281</v>
          </cell>
          <cell r="O462">
            <v>0</v>
          </cell>
          <cell r="P462">
            <v>0</v>
          </cell>
          <cell r="Q462">
            <v>0</v>
          </cell>
          <cell r="R462">
            <v>1152281</v>
          </cell>
          <cell r="S462">
            <v>0</v>
          </cell>
          <cell r="T462">
            <v>1152281</v>
          </cell>
          <cell r="U462">
            <v>0</v>
          </cell>
          <cell r="V462">
            <v>1152281</v>
          </cell>
          <cell r="W462">
            <v>1152281</v>
          </cell>
          <cell r="X462">
            <v>0</v>
          </cell>
        </row>
        <row r="463">
          <cell r="B463">
            <v>514100664464</v>
          </cell>
          <cell r="C463" t="str">
            <v>PJU MAUNI 1</v>
          </cell>
          <cell r="D463" t="str">
            <v>MAUNI PESANTREN</v>
          </cell>
          <cell r="E463"/>
          <cell r="F463"/>
          <cell r="G463" t="str">
            <v>P3</v>
          </cell>
          <cell r="H463">
            <v>5500</v>
          </cell>
          <cell r="I463" t="str">
            <v>202505</v>
          </cell>
          <cell r="J463" t="str">
            <v>048762</v>
          </cell>
          <cell r="K463">
            <v>1220</v>
          </cell>
          <cell r="L463">
            <v>2073427</v>
          </cell>
          <cell r="M463">
            <v>0</v>
          </cell>
          <cell r="N463">
            <v>2073427</v>
          </cell>
          <cell r="O463">
            <v>0</v>
          </cell>
          <cell r="P463">
            <v>0</v>
          </cell>
          <cell r="Q463">
            <v>0</v>
          </cell>
          <cell r="R463">
            <v>2073427</v>
          </cell>
          <cell r="S463">
            <v>0</v>
          </cell>
          <cell r="T463">
            <v>2073427</v>
          </cell>
          <cell r="U463">
            <v>0</v>
          </cell>
          <cell r="V463">
            <v>2073427</v>
          </cell>
          <cell r="W463">
            <v>2073427</v>
          </cell>
          <cell r="X463">
            <v>0</v>
          </cell>
        </row>
        <row r="464">
          <cell r="B464">
            <v>514100664472</v>
          </cell>
          <cell r="C464" t="str">
            <v>PJU MAUNI 2</v>
          </cell>
          <cell r="D464" t="str">
            <v>MAUNI PESANTREN</v>
          </cell>
          <cell r="E464"/>
          <cell r="F464"/>
          <cell r="G464" t="str">
            <v>P3</v>
          </cell>
          <cell r="H464">
            <v>5500</v>
          </cell>
          <cell r="I464" t="str">
            <v>202505</v>
          </cell>
          <cell r="J464" t="str">
            <v>048682</v>
          </cell>
          <cell r="K464">
            <v>1388</v>
          </cell>
          <cell r="L464">
            <v>2358948</v>
          </cell>
          <cell r="M464">
            <v>0</v>
          </cell>
          <cell r="N464">
            <v>2358948</v>
          </cell>
          <cell r="O464">
            <v>0</v>
          </cell>
          <cell r="P464">
            <v>0</v>
          </cell>
          <cell r="Q464">
            <v>0</v>
          </cell>
          <cell r="R464">
            <v>2358948</v>
          </cell>
          <cell r="S464">
            <v>0</v>
          </cell>
          <cell r="T464">
            <v>2358948</v>
          </cell>
          <cell r="U464">
            <v>0</v>
          </cell>
          <cell r="V464">
            <v>2358948</v>
          </cell>
          <cell r="W464">
            <v>2358948</v>
          </cell>
          <cell r="X464">
            <v>0</v>
          </cell>
        </row>
        <row r="465">
          <cell r="B465">
            <v>514100664480</v>
          </cell>
          <cell r="C465" t="str">
            <v>PJU MAUNI 3</v>
          </cell>
          <cell r="D465" t="str">
            <v>MAUNI PESANTREN</v>
          </cell>
          <cell r="E465"/>
          <cell r="F465"/>
          <cell r="G465" t="str">
            <v>P3</v>
          </cell>
          <cell r="H465">
            <v>7700</v>
          </cell>
          <cell r="I465" t="str">
            <v>202505</v>
          </cell>
          <cell r="J465" t="str">
            <v>048306</v>
          </cell>
          <cell r="K465">
            <v>1017</v>
          </cell>
          <cell r="L465">
            <v>1728422</v>
          </cell>
          <cell r="M465">
            <v>0</v>
          </cell>
          <cell r="N465">
            <v>1728422</v>
          </cell>
          <cell r="O465">
            <v>0</v>
          </cell>
          <cell r="P465">
            <v>0</v>
          </cell>
          <cell r="Q465">
            <v>0</v>
          </cell>
          <cell r="R465">
            <v>1728422</v>
          </cell>
          <cell r="S465">
            <v>0</v>
          </cell>
          <cell r="T465">
            <v>1728422</v>
          </cell>
          <cell r="U465">
            <v>0</v>
          </cell>
          <cell r="V465">
            <v>1728422</v>
          </cell>
          <cell r="W465">
            <v>1728422</v>
          </cell>
          <cell r="X465">
            <v>0</v>
          </cell>
        </row>
        <row r="466">
          <cell r="B466">
            <v>514100664498</v>
          </cell>
          <cell r="C466" t="str">
            <v>PJU P. SUDIRMAN 1</v>
          </cell>
          <cell r="D466" t="str">
            <v>PANGLIMA SUDIRMAN</v>
          </cell>
          <cell r="E466"/>
          <cell r="F466"/>
          <cell r="G466" t="str">
            <v>P3</v>
          </cell>
          <cell r="H466">
            <v>7700</v>
          </cell>
          <cell r="I466" t="str">
            <v>202505</v>
          </cell>
          <cell r="J466" t="str">
            <v>048403</v>
          </cell>
          <cell r="K466">
            <v>369</v>
          </cell>
          <cell r="L466">
            <v>627127</v>
          </cell>
          <cell r="M466">
            <v>0</v>
          </cell>
          <cell r="N466">
            <v>627127</v>
          </cell>
          <cell r="O466">
            <v>0</v>
          </cell>
          <cell r="P466">
            <v>0</v>
          </cell>
          <cell r="Q466">
            <v>0</v>
          </cell>
          <cell r="R466">
            <v>627127</v>
          </cell>
          <cell r="S466">
            <v>0</v>
          </cell>
          <cell r="T466">
            <v>627127</v>
          </cell>
          <cell r="U466">
            <v>0</v>
          </cell>
          <cell r="V466">
            <v>627127</v>
          </cell>
          <cell r="W466">
            <v>627127</v>
          </cell>
          <cell r="X466">
            <v>0</v>
          </cell>
        </row>
        <row r="467">
          <cell r="B467">
            <v>514100664502</v>
          </cell>
          <cell r="C467" t="str">
            <v>PJU P. SUDIRMAN 2</v>
          </cell>
          <cell r="D467" t="str">
            <v>PANGLIMA SUDIRMAN</v>
          </cell>
          <cell r="E467"/>
          <cell r="F467"/>
          <cell r="G467" t="str">
            <v>P3</v>
          </cell>
          <cell r="H467">
            <v>7700</v>
          </cell>
          <cell r="I467" t="str">
            <v>202505</v>
          </cell>
          <cell r="J467" t="str">
            <v>048336</v>
          </cell>
          <cell r="K467">
            <v>413</v>
          </cell>
          <cell r="L467">
            <v>701906</v>
          </cell>
          <cell r="M467">
            <v>0</v>
          </cell>
          <cell r="N467">
            <v>701906</v>
          </cell>
          <cell r="O467">
            <v>0</v>
          </cell>
          <cell r="P467">
            <v>0</v>
          </cell>
          <cell r="Q467">
            <v>0</v>
          </cell>
          <cell r="R467">
            <v>701906</v>
          </cell>
          <cell r="S467">
            <v>0</v>
          </cell>
          <cell r="T467">
            <v>701906</v>
          </cell>
          <cell r="U467">
            <v>0</v>
          </cell>
          <cell r="V467">
            <v>701906</v>
          </cell>
          <cell r="W467">
            <v>701906</v>
          </cell>
          <cell r="X467">
            <v>0</v>
          </cell>
        </row>
        <row r="468">
          <cell r="B468">
            <v>514100664510</v>
          </cell>
          <cell r="C468" t="str">
            <v>PJU PATIMURA</v>
          </cell>
          <cell r="D468" t="str">
            <v>PATIMURA KEDIRI</v>
          </cell>
          <cell r="E468"/>
          <cell r="F468"/>
          <cell r="G468" t="str">
            <v>P3</v>
          </cell>
          <cell r="H468">
            <v>5500</v>
          </cell>
          <cell r="I468" t="str">
            <v>202505</v>
          </cell>
          <cell r="J468" t="str">
            <v>048412</v>
          </cell>
          <cell r="K468">
            <v>827</v>
          </cell>
          <cell r="L468">
            <v>1405511</v>
          </cell>
          <cell r="M468">
            <v>0</v>
          </cell>
          <cell r="N468">
            <v>1405511</v>
          </cell>
          <cell r="O468">
            <v>0</v>
          </cell>
          <cell r="P468">
            <v>0</v>
          </cell>
          <cell r="Q468">
            <v>0</v>
          </cell>
          <cell r="R468">
            <v>1405511</v>
          </cell>
          <cell r="S468">
            <v>0</v>
          </cell>
          <cell r="T468">
            <v>1405511</v>
          </cell>
          <cell r="U468">
            <v>0</v>
          </cell>
          <cell r="V468">
            <v>1405511</v>
          </cell>
          <cell r="W468">
            <v>1405511</v>
          </cell>
          <cell r="X468">
            <v>0</v>
          </cell>
        </row>
        <row r="469">
          <cell r="B469">
            <v>514100664528</v>
          </cell>
          <cell r="C469" t="str">
            <v>PJU HOS COKROAMINOTO 1</v>
          </cell>
          <cell r="D469" t="str">
            <v>HOS. COKROAMINOTO</v>
          </cell>
          <cell r="E469"/>
          <cell r="F469"/>
          <cell r="G469" t="str">
            <v>P3</v>
          </cell>
          <cell r="H469">
            <v>7700</v>
          </cell>
          <cell r="I469" t="str">
            <v>202505</v>
          </cell>
          <cell r="J469" t="str">
            <v>048809</v>
          </cell>
          <cell r="K469">
            <v>1634</v>
          </cell>
          <cell r="L469">
            <v>2777032</v>
          </cell>
          <cell r="M469">
            <v>0</v>
          </cell>
          <cell r="N469">
            <v>2777032</v>
          </cell>
          <cell r="O469">
            <v>0</v>
          </cell>
          <cell r="P469">
            <v>0</v>
          </cell>
          <cell r="Q469">
            <v>0</v>
          </cell>
          <cell r="R469">
            <v>2777032</v>
          </cell>
          <cell r="S469">
            <v>0</v>
          </cell>
          <cell r="T469">
            <v>2777032</v>
          </cell>
          <cell r="U469">
            <v>0</v>
          </cell>
          <cell r="V469">
            <v>2777032</v>
          </cell>
          <cell r="W469">
            <v>2777032</v>
          </cell>
          <cell r="X469">
            <v>0</v>
          </cell>
        </row>
        <row r="470">
          <cell r="B470">
            <v>514100664536</v>
          </cell>
          <cell r="C470" t="str">
            <v>PJU HOS COKROAMINOTO 2</v>
          </cell>
          <cell r="D470" t="str">
            <v>HOS. COKROAMINOTO</v>
          </cell>
          <cell r="E470"/>
          <cell r="F470"/>
          <cell r="G470" t="str">
            <v>P3</v>
          </cell>
          <cell r="H470">
            <v>7700</v>
          </cell>
          <cell r="I470" t="str">
            <v>202505</v>
          </cell>
          <cell r="J470" t="str">
            <v>048465</v>
          </cell>
          <cell r="K470">
            <v>744</v>
          </cell>
          <cell r="L470">
            <v>1264450</v>
          </cell>
          <cell r="M470">
            <v>0</v>
          </cell>
          <cell r="N470">
            <v>1264450</v>
          </cell>
          <cell r="O470">
            <v>0</v>
          </cell>
          <cell r="P470">
            <v>0</v>
          </cell>
          <cell r="Q470">
            <v>0</v>
          </cell>
          <cell r="R470">
            <v>1264450</v>
          </cell>
          <cell r="S470">
            <v>0</v>
          </cell>
          <cell r="T470">
            <v>1264450</v>
          </cell>
          <cell r="U470">
            <v>0</v>
          </cell>
          <cell r="V470">
            <v>1264450</v>
          </cell>
          <cell r="W470">
            <v>1264450</v>
          </cell>
          <cell r="X470">
            <v>0</v>
          </cell>
        </row>
        <row r="471">
          <cell r="B471">
            <v>514100664544</v>
          </cell>
          <cell r="C471" t="str">
            <v>PJU LETJEN SUTOYO</v>
          </cell>
          <cell r="D471" t="str">
            <v>LETJEN SUTOYO</v>
          </cell>
          <cell r="E471"/>
          <cell r="F471"/>
          <cell r="G471" t="str">
            <v>P3</v>
          </cell>
          <cell r="H471">
            <v>7700</v>
          </cell>
          <cell r="I471" t="str">
            <v>202505</v>
          </cell>
          <cell r="J471" t="str">
            <v>048391</v>
          </cell>
          <cell r="K471">
            <v>808</v>
          </cell>
          <cell r="L471">
            <v>1373220</v>
          </cell>
          <cell r="M471">
            <v>0</v>
          </cell>
          <cell r="N471">
            <v>1373220</v>
          </cell>
          <cell r="O471">
            <v>0</v>
          </cell>
          <cell r="P471">
            <v>0</v>
          </cell>
          <cell r="Q471">
            <v>0</v>
          </cell>
          <cell r="R471">
            <v>1373220</v>
          </cell>
          <cell r="S471">
            <v>0</v>
          </cell>
          <cell r="T471">
            <v>1373220</v>
          </cell>
          <cell r="U471">
            <v>0</v>
          </cell>
          <cell r="V471">
            <v>1373220</v>
          </cell>
          <cell r="W471">
            <v>1373220</v>
          </cell>
          <cell r="X471">
            <v>0</v>
          </cell>
        </row>
        <row r="472">
          <cell r="B472">
            <v>514100664551</v>
          </cell>
          <cell r="C472" t="str">
            <v>PJU YOS SUDARSO 1</v>
          </cell>
          <cell r="D472" t="str">
            <v>YOS SUDARSO</v>
          </cell>
          <cell r="E472"/>
          <cell r="F472"/>
          <cell r="G472" t="str">
            <v>P3</v>
          </cell>
          <cell r="H472">
            <v>7700</v>
          </cell>
          <cell r="I472" t="str">
            <v>202505</v>
          </cell>
          <cell r="J472" t="str">
            <v>048585</v>
          </cell>
          <cell r="K472">
            <v>712</v>
          </cell>
          <cell r="L472">
            <v>1210065</v>
          </cell>
          <cell r="M472">
            <v>0</v>
          </cell>
          <cell r="N472">
            <v>1210065</v>
          </cell>
          <cell r="O472">
            <v>0</v>
          </cell>
          <cell r="P472">
            <v>0</v>
          </cell>
          <cell r="Q472">
            <v>0</v>
          </cell>
          <cell r="R472">
            <v>1210065</v>
          </cell>
          <cell r="S472">
            <v>0</v>
          </cell>
          <cell r="T472">
            <v>1210065</v>
          </cell>
          <cell r="U472">
            <v>0</v>
          </cell>
          <cell r="V472">
            <v>1210065</v>
          </cell>
          <cell r="W472">
            <v>1210065</v>
          </cell>
          <cell r="X472">
            <v>0</v>
          </cell>
        </row>
        <row r="473">
          <cell r="B473">
            <v>514100664569</v>
          </cell>
          <cell r="C473" t="str">
            <v>PJU YOS SUDARSO 2</v>
          </cell>
          <cell r="D473" t="str">
            <v>YOS SUDARSO</v>
          </cell>
          <cell r="E473"/>
          <cell r="F473"/>
          <cell r="G473" t="str">
            <v>P3</v>
          </cell>
          <cell r="H473">
            <v>4400</v>
          </cell>
          <cell r="I473" t="str">
            <v>202505</v>
          </cell>
          <cell r="J473" t="str">
            <v>048286</v>
          </cell>
          <cell r="K473">
            <v>609</v>
          </cell>
          <cell r="L473">
            <v>1035014</v>
          </cell>
          <cell r="M473">
            <v>0</v>
          </cell>
          <cell r="N473">
            <v>1035014</v>
          </cell>
          <cell r="O473">
            <v>0</v>
          </cell>
          <cell r="P473">
            <v>0</v>
          </cell>
          <cell r="Q473">
            <v>0</v>
          </cell>
          <cell r="R473">
            <v>1035014</v>
          </cell>
          <cell r="S473">
            <v>0</v>
          </cell>
          <cell r="T473">
            <v>1035014</v>
          </cell>
          <cell r="U473">
            <v>0</v>
          </cell>
          <cell r="V473">
            <v>1035014</v>
          </cell>
          <cell r="W473">
            <v>1035014</v>
          </cell>
          <cell r="X473">
            <v>0</v>
          </cell>
        </row>
        <row r="474">
          <cell r="B474">
            <v>514100664577</v>
          </cell>
          <cell r="C474" t="str">
            <v>PJU DHOHO 1</v>
          </cell>
          <cell r="D474" t="str">
            <v>DHOHO KEDIRI</v>
          </cell>
          <cell r="E474"/>
          <cell r="F474"/>
          <cell r="G474" t="str">
            <v>P3</v>
          </cell>
          <cell r="H474">
            <v>7700</v>
          </cell>
          <cell r="I474" t="str">
            <v>202505</v>
          </cell>
          <cell r="J474" t="str">
            <v>048741</v>
          </cell>
          <cell r="K474">
            <v>471</v>
          </cell>
          <cell r="L474">
            <v>800479</v>
          </cell>
          <cell r="M474">
            <v>0</v>
          </cell>
          <cell r="N474">
            <v>800479</v>
          </cell>
          <cell r="O474">
            <v>0</v>
          </cell>
          <cell r="P474">
            <v>0</v>
          </cell>
          <cell r="Q474">
            <v>0</v>
          </cell>
          <cell r="R474">
            <v>800479</v>
          </cell>
          <cell r="S474">
            <v>0</v>
          </cell>
          <cell r="T474">
            <v>800479</v>
          </cell>
          <cell r="U474">
            <v>0</v>
          </cell>
          <cell r="V474">
            <v>800479</v>
          </cell>
          <cell r="W474">
            <v>800479</v>
          </cell>
          <cell r="X474">
            <v>0</v>
          </cell>
        </row>
        <row r="475">
          <cell r="B475">
            <v>514100664585</v>
          </cell>
          <cell r="C475" t="str">
            <v>PJU DHOHO 2</v>
          </cell>
          <cell r="D475" t="str">
            <v>DHOHO KEDIRI</v>
          </cell>
          <cell r="E475"/>
          <cell r="F475"/>
          <cell r="G475" t="str">
            <v>P3</v>
          </cell>
          <cell r="H475">
            <v>7700</v>
          </cell>
          <cell r="I475" t="str">
            <v>202505</v>
          </cell>
          <cell r="J475" t="str">
            <v>048456</v>
          </cell>
          <cell r="K475">
            <v>607</v>
          </cell>
          <cell r="L475">
            <v>1031615</v>
          </cell>
          <cell r="M475">
            <v>0</v>
          </cell>
          <cell r="N475">
            <v>1031615</v>
          </cell>
          <cell r="O475">
            <v>0</v>
          </cell>
          <cell r="P475">
            <v>0</v>
          </cell>
          <cell r="Q475">
            <v>0</v>
          </cell>
          <cell r="R475">
            <v>1031615</v>
          </cell>
          <cell r="S475">
            <v>0</v>
          </cell>
          <cell r="T475">
            <v>1031615</v>
          </cell>
          <cell r="U475">
            <v>0</v>
          </cell>
          <cell r="V475">
            <v>1031615</v>
          </cell>
          <cell r="W475">
            <v>1031615</v>
          </cell>
          <cell r="X475">
            <v>0</v>
          </cell>
        </row>
        <row r="476">
          <cell r="B476">
            <v>514100664593</v>
          </cell>
          <cell r="C476" t="str">
            <v>PJU DHOHO 4 PATIMURA</v>
          </cell>
          <cell r="D476" t="str">
            <v>DHOHO KEDIRI</v>
          </cell>
          <cell r="E476"/>
          <cell r="F476"/>
          <cell r="G476" t="str">
            <v>P3</v>
          </cell>
          <cell r="H476">
            <v>7700</v>
          </cell>
          <cell r="I476" t="str">
            <v>202505</v>
          </cell>
          <cell r="J476" t="str">
            <v>048529</v>
          </cell>
          <cell r="K476">
            <v>310</v>
          </cell>
          <cell r="L476">
            <v>526854</v>
          </cell>
          <cell r="M476">
            <v>0</v>
          </cell>
          <cell r="N476">
            <v>526854</v>
          </cell>
          <cell r="O476">
            <v>0</v>
          </cell>
          <cell r="P476">
            <v>0</v>
          </cell>
          <cell r="Q476">
            <v>0</v>
          </cell>
          <cell r="R476">
            <v>526854</v>
          </cell>
          <cell r="S476">
            <v>0</v>
          </cell>
          <cell r="T476">
            <v>526854</v>
          </cell>
          <cell r="U476">
            <v>0</v>
          </cell>
          <cell r="V476">
            <v>526854</v>
          </cell>
          <cell r="W476">
            <v>526854</v>
          </cell>
          <cell r="X476">
            <v>0</v>
          </cell>
        </row>
        <row r="477">
          <cell r="B477">
            <v>514100664606</v>
          </cell>
          <cell r="C477" t="str">
            <v>PJU ALUN-ALUN 1</v>
          </cell>
          <cell r="D477" t="str">
            <v>ALUN - ALUN KEDIRI</v>
          </cell>
          <cell r="E477"/>
          <cell r="F477"/>
          <cell r="G477" t="str">
            <v>P3</v>
          </cell>
          <cell r="H477">
            <v>7700</v>
          </cell>
          <cell r="I477" t="str">
            <v>202505</v>
          </cell>
          <cell r="J477" t="str">
            <v>048399</v>
          </cell>
          <cell r="K477">
            <v>308</v>
          </cell>
          <cell r="L477">
            <v>523455</v>
          </cell>
          <cell r="M477">
            <v>0</v>
          </cell>
          <cell r="N477">
            <v>523455</v>
          </cell>
          <cell r="O477">
            <v>0</v>
          </cell>
          <cell r="P477">
            <v>0</v>
          </cell>
          <cell r="Q477">
            <v>0</v>
          </cell>
          <cell r="R477">
            <v>523455</v>
          </cell>
          <cell r="S477">
            <v>0</v>
          </cell>
          <cell r="T477">
            <v>523455</v>
          </cell>
          <cell r="U477">
            <v>0</v>
          </cell>
          <cell r="V477">
            <v>523455</v>
          </cell>
          <cell r="W477">
            <v>523455</v>
          </cell>
          <cell r="X477">
            <v>0</v>
          </cell>
        </row>
        <row r="478">
          <cell r="B478">
            <v>514100664614</v>
          </cell>
          <cell r="C478" t="str">
            <v>PJU ALUN-ALUN 2</v>
          </cell>
          <cell r="D478" t="str">
            <v>ALUN - ALUN KEDIRI</v>
          </cell>
          <cell r="E478"/>
          <cell r="F478"/>
          <cell r="G478" t="str">
            <v>P3</v>
          </cell>
          <cell r="H478">
            <v>7700</v>
          </cell>
          <cell r="I478" t="str">
            <v>202505</v>
          </cell>
          <cell r="J478" t="str">
            <v>048700</v>
          </cell>
          <cell r="K478">
            <v>591</v>
          </cell>
          <cell r="L478">
            <v>1004422</v>
          </cell>
          <cell r="M478">
            <v>0</v>
          </cell>
          <cell r="N478">
            <v>1004422</v>
          </cell>
          <cell r="O478">
            <v>0</v>
          </cell>
          <cell r="P478">
            <v>0</v>
          </cell>
          <cell r="Q478">
            <v>0</v>
          </cell>
          <cell r="R478">
            <v>1004422</v>
          </cell>
          <cell r="S478">
            <v>0</v>
          </cell>
          <cell r="T478">
            <v>1004422</v>
          </cell>
          <cell r="U478">
            <v>0</v>
          </cell>
          <cell r="V478">
            <v>1004422</v>
          </cell>
          <cell r="W478">
            <v>1004422</v>
          </cell>
          <cell r="X478">
            <v>0</v>
          </cell>
        </row>
        <row r="479">
          <cell r="B479">
            <v>514100694716</v>
          </cell>
          <cell r="C479" t="str">
            <v>PJU KILISUCI SELATAN</v>
          </cell>
          <cell r="D479" t="str">
            <v>KILISUCI JAMSAREN</v>
          </cell>
          <cell r="E479"/>
          <cell r="F479"/>
          <cell r="G479" t="str">
            <v>P3</v>
          </cell>
          <cell r="H479">
            <v>4400</v>
          </cell>
          <cell r="I479" t="str">
            <v>202505</v>
          </cell>
          <cell r="J479" t="str">
            <v>048431</v>
          </cell>
          <cell r="K479">
            <v>379</v>
          </cell>
          <cell r="L479">
            <v>644122</v>
          </cell>
          <cell r="M479">
            <v>0</v>
          </cell>
          <cell r="N479">
            <v>644122</v>
          </cell>
          <cell r="O479">
            <v>0</v>
          </cell>
          <cell r="P479">
            <v>0</v>
          </cell>
          <cell r="Q479">
            <v>0</v>
          </cell>
          <cell r="R479">
            <v>644122</v>
          </cell>
          <cell r="S479">
            <v>0</v>
          </cell>
          <cell r="T479">
            <v>644122</v>
          </cell>
          <cell r="U479">
            <v>0</v>
          </cell>
          <cell r="V479">
            <v>644122</v>
          </cell>
          <cell r="W479">
            <v>644122</v>
          </cell>
          <cell r="X479">
            <v>0</v>
          </cell>
        </row>
        <row r="480">
          <cell r="B480">
            <v>514100694724</v>
          </cell>
          <cell r="C480" t="str">
            <v>PJU KILISUCI UTARA</v>
          </cell>
          <cell r="D480" t="str">
            <v>KILISUCI JAMSAREN</v>
          </cell>
          <cell r="E480"/>
          <cell r="F480"/>
          <cell r="G480" t="str">
            <v>P3</v>
          </cell>
          <cell r="H480">
            <v>5500</v>
          </cell>
          <cell r="I480" t="str">
            <v>202505</v>
          </cell>
          <cell r="J480" t="str">
            <v>048289</v>
          </cell>
          <cell r="K480">
            <v>845</v>
          </cell>
          <cell r="L480">
            <v>1436103</v>
          </cell>
          <cell r="M480">
            <v>0</v>
          </cell>
          <cell r="N480">
            <v>1436103</v>
          </cell>
          <cell r="O480">
            <v>0</v>
          </cell>
          <cell r="P480">
            <v>0</v>
          </cell>
          <cell r="Q480">
            <v>0</v>
          </cell>
          <cell r="R480">
            <v>1436103</v>
          </cell>
          <cell r="S480">
            <v>0</v>
          </cell>
          <cell r="T480">
            <v>1436103</v>
          </cell>
          <cell r="U480">
            <v>0</v>
          </cell>
          <cell r="V480">
            <v>1436103</v>
          </cell>
          <cell r="W480">
            <v>1436103</v>
          </cell>
          <cell r="X480">
            <v>0</v>
          </cell>
        </row>
        <row r="481">
          <cell r="B481">
            <v>514100694740</v>
          </cell>
          <cell r="C481" t="str">
            <v>PJU JEMBATAN ALON-ALON</v>
          </cell>
          <cell r="D481" t="str">
            <v>KAUMAN KP. DALEM</v>
          </cell>
          <cell r="E481"/>
          <cell r="F481"/>
          <cell r="G481" t="str">
            <v>P3</v>
          </cell>
          <cell r="H481">
            <v>7700</v>
          </cell>
          <cell r="I481" t="str">
            <v>202505</v>
          </cell>
          <cell r="J481" t="str">
            <v>048436</v>
          </cell>
          <cell r="K481">
            <v>308</v>
          </cell>
          <cell r="L481">
            <v>523455</v>
          </cell>
          <cell r="M481">
            <v>0</v>
          </cell>
          <cell r="N481">
            <v>523455</v>
          </cell>
          <cell r="O481">
            <v>0</v>
          </cell>
          <cell r="P481">
            <v>0</v>
          </cell>
          <cell r="Q481">
            <v>0</v>
          </cell>
          <cell r="R481">
            <v>523455</v>
          </cell>
          <cell r="S481">
            <v>0</v>
          </cell>
          <cell r="T481">
            <v>523455</v>
          </cell>
          <cell r="U481">
            <v>0</v>
          </cell>
          <cell r="V481">
            <v>523455</v>
          </cell>
          <cell r="W481">
            <v>523455</v>
          </cell>
          <cell r="X481">
            <v>0</v>
          </cell>
        </row>
        <row r="482">
          <cell r="B482">
            <v>514100701810</v>
          </cell>
          <cell r="C482" t="str">
            <v>PJU BATAS BLABAK</v>
          </cell>
          <cell r="D482" t="str">
            <v>BLABAK KOTA</v>
          </cell>
          <cell r="E482"/>
          <cell r="F482"/>
          <cell r="G482" t="str">
            <v>P3</v>
          </cell>
          <cell r="H482">
            <v>3500</v>
          </cell>
          <cell r="I482" t="str">
            <v>202505</v>
          </cell>
          <cell r="J482" t="str">
            <v>048267</v>
          </cell>
          <cell r="K482">
            <v>611</v>
          </cell>
          <cell r="L482">
            <v>1038413</v>
          </cell>
          <cell r="M482">
            <v>0</v>
          </cell>
          <cell r="N482">
            <v>1038413</v>
          </cell>
          <cell r="O482">
            <v>0</v>
          </cell>
          <cell r="P482">
            <v>0</v>
          </cell>
          <cell r="Q482">
            <v>0</v>
          </cell>
          <cell r="R482">
            <v>1038413</v>
          </cell>
          <cell r="S482">
            <v>0</v>
          </cell>
          <cell r="T482">
            <v>1038413</v>
          </cell>
          <cell r="U482">
            <v>0</v>
          </cell>
          <cell r="V482">
            <v>1038413</v>
          </cell>
          <cell r="W482">
            <v>1038413</v>
          </cell>
          <cell r="X482">
            <v>0</v>
          </cell>
        </row>
        <row r="483">
          <cell r="B483">
            <v>514100720786</v>
          </cell>
          <cell r="C483" t="str">
            <v>PJU KAPTEN TENDEAN II</v>
          </cell>
          <cell r="D483" t="str">
            <v>BLABAK KOTA</v>
          </cell>
          <cell r="E483"/>
          <cell r="F483"/>
          <cell r="G483" t="str">
            <v>P3</v>
          </cell>
          <cell r="H483">
            <v>11000</v>
          </cell>
          <cell r="I483" t="str">
            <v>202505</v>
          </cell>
          <cell r="J483" t="str">
            <v>048355</v>
          </cell>
          <cell r="K483">
            <v>1736</v>
          </cell>
          <cell r="L483">
            <v>2950384</v>
          </cell>
          <cell r="M483">
            <v>0</v>
          </cell>
          <cell r="N483">
            <v>2950384</v>
          </cell>
          <cell r="O483">
            <v>0</v>
          </cell>
          <cell r="P483">
            <v>0</v>
          </cell>
          <cell r="Q483">
            <v>0</v>
          </cell>
          <cell r="R483">
            <v>2950384</v>
          </cell>
          <cell r="S483">
            <v>0</v>
          </cell>
          <cell r="T483">
            <v>2950384</v>
          </cell>
          <cell r="U483">
            <v>0</v>
          </cell>
          <cell r="V483">
            <v>2950384</v>
          </cell>
          <cell r="W483">
            <v>2950384</v>
          </cell>
          <cell r="X483">
            <v>0</v>
          </cell>
        </row>
        <row r="484">
          <cell r="B484">
            <v>514100727057</v>
          </cell>
          <cell r="C484" t="str">
            <v>PJU.JL KYAI MOJO</v>
          </cell>
          <cell r="D484" t="str">
            <v>KYAI MOJO</v>
          </cell>
          <cell r="E484"/>
          <cell r="F484"/>
          <cell r="G484" t="str">
            <v>P3</v>
          </cell>
          <cell r="H484">
            <v>5500</v>
          </cell>
          <cell r="I484" t="str">
            <v>202505</v>
          </cell>
          <cell r="J484" t="str">
            <v>048493</v>
          </cell>
          <cell r="K484">
            <v>220</v>
          </cell>
          <cell r="L484">
            <v>373897</v>
          </cell>
          <cell r="M484">
            <v>0</v>
          </cell>
          <cell r="N484">
            <v>373897</v>
          </cell>
          <cell r="O484">
            <v>0</v>
          </cell>
          <cell r="P484">
            <v>0</v>
          </cell>
          <cell r="Q484">
            <v>0</v>
          </cell>
          <cell r="R484">
            <v>373897</v>
          </cell>
          <cell r="S484">
            <v>0</v>
          </cell>
          <cell r="T484">
            <v>373897</v>
          </cell>
          <cell r="U484">
            <v>0</v>
          </cell>
          <cell r="V484">
            <v>373897</v>
          </cell>
          <cell r="W484">
            <v>373897</v>
          </cell>
          <cell r="X484">
            <v>0</v>
          </cell>
        </row>
        <row r="485">
          <cell r="B485">
            <v>514100727065</v>
          </cell>
          <cell r="C485" t="str">
            <v>PJU.KEL.TOSAREN GG.2</v>
          </cell>
          <cell r="D485" t="str">
            <v>TOSAREN</v>
          </cell>
          <cell r="E485"/>
          <cell r="F485"/>
          <cell r="G485" t="str">
            <v>P3</v>
          </cell>
          <cell r="H485">
            <v>4400</v>
          </cell>
          <cell r="I485" t="str">
            <v>202505</v>
          </cell>
          <cell r="J485" t="str">
            <v>048447</v>
          </cell>
          <cell r="K485">
            <v>1027</v>
          </cell>
          <cell r="L485">
            <v>1745417</v>
          </cell>
          <cell r="M485">
            <v>0</v>
          </cell>
          <cell r="N485">
            <v>1745417</v>
          </cell>
          <cell r="O485">
            <v>0</v>
          </cell>
          <cell r="P485">
            <v>0</v>
          </cell>
          <cell r="Q485">
            <v>0</v>
          </cell>
          <cell r="R485">
            <v>1745417</v>
          </cell>
          <cell r="S485">
            <v>0</v>
          </cell>
          <cell r="T485">
            <v>1745417</v>
          </cell>
          <cell r="U485">
            <v>0</v>
          </cell>
          <cell r="V485">
            <v>1745417</v>
          </cell>
          <cell r="W485">
            <v>1745417</v>
          </cell>
          <cell r="X485">
            <v>0</v>
          </cell>
        </row>
        <row r="486">
          <cell r="B486">
            <v>514100727081</v>
          </cell>
          <cell r="C486" t="str">
            <v>PJU JL.CENDANA</v>
          </cell>
          <cell r="D486" t="str">
            <v>CENDANA</v>
          </cell>
          <cell r="E486"/>
          <cell r="F486"/>
          <cell r="G486" t="str">
            <v>P3</v>
          </cell>
          <cell r="H486">
            <v>7700</v>
          </cell>
          <cell r="I486" t="str">
            <v>202505</v>
          </cell>
          <cell r="J486" t="str">
            <v>048509</v>
          </cell>
          <cell r="K486">
            <v>1125</v>
          </cell>
          <cell r="L486">
            <v>1911971</v>
          </cell>
          <cell r="M486">
            <v>0</v>
          </cell>
          <cell r="N486">
            <v>1911971</v>
          </cell>
          <cell r="O486">
            <v>0</v>
          </cell>
          <cell r="P486">
            <v>0</v>
          </cell>
          <cell r="Q486">
            <v>0</v>
          </cell>
          <cell r="R486">
            <v>1911971</v>
          </cell>
          <cell r="S486">
            <v>0</v>
          </cell>
          <cell r="T486">
            <v>1911971</v>
          </cell>
          <cell r="U486">
            <v>0</v>
          </cell>
          <cell r="V486">
            <v>1911971</v>
          </cell>
          <cell r="W486">
            <v>1911971</v>
          </cell>
          <cell r="X486">
            <v>0</v>
          </cell>
        </row>
        <row r="487">
          <cell r="B487">
            <v>514100729002</v>
          </cell>
          <cell r="C487" t="str">
            <v>PJU PESANTREN 2</v>
          </cell>
          <cell r="D487" t="str">
            <v>KETAMI</v>
          </cell>
          <cell r="E487"/>
          <cell r="F487"/>
          <cell r="G487" t="str">
            <v>P3</v>
          </cell>
          <cell r="H487">
            <v>11000</v>
          </cell>
          <cell r="I487" t="str">
            <v>202505</v>
          </cell>
          <cell r="J487" t="str">
            <v>048442</v>
          </cell>
          <cell r="K487">
            <v>1322</v>
          </cell>
          <cell r="L487">
            <v>2246779</v>
          </cell>
          <cell r="M487">
            <v>0</v>
          </cell>
          <cell r="N487">
            <v>2246779</v>
          </cell>
          <cell r="O487">
            <v>0</v>
          </cell>
          <cell r="P487">
            <v>0</v>
          </cell>
          <cell r="Q487">
            <v>0</v>
          </cell>
          <cell r="R487">
            <v>2246779</v>
          </cell>
          <cell r="S487">
            <v>0</v>
          </cell>
          <cell r="T487">
            <v>2246779</v>
          </cell>
          <cell r="U487">
            <v>0</v>
          </cell>
          <cell r="V487">
            <v>2246779</v>
          </cell>
          <cell r="W487">
            <v>2246779</v>
          </cell>
          <cell r="X487">
            <v>0</v>
          </cell>
        </row>
        <row r="488">
          <cell r="B488">
            <v>514100729010</v>
          </cell>
          <cell r="C488" t="str">
            <v>PJU PESANTREN 1</v>
          </cell>
          <cell r="D488" t="str">
            <v>PESANTREN</v>
          </cell>
          <cell r="E488"/>
          <cell r="F488"/>
          <cell r="G488" t="str">
            <v>P3</v>
          </cell>
          <cell r="H488">
            <v>5500</v>
          </cell>
          <cell r="I488" t="str">
            <v>202505</v>
          </cell>
          <cell r="J488" t="str">
            <v>048528</v>
          </cell>
          <cell r="K488">
            <v>1724</v>
          </cell>
          <cell r="L488">
            <v>2929990</v>
          </cell>
          <cell r="M488">
            <v>0</v>
          </cell>
          <cell r="N488">
            <v>2929990</v>
          </cell>
          <cell r="O488">
            <v>0</v>
          </cell>
          <cell r="P488">
            <v>0</v>
          </cell>
          <cell r="Q488">
            <v>0</v>
          </cell>
          <cell r="R488">
            <v>2929990</v>
          </cell>
          <cell r="S488">
            <v>0</v>
          </cell>
          <cell r="T488">
            <v>2929990</v>
          </cell>
          <cell r="U488">
            <v>0</v>
          </cell>
          <cell r="V488">
            <v>2929990</v>
          </cell>
          <cell r="W488">
            <v>2929990</v>
          </cell>
          <cell r="X488">
            <v>0</v>
          </cell>
        </row>
        <row r="489">
          <cell r="B489">
            <v>514100729028</v>
          </cell>
          <cell r="C489" t="str">
            <v>PJU KRESEK</v>
          </cell>
          <cell r="D489" t="str">
            <v>KRESEK</v>
          </cell>
          <cell r="E489"/>
          <cell r="F489"/>
          <cell r="G489" t="str">
            <v>P3</v>
          </cell>
          <cell r="H489">
            <v>11000</v>
          </cell>
          <cell r="I489" t="str">
            <v>202505</v>
          </cell>
          <cell r="J489" t="str">
            <v>048651</v>
          </cell>
          <cell r="K489">
            <v>1478</v>
          </cell>
          <cell r="L489">
            <v>2511905</v>
          </cell>
          <cell r="M489">
            <v>0</v>
          </cell>
          <cell r="N489">
            <v>2511905</v>
          </cell>
          <cell r="O489">
            <v>0</v>
          </cell>
          <cell r="P489">
            <v>0</v>
          </cell>
          <cell r="Q489">
            <v>0</v>
          </cell>
          <cell r="R489">
            <v>2511905</v>
          </cell>
          <cell r="S489">
            <v>0</v>
          </cell>
          <cell r="T489">
            <v>2511905</v>
          </cell>
          <cell r="U489">
            <v>0</v>
          </cell>
          <cell r="V489">
            <v>2511905</v>
          </cell>
          <cell r="W489">
            <v>2511905</v>
          </cell>
          <cell r="X489">
            <v>0</v>
          </cell>
        </row>
        <row r="490">
          <cell r="B490">
            <v>514100729036</v>
          </cell>
          <cell r="C490" t="str">
            <v>PJU BAWANG 1</v>
          </cell>
          <cell r="D490" t="str">
            <v>BAWANG</v>
          </cell>
          <cell r="E490"/>
          <cell r="F490"/>
          <cell r="G490" t="str">
            <v>P3</v>
          </cell>
          <cell r="H490">
            <v>7700</v>
          </cell>
          <cell r="I490" t="str">
            <v>202505</v>
          </cell>
          <cell r="J490" t="str">
            <v>048720</v>
          </cell>
          <cell r="K490">
            <v>2305</v>
          </cell>
          <cell r="L490">
            <v>3917417</v>
          </cell>
          <cell r="M490">
            <v>0</v>
          </cell>
          <cell r="N490">
            <v>3917417</v>
          </cell>
          <cell r="O490">
            <v>0</v>
          </cell>
          <cell r="P490">
            <v>0</v>
          </cell>
          <cell r="Q490">
            <v>0</v>
          </cell>
          <cell r="R490">
            <v>3917417</v>
          </cell>
          <cell r="S490">
            <v>0</v>
          </cell>
          <cell r="T490">
            <v>3917417</v>
          </cell>
          <cell r="U490">
            <v>0</v>
          </cell>
          <cell r="V490">
            <v>3917417</v>
          </cell>
          <cell r="W490">
            <v>3917417</v>
          </cell>
          <cell r="X490">
            <v>0</v>
          </cell>
        </row>
        <row r="491">
          <cell r="B491">
            <v>514100729044</v>
          </cell>
          <cell r="C491" t="str">
            <v>PJU BAWANG 2</v>
          </cell>
          <cell r="D491" t="str">
            <v>BAWANG</v>
          </cell>
          <cell r="E491"/>
          <cell r="F491"/>
          <cell r="G491" t="str">
            <v>P3</v>
          </cell>
          <cell r="H491">
            <v>7700</v>
          </cell>
          <cell r="I491" t="str">
            <v>202505</v>
          </cell>
          <cell r="J491" t="str">
            <v>048593</v>
          </cell>
          <cell r="K491">
            <v>693</v>
          </cell>
          <cell r="L491">
            <v>1177774</v>
          </cell>
          <cell r="M491">
            <v>0</v>
          </cell>
          <cell r="N491">
            <v>1177774</v>
          </cell>
          <cell r="O491">
            <v>0</v>
          </cell>
          <cell r="P491">
            <v>0</v>
          </cell>
          <cell r="Q491">
            <v>0</v>
          </cell>
          <cell r="R491">
            <v>1177774</v>
          </cell>
          <cell r="S491">
            <v>0</v>
          </cell>
          <cell r="T491">
            <v>1177774</v>
          </cell>
          <cell r="U491">
            <v>0</v>
          </cell>
          <cell r="V491">
            <v>1177774</v>
          </cell>
          <cell r="W491">
            <v>1177774</v>
          </cell>
          <cell r="X491">
            <v>0</v>
          </cell>
        </row>
        <row r="492">
          <cell r="B492">
            <v>514100729051</v>
          </cell>
          <cell r="C492" t="str">
            <v>PJU PASAR GROSIR</v>
          </cell>
          <cell r="D492" t="str">
            <v>NGRONGGO</v>
          </cell>
          <cell r="E492"/>
          <cell r="F492"/>
          <cell r="G492" t="str">
            <v>P3</v>
          </cell>
          <cell r="H492">
            <v>11000</v>
          </cell>
          <cell r="I492" t="str">
            <v>202505</v>
          </cell>
          <cell r="J492" t="str">
            <v>048489</v>
          </cell>
          <cell r="K492">
            <v>1576</v>
          </cell>
          <cell r="L492">
            <v>2678459</v>
          </cell>
          <cell r="M492">
            <v>0</v>
          </cell>
          <cell r="N492">
            <v>2678459</v>
          </cell>
          <cell r="O492">
            <v>0</v>
          </cell>
          <cell r="P492">
            <v>0</v>
          </cell>
          <cell r="Q492">
            <v>0</v>
          </cell>
          <cell r="R492">
            <v>2678459</v>
          </cell>
          <cell r="S492">
            <v>0</v>
          </cell>
          <cell r="T492">
            <v>2678459</v>
          </cell>
          <cell r="U492">
            <v>0</v>
          </cell>
          <cell r="V492">
            <v>2678459</v>
          </cell>
          <cell r="W492">
            <v>2678459</v>
          </cell>
          <cell r="X492">
            <v>0</v>
          </cell>
        </row>
        <row r="493">
          <cell r="B493">
            <v>514100729069</v>
          </cell>
          <cell r="C493" t="str">
            <v>PJU JL.TEMBUS KALIOMBO</v>
          </cell>
          <cell r="D493" t="str">
            <v>KALIOMBO</v>
          </cell>
          <cell r="E493"/>
          <cell r="F493"/>
          <cell r="G493" t="str">
            <v>P3</v>
          </cell>
          <cell r="H493">
            <v>11000</v>
          </cell>
          <cell r="I493" t="str">
            <v>202505</v>
          </cell>
          <cell r="J493" t="str">
            <v>048358</v>
          </cell>
          <cell r="K493">
            <v>1988</v>
          </cell>
          <cell r="L493">
            <v>3378666</v>
          </cell>
          <cell r="M493">
            <v>0</v>
          </cell>
          <cell r="N493">
            <v>3378666</v>
          </cell>
          <cell r="O493">
            <v>0</v>
          </cell>
          <cell r="P493">
            <v>0</v>
          </cell>
          <cell r="Q493">
            <v>0</v>
          </cell>
          <cell r="R493">
            <v>3378666</v>
          </cell>
          <cell r="S493">
            <v>0</v>
          </cell>
          <cell r="T493">
            <v>3378666</v>
          </cell>
          <cell r="U493">
            <v>0</v>
          </cell>
          <cell r="V493">
            <v>3378666</v>
          </cell>
          <cell r="W493">
            <v>3378666</v>
          </cell>
          <cell r="X493">
            <v>0</v>
          </cell>
        </row>
        <row r="494">
          <cell r="B494">
            <v>514100729077</v>
          </cell>
          <cell r="C494" t="str">
            <v>PJU GROGOL</v>
          </cell>
          <cell r="D494" t="str">
            <v>GROGOL</v>
          </cell>
          <cell r="E494"/>
          <cell r="F494"/>
          <cell r="G494" t="str">
            <v>P3</v>
          </cell>
          <cell r="H494">
            <v>11000</v>
          </cell>
          <cell r="I494" t="str">
            <v>202505</v>
          </cell>
          <cell r="J494" t="str">
            <v>048552</v>
          </cell>
          <cell r="K494">
            <v>2512</v>
          </cell>
          <cell r="L494">
            <v>4269219</v>
          </cell>
          <cell r="M494">
            <v>0</v>
          </cell>
          <cell r="N494">
            <v>4269219</v>
          </cell>
          <cell r="O494">
            <v>0</v>
          </cell>
          <cell r="P494">
            <v>0</v>
          </cell>
          <cell r="Q494">
            <v>0</v>
          </cell>
          <cell r="R494">
            <v>4269219</v>
          </cell>
          <cell r="S494">
            <v>0</v>
          </cell>
          <cell r="T494">
            <v>4269219</v>
          </cell>
          <cell r="U494">
            <v>0</v>
          </cell>
          <cell r="V494">
            <v>4269219</v>
          </cell>
          <cell r="W494">
            <v>4269219</v>
          </cell>
          <cell r="X494">
            <v>0</v>
          </cell>
        </row>
        <row r="495">
          <cell r="B495">
            <v>514100746364</v>
          </cell>
          <cell r="C495" t="str">
            <v>PJU</v>
          </cell>
          <cell r="D495" t="str">
            <v>RAYA BETET</v>
          </cell>
          <cell r="E495"/>
          <cell r="F495"/>
          <cell r="G495" t="str">
            <v>P3</v>
          </cell>
          <cell r="H495">
            <v>3500</v>
          </cell>
          <cell r="I495" t="str">
            <v>202505</v>
          </cell>
          <cell r="J495" t="str">
            <v>048615</v>
          </cell>
          <cell r="K495">
            <v>1010</v>
          </cell>
          <cell r="L495">
            <v>1716525</v>
          </cell>
          <cell r="M495">
            <v>0</v>
          </cell>
          <cell r="N495">
            <v>1716525</v>
          </cell>
          <cell r="O495">
            <v>0</v>
          </cell>
          <cell r="P495">
            <v>0</v>
          </cell>
          <cell r="Q495">
            <v>0</v>
          </cell>
          <cell r="R495">
            <v>1716525</v>
          </cell>
          <cell r="S495">
            <v>0</v>
          </cell>
          <cell r="T495">
            <v>1716525</v>
          </cell>
          <cell r="U495">
            <v>0</v>
          </cell>
          <cell r="V495">
            <v>1716525</v>
          </cell>
          <cell r="W495">
            <v>1716525</v>
          </cell>
          <cell r="X495">
            <v>0</v>
          </cell>
        </row>
        <row r="496">
          <cell r="B496">
            <v>514100746372</v>
          </cell>
          <cell r="C496" t="str">
            <v>PJU</v>
          </cell>
          <cell r="D496" t="str">
            <v>RAYA BENCE BETET</v>
          </cell>
          <cell r="E496"/>
          <cell r="F496"/>
          <cell r="G496" t="str">
            <v>P3</v>
          </cell>
          <cell r="H496">
            <v>5500</v>
          </cell>
          <cell r="I496" t="str">
            <v>202505</v>
          </cell>
          <cell r="J496" t="str">
            <v>048797</v>
          </cell>
          <cell r="K496">
            <v>1104</v>
          </cell>
          <cell r="L496">
            <v>1876281</v>
          </cell>
          <cell r="M496">
            <v>0</v>
          </cell>
          <cell r="N496">
            <v>1876281</v>
          </cell>
          <cell r="O496">
            <v>0</v>
          </cell>
          <cell r="P496">
            <v>0</v>
          </cell>
          <cell r="Q496">
            <v>0</v>
          </cell>
          <cell r="R496">
            <v>1876281</v>
          </cell>
          <cell r="S496">
            <v>0</v>
          </cell>
          <cell r="T496">
            <v>1876281</v>
          </cell>
          <cell r="U496">
            <v>0</v>
          </cell>
          <cell r="V496">
            <v>1876281</v>
          </cell>
          <cell r="W496">
            <v>1876281</v>
          </cell>
          <cell r="X496">
            <v>0</v>
          </cell>
        </row>
        <row r="497">
          <cell r="B497">
            <v>514100746380</v>
          </cell>
          <cell r="C497" t="str">
            <v>PJU</v>
          </cell>
          <cell r="D497" t="str">
            <v>RAYA BAWANG BETET</v>
          </cell>
          <cell r="E497"/>
          <cell r="F497"/>
          <cell r="G497" t="str">
            <v>P3</v>
          </cell>
          <cell r="H497">
            <v>6600</v>
          </cell>
          <cell r="I497" t="str">
            <v>202505</v>
          </cell>
          <cell r="J497" t="str">
            <v>048793</v>
          </cell>
          <cell r="K497">
            <v>264</v>
          </cell>
          <cell r="L497">
            <v>448676</v>
          </cell>
          <cell r="M497">
            <v>0</v>
          </cell>
          <cell r="N497">
            <v>448676</v>
          </cell>
          <cell r="O497">
            <v>0</v>
          </cell>
          <cell r="P497">
            <v>0</v>
          </cell>
          <cell r="Q497">
            <v>0</v>
          </cell>
          <cell r="R497">
            <v>448676</v>
          </cell>
          <cell r="S497">
            <v>0</v>
          </cell>
          <cell r="T497">
            <v>448676</v>
          </cell>
          <cell r="U497">
            <v>0</v>
          </cell>
          <cell r="V497">
            <v>448676</v>
          </cell>
          <cell r="W497">
            <v>448676</v>
          </cell>
          <cell r="X497">
            <v>0</v>
          </cell>
        </row>
        <row r="498">
          <cell r="B498">
            <v>514100746398</v>
          </cell>
          <cell r="C498" t="str">
            <v>PJU</v>
          </cell>
          <cell r="D498" t="str">
            <v>AKASIA DADAPAN</v>
          </cell>
          <cell r="E498"/>
          <cell r="F498"/>
          <cell r="G498" t="str">
            <v>P3</v>
          </cell>
          <cell r="H498">
            <v>10600</v>
          </cell>
          <cell r="I498" t="str">
            <v>202505</v>
          </cell>
          <cell r="J498" t="str">
            <v>048666</v>
          </cell>
          <cell r="K498">
            <v>1668</v>
          </cell>
          <cell r="L498">
            <v>2834816</v>
          </cell>
          <cell r="M498">
            <v>0</v>
          </cell>
          <cell r="N498">
            <v>2834816</v>
          </cell>
          <cell r="O498">
            <v>0</v>
          </cell>
          <cell r="P498">
            <v>0</v>
          </cell>
          <cell r="Q498">
            <v>0</v>
          </cell>
          <cell r="R498">
            <v>2834816</v>
          </cell>
          <cell r="S498">
            <v>0</v>
          </cell>
          <cell r="T498">
            <v>2834816</v>
          </cell>
          <cell r="U498">
            <v>0</v>
          </cell>
          <cell r="V498">
            <v>2834816</v>
          </cell>
          <cell r="W498">
            <v>2834816</v>
          </cell>
          <cell r="X498">
            <v>0</v>
          </cell>
        </row>
        <row r="499">
          <cell r="B499">
            <v>514100746492</v>
          </cell>
          <cell r="C499" t="str">
            <v>PJU BETET TIMUR</v>
          </cell>
          <cell r="D499" t="str">
            <v>RAYA BETET TIMUR</v>
          </cell>
          <cell r="E499"/>
          <cell r="F499"/>
          <cell r="G499" t="str">
            <v>P3</v>
          </cell>
          <cell r="H499">
            <v>10600</v>
          </cell>
          <cell r="I499" t="str">
            <v>202505</v>
          </cell>
          <cell r="J499" t="str">
            <v>048401</v>
          </cell>
          <cell r="K499">
            <v>424</v>
          </cell>
          <cell r="L499">
            <v>720601</v>
          </cell>
          <cell r="M499">
            <v>0</v>
          </cell>
          <cell r="N499">
            <v>720601</v>
          </cell>
          <cell r="O499">
            <v>0</v>
          </cell>
          <cell r="P499">
            <v>0</v>
          </cell>
          <cell r="Q499">
            <v>0</v>
          </cell>
          <cell r="R499">
            <v>720601</v>
          </cell>
          <cell r="S499">
            <v>0</v>
          </cell>
          <cell r="T499">
            <v>720601</v>
          </cell>
          <cell r="U499">
            <v>0</v>
          </cell>
          <cell r="V499">
            <v>720601</v>
          </cell>
          <cell r="W499">
            <v>720601</v>
          </cell>
          <cell r="X499">
            <v>0</v>
          </cell>
        </row>
        <row r="500">
          <cell r="B500">
            <v>514100746506</v>
          </cell>
          <cell r="C500" t="str">
            <v>PJU</v>
          </cell>
          <cell r="D500" t="str">
            <v>AKASIA</v>
          </cell>
          <cell r="E500"/>
          <cell r="F500"/>
          <cell r="G500" t="str">
            <v>P3</v>
          </cell>
          <cell r="H500">
            <v>10600</v>
          </cell>
          <cell r="I500" t="str">
            <v>202505</v>
          </cell>
          <cell r="J500" t="str">
            <v>048288</v>
          </cell>
          <cell r="K500">
            <v>1479</v>
          </cell>
          <cell r="L500">
            <v>2513605</v>
          </cell>
          <cell r="M500">
            <v>0</v>
          </cell>
          <cell r="N500">
            <v>2513605</v>
          </cell>
          <cell r="O500">
            <v>0</v>
          </cell>
          <cell r="P500">
            <v>0</v>
          </cell>
          <cell r="Q500">
            <v>0</v>
          </cell>
          <cell r="R500">
            <v>2513605</v>
          </cell>
          <cell r="S500">
            <v>0</v>
          </cell>
          <cell r="T500">
            <v>2513605</v>
          </cell>
          <cell r="U500">
            <v>0</v>
          </cell>
          <cell r="V500">
            <v>2513605</v>
          </cell>
          <cell r="W500">
            <v>2513605</v>
          </cell>
          <cell r="X500">
            <v>0</v>
          </cell>
        </row>
        <row r="501">
          <cell r="B501">
            <v>514100767166</v>
          </cell>
          <cell r="C501" t="str">
            <v>PJU PR REJOMULYO ESTATE</v>
          </cell>
          <cell r="D501" t="str">
            <v>REJOMULYO ESTET</v>
          </cell>
          <cell r="E501"/>
          <cell r="F501"/>
          <cell r="G501" t="str">
            <v>P3</v>
          </cell>
          <cell r="H501">
            <v>1300</v>
          </cell>
          <cell r="I501" t="str">
            <v>202505</v>
          </cell>
          <cell r="J501" t="str">
            <v>048658</v>
          </cell>
          <cell r="K501">
            <v>357</v>
          </cell>
          <cell r="L501">
            <v>606732</v>
          </cell>
          <cell r="M501">
            <v>0</v>
          </cell>
          <cell r="N501">
            <v>606732</v>
          </cell>
          <cell r="O501">
            <v>0</v>
          </cell>
          <cell r="P501">
            <v>0</v>
          </cell>
          <cell r="Q501">
            <v>0</v>
          </cell>
          <cell r="R501">
            <v>606732</v>
          </cell>
          <cell r="S501">
            <v>0</v>
          </cell>
          <cell r="T501">
            <v>606732</v>
          </cell>
          <cell r="U501">
            <v>0</v>
          </cell>
          <cell r="V501">
            <v>606732</v>
          </cell>
          <cell r="W501">
            <v>606732</v>
          </cell>
          <cell r="X501">
            <v>0</v>
          </cell>
        </row>
        <row r="502">
          <cell r="B502">
            <v>514100768869</v>
          </cell>
          <cell r="C502" t="str">
            <v>PJU TOSAREN</v>
          </cell>
          <cell r="D502" t="str">
            <v>TIRTOUDAN</v>
          </cell>
          <cell r="E502"/>
          <cell r="F502"/>
          <cell r="G502" t="str">
            <v>P3</v>
          </cell>
          <cell r="H502">
            <v>4400</v>
          </cell>
          <cell r="I502" t="str">
            <v>202505</v>
          </cell>
          <cell r="J502" t="str">
            <v>048325</v>
          </cell>
          <cell r="K502">
            <v>586</v>
          </cell>
          <cell r="L502">
            <v>995925</v>
          </cell>
          <cell r="M502">
            <v>0</v>
          </cell>
          <cell r="N502">
            <v>995925</v>
          </cell>
          <cell r="O502">
            <v>0</v>
          </cell>
          <cell r="P502">
            <v>0</v>
          </cell>
          <cell r="Q502">
            <v>0</v>
          </cell>
          <cell r="R502">
            <v>995925</v>
          </cell>
          <cell r="S502">
            <v>0</v>
          </cell>
          <cell r="T502">
            <v>995925</v>
          </cell>
          <cell r="U502">
            <v>0</v>
          </cell>
          <cell r="V502">
            <v>995925</v>
          </cell>
          <cell r="W502">
            <v>995925</v>
          </cell>
          <cell r="X502">
            <v>0</v>
          </cell>
        </row>
        <row r="503">
          <cell r="B503">
            <v>514100772027</v>
          </cell>
          <cell r="C503" t="str">
            <v>PJU CAKARSI</v>
          </cell>
          <cell r="D503" t="str">
            <v>CAKARSI</v>
          </cell>
          <cell r="E503"/>
          <cell r="F503"/>
          <cell r="G503" t="str">
            <v>P3</v>
          </cell>
          <cell r="H503">
            <v>3500</v>
          </cell>
          <cell r="I503" t="str">
            <v>202505</v>
          </cell>
          <cell r="J503" t="str">
            <v>048490</v>
          </cell>
          <cell r="K503">
            <v>1022</v>
          </cell>
          <cell r="L503">
            <v>1736920</v>
          </cell>
          <cell r="M503">
            <v>0</v>
          </cell>
          <cell r="N503">
            <v>1736920</v>
          </cell>
          <cell r="O503">
            <v>0</v>
          </cell>
          <cell r="P503">
            <v>0</v>
          </cell>
          <cell r="Q503">
            <v>0</v>
          </cell>
          <cell r="R503">
            <v>1736920</v>
          </cell>
          <cell r="S503">
            <v>0</v>
          </cell>
          <cell r="T503">
            <v>1736920</v>
          </cell>
          <cell r="U503">
            <v>0</v>
          </cell>
          <cell r="V503">
            <v>1736920</v>
          </cell>
          <cell r="W503">
            <v>1736920</v>
          </cell>
          <cell r="X503">
            <v>0</v>
          </cell>
        </row>
        <row r="504">
          <cell r="B504">
            <v>514100772035</v>
          </cell>
          <cell r="C504" t="str">
            <v>PJU TEMPUREJO</v>
          </cell>
          <cell r="D504" t="str">
            <v>KWANGKALAN</v>
          </cell>
          <cell r="E504"/>
          <cell r="F504"/>
          <cell r="G504" t="str">
            <v>P3</v>
          </cell>
          <cell r="H504">
            <v>4400</v>
          </cell>
          <cell r="I504" t="str">
            <v>202505</v>
          </cell>
          <cell r="J504" t="str">
            <v>048575</v>
          </cell>
          <cell r="K504">
            <v>177</v>
          </cell>
          <cell r="L504">
            <v>300817</v>
          </cell>
          <cell r="M504">
            <v>0</v>
          </cell>
          <cell r="N504">
            <v>300817</v>
          </cell>
          <cell r="O504">
            <v>0</v>
          </cell>
          <cell r="P504">
            <v>0</v>
          </cell>
          <cell r="Q504">
            <v>0</v>
          </cell>
          <cell r="R504">
            <v>300817</v>
          </cell>
          <cell r="S504">
            <v>0</v>
          </cell>
          <cell r="T504">
            <v>300817</v>
          </cell>
          <cell r="U504">
            <v>0</v>
          </cell>
          <cell r="V504">
            <v>300817</v>
          </cell>
          <cell r="W504">
            <v>300817</v>
          </cell>
          <cell r="X504">
            <v>0</v>
          </cell>
        </row>
        <row r="505">
          <cell r="B505">
            <v>514100772043</v>
          </cell>
          <cell r="C505" t="str">
            <v>PJU SUMBER JIPUT</v>
          </cell>
          <cell r="D505" t="str">
            <v>REJOMULYO</v>
          </cell>
          <cell r="E505"/>
          <cell r="F505"/>
          <cell r="G505" t="str">
            <v>P3</v>
          </cell>
          <cell r="H505">
            <v>7700</v>
          </cell>
          <cell r="I505" t="str">
            <v>202505</v>
          </cell>
          <cell r="J505" t="str">
            <v>048311</v>
          </cell>
          <cell r="K505">
            <v>308</v>
          </cell>
          <cell r="L505">
            <v>523455</v>
          </cell>
          <cell r="M505">
            <v>0</v>
          </cell>
          <cell r="N505">
            <v>523455</v>
          </cell>
          <cell r="O505">
            <v>0</v>
          </cell>
          <cell r="P505">
            <v>0</v>
          </cell>
          <cell r="Q505">
            <v>0</v>
          </cell>
          <cell r="R505">
            <v>523455</v>
          </cell>
          <cell r="S505">
            <v>0</v>
          </cell>
          <cell r="T505">
            <v>523455</v>
          </cell>
          <cell r="U505">
            <v>0</v>
          </cell>
          <cell r="V505">
            <v>523455</v>
          </cell>
          <cell r="W505">
            <v>523455</v>
          </cell>
          <cell r="X505">
            <v>0</v>
          </cell>
        </row>
        <row r="506">
          <cell r="B506">
            <v>514100772050</v>
          </cell>
          <cell r="C506" t="str">
            <v>PJU BLABAK</v>
          </cell>
          <cell r="D506" t="str">
            <v>BULUREJO</v>
          </cell>
          <cell r="E506"/>
          <cell r="F506"/>
          <cell r="G506" t="str">
            <v>P3</v>
          </cell>
          <cell r="H506">
            <v>7700</v>
          </cell>
          <cell r="I506" t="str">
            <v>202505</v>
          </cell>
          <cell r="J506" t="str">
            <v>048346</v>
          </cell>
          <cell r="K506">
            <v>657</v>
          </cell>
          <cell r="L506">
            <v>1116591</v>
          </cell>
          <cell r="M506">
            <v>0</v>
          </cell>
          <cell r="N506">
            <v>1116591</v>
          </cell>
          <cell r="O506">
            <v>0</v>
          </cell>
          <cell r="P506">
            <v>0</v>
          </cell>
          <cell r="Q506">
            <v>0</v>
          </cell>
          <cell r="R506">
            <v>1116591</v>
          </cell>
          <cell r="S506">
            <v>0</v>
          </cell>
          <cell r="T506">
            <v>1116591</v>
          </cell>
          <cell r="U506">
            <v>0</v>
          </cell>
          <cell r="V506">
            <v>1116591</v>
          </cell>
          <cell r="W506">
            <v>1116591</v>
          </cell>
          <cell r="X506">
            <v>0</v>
          </cell>
        </row>
        <row r="507">
          <cell r="B507">
            <v>514100772068</v>
          </cell>
          <cell r="C507" t="str">
            <v>PJU NGLETIH</v>
          </cell>
          <cell r="D507" t="str">
            <v>SUMBEREJO</v>
          </cell>
          <cell r="E507"/>
          <cell r="F507"/>
          <cell r="G507" t="str">
            <v>P3</v>
          </cell>
          <cell r="H507">
            <v>3500</v>
          </cell>
          <cell r="I507" t="str">
            <v>202505</v>
          </cell>
          <cell r="J507" t="str">
            <v>048638</v>
          </cell>
          <cell r="K507">
            <v>877</v>
          </cell>
          <cell r="L507">
            <v>1490488</v>
          </cell>
          <cell r="M507">
            <v>0</v>
          </cell>
          <cell r="N507">
            <v>1490488</v>
          </cell>
          <cell r="O507">
            <v>0</v>
          </cell>
          <cell r="P507">
            <v>0</v>
          </cell>
          <cell r="Q507">
            <v>0</v>
          </cell>
          <cell r="R507">
            <v>1490488</v>
          </cell>
          <cell r="S507">
            <v>0</v>
          </cell>
          <cell r="T507">
            <v>1490488</v>
          </cell>
          <cell r="U507">
            <v>0</v>
          </cell>
          <cell r="V507">
            <v>1490488</v>
          </cell>
          <cell r="W507">
            <v>1490488</v>
          </cell>
          <cell r="X507">
            <v>0</v>
          </cell>
        </row>
        <row r="508">
          <cell r="B508">
            <v>514100779350</v>
          </cell>
          <cell r="C508" t="str">
            <v>PJU PR TOSARI INDAH</v>
          </cell>
          <cell r="D508" t="str">
            <v>PERUM TOSARI I.P</v>
          </cell>
          <cell r="E508"/>
          <cell r="F508"/>
          <cell r="G508" t="str">
            <v>P3</v>
          </cell>
          <cell r="H508">
            <v>2200</v>
          </cell>
          <cell r="I508" t="str">
            <v>202505</v>
          </cell>
          <cell r="J508" t="str">
            <v>048497</v>
          </cell>
          <cell r="K508">
            <v>693</v>
          </cell>
          <cell r="L508">
            <v>1177774</v>
          </cell>
          <cell r="M508">
            <v>0</v>
          </cell>
          <cell r="N508">
            <v>1177774</v>
          </cell>
          <cell r="O508">
            <v>0</v>
          </cell>
          <cell r="P508">
            <v>0</v>
          </cell>
          <cell r="Q508">
            <v>0</v>
          </cell>
          <cell r="R508">
            <v>1177774</v>
          </cell>
          <cell r="S508">
            <v>0</v>
          </cell>
          <cell r="T508">
            <v>1177774</v>
          </cell>
          <cell r="U508">
            <v>0</v>
          </cell>
          <cell r="V508">
            <v>1177774</v>
          </cell>
          <cell r="W508">
            <v>1177774</v>
          </cell>
          <cell r="X508">
            <v>0</v>
          </cell>
        </row>
        <row r="509">
          <cell r="B509">
            <v>514100779559</v>
          </cell>
          <cell r="C509" t="str">
            <v>PJU SETONO GEDONG</v>
          </cell>
          <cell r="D509" t="str">
            <v>UNTUNG SUROPATI</v>
          </cell>
          <cell r="E509"/>
          <cell r="F509"/>
          <cell r="G509" t="str">
            <v>P3</v>
          </cell>
          <cell r="H509">
            <v>3500</v>
          </cell>
          <cell r="I509" t="str">
            <v>202505</v>
          </cell>
          <cell r="J509" t="str">
            <v>048377</v>
          </cell>
          <cell r="K509">
            <v>989</v>
          </cell>
          <cell r="L509">
            <v>1680835</v>
          </cell>
          <cell r="M509">
            <v>0</v>
          </cell>
          <cell r="N509">
            <v>1680835</v>
          </cell>
          <cell r="O509">
            <v>0</v>
          </cell>
          <cell r="P509">
            <v>0</v>
          </cell>
          <cell r="Q509">
            <v>0</v>
          </cell>
          <cell r="R509">
            <v>1680835</v>
          </cell>
          <cell r="S509">
            <v>0</v>
          </cell>
          <cell r="T509">
            <v>1680835</v>
          </cell>
          <cell r="U509">
            <v>0</v>
          </cell>
          <cell r="V509">
            <v>1680835</v>
          </cell>
          <cell r="W509">
            <v>1680835</v>
          </cell>
          <cell r="X509">
            <v>0</v>
          </cell>
        </row>
        <row r="510">
          <cell r="B510">
            <v>514100783865</v>
          </cell>
          <cell r="C510" t="str">
            <v>PJU JL. SAWAH TOSAREN</v>
          </cell>
          <cell r="D510" t="str">
            <v>SAWAH TOSAREN</v>
          </cell>
          <cell r="E510"/>
          <cell r="F510"/>
          <cell r="G510" t="str">
            <v>P3</v>
          </cell>
          <cell r="H510">
            <v>3500</v>
          </cell>
          <cell r="I510" t="str">
            <v>202505</v>
          </cell>
          <cell r="J510" t="str">
            <v>048349</v>
          </cell>
          <cell r="K510">
            <v>140</v>
          </cell>
          <cell r="L510">
            <v>237934</v>
          </cell>
          <cell r="M510">
            <v>0</v>
          </cell>
          <cell r="N510">
            <v>237934</v>
          </cell>
          <cell r="O510">
            <v>0</v>
          </cell>
          <cell r="P510">
            <v>0</v>
          </cell>
          <cell r="Q510">
            <v>0</v>
          </cell>
          <cell r="R510">
            <v>237934</v>
          </cell>
          <cell r="S510">
            <v>0</v>
          </cell>
          <cell r="T510">
            <v>237934</v>
          </cell>
          <cell r="U510">
            <v>0</v>
          </cell>
          <cell r="V510">
            <v>237934</v>
          </cell>
          <cell r="W510">
            <v>237934</v>
          </cell>
          <cell r="X510">
            <v>0</v>
          </cell>
        </row>
        <row r="511">
          <cell r="B511">
            <v>514100866345</v>
          </cell>
          <cell r="C511" t="str">
            <v>PJU BLABAK</v>
          </cell>
          <cell r="D511" t="str">
            <v>LINGK PAGUT</v>
          </cell>
          <cell r="E511"/>
          <cell r="F511"/>
          <cell r="G511" t="str">
            <v>P3</v>
          </cell>
          <cell r="H511">
            <v>7700</v>
          </cell>
          <cell r="I511" t="str">
            <v>202505</v>
          </cell>
          <cell r="J511" t="str">
            <v>048736</v>
          </cell>
          <cell r="K511">
            <v>1114</v>
          </cell>
          <cell r="L511">
            <v>1893276</v>
          </cell>
          <cell r="M511">
            <v>0</v>
          </cell>
          <cell r="N511">
            <v>1893276</v>
          </cell>
          <cell r="O511">
            <v>0</v>
          </cell>
          <cell r="P511">
            <v>0</v>
          </cell>
          <cell r="Q511">
            <v>0</v>
          </cell>
          <cell r="R511">
            <v>1893276</v>
          </cell>
          <cell r="S511">
            <v>0</v>
          </cell>
          <cell r="T511">
            <v>1893276</v>
          </cell>
          <cell r="U511">
            <v>0</v>
          </cell>
          <cell r="V511">
            <v>1893276</v>
          </cell>
          <cell r="W511">
            <v>1893276</v>
          </cell>
          <cell r="X511">
            <v>0</v>
          </cell>
        </row>
        <row r="512">
          <cell r="B512">
            <v>514100866352</v>
          </cell>
          <cell r="C512" t="str">
            <v>PJU BANARAN</v>
          </cell>
          <cell r="D512" t="str">
            <v>BANARAN</v>
          </cell>
          <cell r="E512"/>
          <cell r="F512"/>
          <cell r="G512" t="str">
            <v>P3</v>
          </cell>
          <cell r="H512">
            <v>7700</v>
          </cell>
          <cell r="I512" t="str">
            <v>202505</v>
          </cell>
          <cell r="J512" t="str">
            <v>048339</v>
          </cell>
          <cell r="K512">
            <v>457</v>
          </cell>
          <cell r="L512">
            <v>776685</v>
          </cell>
          <cell r="M512">
            <v>0</v>
          </cell>
          <cell r="N512">
            <v>776685</v>
          </cell>
          <cell r="O512">
            <v>0</v>
          </cell>
          <cell r="P512">
            <v>0</v>
          </cell>
          <cell r="Q512">
            <v>0</v>
          </cell>
          <cell r="R512">
            <v>776685</v>
          </cell>
          <cell r="S512">
            <v>0</v>
          </cell>
          <cell r="T512">
            <v>776685</v>
          </cell>
          <cell r="U512">
            <v>0</v>
          </cell>
          <cell r="V512">
            <v>776685</v>
          </cell>
          <cell r="W512">
            <v>776685</v>
          </cell>
          <cell r="X512">
            <v>0</v>
          </cell>
        </row>
        <row r="513">
          <cell r="B513">
            <v>514100866360</v>
          </cell>
          <cell r="C513" t="str">
            <v>PJU PAKUNDEN</v>
          </cell>
          <cell r="D513" t="str">
            <v>LINGK BENCE</v>
          </cell>
          <cell r="E513"/>
          <cell r="F513"/>
          <cell r="G513" t="str">
            <v>P3</v>
          </cell>
          <cell r="H513">
            <v>4400</v>
          </cell>
          <cell r="I513" t="str">
            <v>202505</v>
          </cell>
          <cell r="J513" t="str">
            <v>048799</v>
          </cell>
          <cell r="K513">
            <v>835</v>
          </cell>
          <cell r="L513">
            <v>1419108</v>
          </cell>
          <cell r="M513">
            <v>0</v>
          </cell>
          <cell r="N513">
            <v>1419108</v>
          </cell>
          <cell r="O513">
            <v>0</v>
          </cell>
          <cell r="P513">
            <v>0</v>
          </cell>
          <cell r="Q513">
            <v>0</v>
          </cell>
          <cell r="R513">
            <v>1419108</v>
          </cell>
          <cell r="S513">
            <v>0</v>
          </cell>
          <cell r="T513">
            <v>1419108</v>
          </cell>
          <cell r="U513">
            <v>0</v>
          </cell>
          <cell r="V513">
            <v>1419108</v>
          </cell>
          <cell r="W513">
            <v>1419108</v>
          </cell>
          <cell r="X513">
            <v>0</v>
          </cell>
        </row>
        <row r="514">
          <cell r="B514">
            <v>514100866378</v>
          </cell>
          <cell r="C514" t="str">
            <v>PJU REJOMULYO</v>
          </cell>
          <cell r="D514" t="str">
            <v>SUMBER</v>
          </cell>
          <cell r="E514"/>
          <cell r="F514"/>
          <cell r="G514" t="str">
            <v>P3</v>
          </cell>
          <cell r="H514">
            <v>7700</v>
          </cell>
          <cell r="I514" t="str">
            <v>202505</v>
          </cell>
          <cell r="J514" t="str">
            <v>048664</v>
          </cell>
          <cell r="K514">
            <v>718</v>
          </cell>
          <cell r="L514">
            <v>1220263</v>
          </cell>
          <cell r="M514">
            <v>0</v>
          </cell>
          <cell r="N514">
            <v>1220263</v>
          </cell>
          <cell r="O514">
            <v>0</v>
          </cell>
          <cell r="P514">
            <v>0</v>
          </cell>
          <cell r="Q514">
            <v>0</v>
          </cell>
          <cell r="R514">
            <v>1220263</v>
          </cell>
          <cell r="S514">
            <v>0</v>
          </cell>
          <cell r="T514">
            <v>1220263</v>
          </cell>
          <cell r="U514">
            <v>0</v>
          </cell>
          <cell r="V514">
            <v>1220263</v>
          </cell>
          <cell r="W514">
            <v>1220263</v>
          </cell>
          <cell r="X514">
            <v>0</v>
          </cell>
        </row>
        <row r="515">
          <cell r="B515">
            <v>514100866386</v>
          </cell>
          <cell r="C515" t="str">
            <v>PJU REJOMULYO I</v>
          </cell>
          <cell r="D515" t="str">
            <v>NGASINAN</v>
          </cell>
          <cell r="E515"/>
          <cell r="F515"/>
          <cell r="G515" t="str">
            <v>P3</v>
          </cell>
          <cell r="H515">
            <v>7700</v>
          </cell>
          <cell r="I515" t="str">
            <v>202505</v>
          </cell>
          <cell r="J515" t="str">
            <v>048327</v>
          </cell>
          <cell r="K515">
            <v>439</v>
          </cell>
          <cell r="L515">
            <v>746094</v>
          </cell>
          <cell r="M515">
            <v>0</v>
          </cell>
          <cell r="N515">
            <v>746094</v>
          </cell>
          <cell r="O515">
            <v>0</v>
          </cell>
          <cell r="P515">
            <v>0</v>
          </cell>
          <cell r="Q515">
            <v>0</v>
          </cell>
          <cell r="R515">
            <v>746094</v>
          </cell>
          <cell r="S515">
            <v>0</v>
          </cell>
          <cell r="T515">
            <v>746094</v>
          </cell>
          <cell r="U515">
            <v>0</v>
          </cell>
          <cell r="V515">
            <v>746094</v>
          </cell>
          <cell r="W515">
            <v>746094</v>
          </cell>
          <cell r="X515">
            <v>0</v>
          </cell>
        </row>
        <row r="516">
          <cell r="B516">
            <v>514100866394</v>
          </cell>
          <cell r="C516" t="str">
            <v>PJU MANISRENGGO</v>
          </cell>
          <cell r="D516" t="str">
            <v>MANIS RENGGO</v>
          </cell>
          <cell r="E516"/>
          <cell r="F516"/>
          <cell r="G516" t="str">
            <v>P3</v>
          </cell>
          <cell r="H516">
            <v>4400</v>
          </cell>
          <cell r="I516" t="str">
            <v>202505</v>
          </cell>
          <cell r="J516" t="str">
            <v>048387</v>
          </cell>
          <cell r="K516">
            <v>335</v>
          </cell>
          <cell r="L516">
            <v>569343</v>
          </cell>
          <cell r="M516">
            <v>0</v>
          </cell>
          <cell r="N516">
            <v>569343</v>
          </cell>
          <cell r="O516">
            <v>0</v>
          </cell>
          <cell r="P516">
            <v>0</v>
          </cell>
          <cell r="Q516">
            <v>0</v>
          </cell>
          <cell r="R516">
            <v>569343</v>
          </cell>
          <cell r="S516">
            <v>0</v>
          </cell>
          <cell r="T516">
            <v>569343</v>
          </cell>
          <cell r="U516">
            <v>0</v>
          </cell>
          <cell r="V516">
            <v>569343</v>
          </cell>
          <cell r="W516">
            <v>569343</v>
          </cell>
          <cell r="X516">
            <v>0</v>
          </cell>
        </row>
        <row r="517">
          <cell r="B517">
            <v>514100866407</v>
          </cell>
          <cell r="C517" t="str">
            <v>PJU BLABAK I</v>
          </cell>
          <cell r="D517" t="str">
            <v>PINANG</v>
          </cell>
          <cell r="E517"/>
          <cell r="F517"/>
          <cell r="G517" t="str">
            <v>P3</v>
          </cell>
          <cell r="H517">
            <v>7700</v>
          </cell>
          <cell r="I517" t="str">
            <v>202505</v>
          </cell>
          <cell r="J517" t="str">
            <v>048281</v>
          </cell>
          <cell r="K517">
            <v>821</v>
          </cell>
          <cell r="L517">
            <v>1395314</v>
          </cell>
          <cell r="M517">
            <v>0</v>
          </cell>
          <cell r="N517">
            <v>1395314</v>
          </cell>
          <cell r="O517">
            <v>0</v>
          </cell>
          <cell r="P517">
            <v>0</v>
          </cell>
          <cell r="Q517">
            <v>0</v>
          </cell>
          <cell r="R517">
            <v>1395314</v>
          </cell>
          <cell r="S517">
            <v>0</v>
          </cell>
          <cell r="T517">
            <v>1395314</v>
          </cell>
          <cell r="U517">
            <v>0</v>
          </cell>
          <cell r="V517">
            <v>1395314</v>
          </cell>
          <cell r="W517">
            <v>1395314</v>
          </cell>
          <cell r="X517">
            <v>0</v>
          </cell>
        </row>
        <row r="518">
          <cell r="B518">
            <v>514100866431</v>
          </cell>
          <cell r="C518" t="str">
            <v>PJU KALIOMBO</v>
          </cell>
          <cell r="D518" t="str">
            <v>COREKAN RAYA</v>
          </cell>
          <cell r="E518"/>
          <cell r="F518"/>
          <cell r="G518" t="str">
            <v>P3</v>
          </cell>
          <cell r="H518">
            <v>4400</v>
          </cell>
          <cell r="I518" t="str">
            <v>202505</v>
          </cell>
          <cell r="J518" t="str">
            <v>048469</v>
          </cell>
          <cell r="K518">
            <v>413</v>
          </cell>
          <cell r="L518">
            <v>701906</v>
          </cell>
          <cell r="M518">
            <v>0</v>
          </cell>
          <cell r="N518">
            <v>701906</v>
          </cell>
          <cell r="O518">
            <v>0</v>
          </cell>
          <cell r="P518">
            <v>0</v>
          </cell>
          <cell r="Q518">
            <v>0</v>
          </cell>
          <cell r="R518">
            <v>701906</v>
          </cell>
          <cell r="S518">
            <v>0</v>
          </cell>
          <cell r="T518">
            <v>701906</v>
          </cell>
          <cell r="U518">
            <v>0</v>
          </cell>
          <cell r="V518">
            <v>701906</v>
          </cell>
          <cell r="W518">
            <v>701906</v>
          </cell>
          <cell r="X518">
            <v>0</v>
          </cell>
        </row>
        <row r="519">
          <cell r="B519">
            <v>514100866551</v>
          </cell>
          <cell r="C519" t="str">
            <v>PJU BLABAK II</v>
          </cell>
          <cell r="D519" t="str">
            <v>BALEKAMBANG</v>
          </cell>
          <cell r="E519"/>
          <cell r="F519"/>
          <cell r="G519" t="str">
            <v>P3</v>
          </cell>
          <cell r="H519">
            <v>7700</v>
          </cell>
          <cell r="I519" t="str">
            <v>202505</v>
          </cell>
          <cell r="J519" t="str">
            <v>048422</v>
          </cell>
          <cell r="K519">
            <v>733</v>
          </cell>
          <cell r="L519">
            <v>1245755</v>
          </cell>
          <cell r="M519">
            <v>0</v>
          </cell>
          <cell r="N519">
            <v>1245755</v>
          </cell>
          <cell r="O519">
            <v>0</v>
          </cell>
          <cell r="P519">
            <v>0</v>
          </cell>
          <cell r="Q519">
            <v>0</v>
          </cell>
          <cell r="R519">
            <v>1245755</v>
          </cell>
          <cell r="S519">
            <v>0</v>
          </cell>
          <cell r="T519">
            <v>1245755</v>
          </cell>
          <cell r="U519">
            <v>0</v>
          </cell>
          <cell r="V519">
            <v>1245755</v>
          </cell>
          <cell r="W519">
            <v>1245755</v>
          </cell>
          <cell r="X519">
            <v>0</v>
          </cell>
        </row>
        <row r="520">
          <cell r="B520">
            <v>514100939206</v>
          </cell>
          <cell r="C520" t="str">
            <v>PJU PR NGRONGGO</v>
          </cell>
          <cell r="D520" t="str">
            <v>NGRONGGO INDAH</v>
          </cell>
          <cell r="E520"/>
          <cell r="F520"/>
          <cell r="G520" t="str">
            <v>P3</v>
          </cell>
          <cell r="H520">
            <v>2200</v>
          </cell>
          <cell r="I520" t="str">
            <v>202505</v>
          </cell>
          <cell r="J520" t="str">
            <v>048359</v>
          </cell>
          <cell r="K520">
            <v>298</v>
          </cell>
          <cell r="L520">
            <v>506460</v>
          </cell>
          <cell r="M520">
            <v>0</v>
          </cell>
          <cell r="N520">
            <v>506460</v>
          </cell>
          <cell r="O520">
            <v>0</v>
          </cell>
          <cell r="P520">
            <v>0</v>
          </cell>
          <cell r="Q520">
            <v>0</v>
          </cell>
          <cell r="R520">
            <v>506460</v>
          </cell>
          <cell r="S520">
            <v>0</v>
          </cell>
          <cell r="T520">
            <v>506460</v>
          </cell>
          <cell r="U520">
            <v>0</v>
          </cell>
          <cell r="V520">
            <v>506460</v>
          </cell>
          <cell r="W520">
            <v>506460</v>
          </cell>
          <cell r="X520">
            <v>0</v>
          </cell>
        </row>
        <row r="521">
          <cell r="B521">
            <v>514100965429</v>
          </cell>
          <cell r="C521" t="str">
            <v>PJU CENTONG</v>
          </cell>
          <cell r="D521" t="str">
            <v>CENTONG BAWANG</v>
          </cell>
          <cell r="E521"/>
          <cell r="F521"/>
          <cell r="G521" t="str">
            <v>P3</v>
          </cell>
          <cell r="H521">
            <v>3500</v>
          </cell>
          <cell r="I521" t="str">
            <v>202505</v>
          </cell>
          <cell r="J521" t="str">
            <v>048304</v>
          </cell>
          <cell r="K521">
            <v>140</v>
          </cell>
          <cell r="L521">
            <v>237934</v>
          </cell>
          <cell r="M521">
            <v>0</v>
          </cell>
          <cell r="N521">
            <v>237934</v>
          </cell>
          <cell r="O521">
            <v>0</v>
          </cell>
          <cell r="P521">
            <v>0</v>
          </cell>
          <cell r="Q521">
            <v>0</v>
          </cell>
          <cell r="R521">
            <v>237934</v>
          </cell>
          <cell r="S521">
            <v>0</v>
          </cell>
          <cell r="T521">
            <v>237934</v>
          </cell>
          <cell r="U521">
            <v>0</v>
          </cell>
          <cell r="V521">
            <v>237934</v>
          </cell>
          <cell r="W521">
            <v>237934</v>
          </cell>
          <cell r="X521">
            <v>0</v>
          </cell>
        </row>
        <row r="522">
          <cell r="B522">
            <v>514100965801</v>
          </cell>
          <cell r="C522" t="str">
            <v>PJU KRESEK</v>
          </cell>
          <cell r="D522" t="str">
            <v>DURIAN KRESEK</v>
          </cell>
          <cell r="E522"/>
          <cell r="F522"/>
          <cell r="G522" t="str">
            <v>P3</v>
          </cell>
          <cell r="H522">
            <v>13200</v>
          </cell>
          <cell r="I522" t="str">
            <v>202505</v>
          </cell>
          <cell r="J522" t="str">
            <v>069386</v>
          </cell>
          <cell r="K522">
            <v>1634</v>
          </cell>
          <cell r="L522">
            <v>2777032</v>
          </cell>
          <cell r="M522">
            <v>0</v>
          </cell>
          <cell r="N522">
            <v>2777032</v>
          </cell>
          <cell r="O522">
            <v>0</v>
          </cell>
          <cell r="P522">
            <v>0</v>
          </cell>
          <cell r="Q522">
            <v>0</v>
          </cell>
          <cell r="R522">
            <v>2777032</v>
          </cell>
          <cell r="S522">
            <v>0</v>
          </cell>
          <cell r="T522">
            <v>2777032</v>
          </cell>
          <cell r="U522">
            <v>0</v>
          </cell>
          <cell r="V522">
            <v>2777032</v>
          </cell>
          <cell r="W522">
            <v>2777032</v>
          </cell>
          <cell r="X522">
            <v>0</v>
          </cell>
        </row>
        <row r="523">
          <cell r="B523">
            <v>514100989115</v>
          </cell>
          <cell r="C523" t="str">
            <v>PJU BAWANG</v>
          </cell>
          <cell r="D523" t="str">
            <v>GANDE BAWANG</v>
          </cell>
          <cell r="E523"/>
          <cell r="F523"/>
          <cell r="G523" t="str">
            <v>P3</v>
          </cell>
          <cell r="H523">
            <v>5500</v>
          </cell>
          <cell r="I523" t="str">
            <v>202505</v>
          </cell>
          <cell r="J523" t="str">
            <v>048796</v>
          </cell>
          <cell r="K523">
            <v>1352</v>
          </cell>
          <cell r="L523">
            <v>2297765</v>
          </cell>
          <cell r="M523">
            <v>0</v>
          </cell>
          <cell r="N523">
            <v>2297765</v>
          </cell>
          <cell r="O523">
            <v>0</v>
          </cell>
          <cell r="P523">
            <v>0</v>
          </cell>
          <cell r="Q523">
            <v>0</v>
          </cell>
          <cell r="R523">
            <v>2297765</v>
          </cell>
          <cell r="S523">
            <v>0</v>
          </cell>
          <cell r="T523">
            <v>2297765</v>
          </cell>
          <cell r="U523">
            <v>0</v>
          </cell>
          <cell r="V523">
            <v>2297765</v>
          </cell>
          <cell r="W523">
            <v>2297765</v>
          </cell>
          <cell r="X523">
            <v>0</v>
          </cell>
        </row>
        <row r="524">
          <cell r="B524">
            <v>514101002639</v>
          </cell>
          <cell r="C524" t="str">
            <v>PJU BURENGAN 2</v>
          </cell>
          <cell r="D524" t="str">
            <v>BURENGAN</v>
          </cell>
          <cell r="E524"/>
          <cell r="F524"/>
          <cell r="G524" t="str">
            <v>P3</v>
          </cell>
          <cell r="H524">
            <v>4400</v>
          </cell>
          <cell r="I524" t="str">
            <v>202505</v>
          </cell>
          <cell r="J524" t="str">
            <v>048374</v>
          </cell>
          <cell r="K524">
            <v>563</v>
          </cell>
          <cell r="L524">
            <v>956835</v>
          </cell>
          <cell r="M524">
            <v>0</v>
          </cell>
          <cell r="N524">
            <v>956835</v>
          </cell>
          <cell r="O524">
            <v>0</v>
          </cell>
          <cell r="P524">
            <v>0</v>
          </cell>
          <cell r="Q524">
            <v>0</v>
          </cell>
          <cell r="R524">
            <v>956835</v>
          </cell>
          <cell r="S524">
            <v>0</v>
          </cell>
          <cell r="T524">
            <v>956835</v>
          </cell>
          <cell r="U524">
            <v>0</v>
          </cell>
          <cell r="V524">
            <v>956835</v>
          </cell>
          <cell r="W524">
            <v>956835</v>
          </cell>
          <cell r="X524">
            <v>0</v>
          </cell>
        </row>
        <row r="525">
          <cell r="B525">
            <v>514101002647</v>
          </cell>
          <cell r="C525" t="str">
            <v>PJU KAMPUNGBARU BANGSAL</v>
          </cell>
          <cell r="D525" t="str">
            <v>KAMPUNGBARU</v>
          </cell>
          <cell r="E525"/>
          <cell r="F525"/>
          <cell r="G525" t="str">
            <v>P3</v>
          </cell>
          <cell r="H525">
            <v>4400</v>
          </cell>
          <cell r="I525" t="str">
            <v>202505</v>
          </cell>
          <cell r="J525" t="str">
            <v>048260</v>
          </cell>
          <cell r="K525">
            <v>693</v>
          </cell>
          <cell r="L525">
            <v>1177774</v>
          </cell>
          <cell r="M525">
            <v>0</v>
          </cell>
          <cell r="N525">
            <v>1177774</v>
          </cell>
          <cell r="O525">
            <v>0</v>
          </cell>
          <cell r="P525">
            <v>0</v>
          </cell>
          <cell r="Q525">
            <v>0</v>
          </cell>
          <cell r="R525">
            <v>1177774</v>
          </cell>
          <cell r="S525">
            <v>0</v>
          </cell>
          <cell r="T525">
            <v>1177774</v>
          </cell>
          <cell r="U525">
            <v>0</v>
          </cell>
          <cell r="V525">
            <v>1177774</v>
          </cell>
          <cell r="W525">
            <v>1177774</v>
          </cell>
          <cell r="X525">
            <v>0</v>
          </cell>
        </row>
        <row r="526">
          <cell r="B526">
            <v>514101002654</v>
          </cell>
          <cell r="C526" t="str">
            <v>PJU LINGK BANGSAL</v>
          </cell>
          <cell r="D526" t="str">
            <v>BANGSAL</v>
          </cell>
          <cell r="E526"/>
          <cell r="F526"/>
          <cell r="G526" t="str">
            <v>P3</v>
          </cell>
          <cell r="H526">
            <v>7700</v>
          </cell>
          <cell r="I526" t="str">
            <v>202505</v>
          </cell>
          <cell r="J526" t="str">
            <v>048278</v>
          </cell>
          <cell r="K526">
            <v>1192</v>
          </cell>
          <cell r="L526">
            <v>2025840</v>
          </cell>
          <cell r="M526">
            <v>0</v>
          </cell>
          <cell r="N526">
            <v>2025840</v>
          </cell>
          <cell r="O526">
            <v>0</v>
          </cell>
          <cell r="P526">
            <v>0</v>
          </cell>
          <cell r="Q526">
            <v>0</v>
          </cell>
          <cell r="R526">
            <v>2025840</v>
          </cell>
          <cell r="S526">
            <v>0</v>
          </cell>
          <cell r="T526">
            <v>2025840</v>
          </cell>
          <cell r="U526">
            <v>0</v>
          </cell>
          <cell r="V526">
            <v>2025840</v>
          </cell>
          <cell r="W526">
            <v>2025840</v>
          </cell>
          <cell r="X526">
            <v>0</v>
          </cell>
        </row>
        <row r="527">
          <cell r="B527">
            <v>514101002662</v>
          </cell>
          <cell r="C527" t="str">
            <v>PJU KARANGANYAR</v>
          </cell>
          <cell r="D527" t="str">
            <v>KARANGANYAR</v>
          </cell>
          <cell r="E527"/>
          <cell r="F527"/>
          <cell r="G527" t="str">
            <v>P3</v>
          </cell>
          <cell r="H527">
            <v>4400</v>
          </cell>
          <cell r="I527" t="str">
            <v>202505</v>
          </cell>
          <cell r="J527" t="str">
            <v>048368</v>
          </cell>
          <cell r="K527">
            <v>353</v>
          </cell>
          <cell r="L527">
            <v>599934</v>
          </cell>
          <cell r="M527">
            <v>0</v>
          </cell>
          <cell r="N527">
            <v>599934</v>
          </cell>
          <cell r="O527">
            <v>0</v>
          </cell>
          <cell r="P527">
            <v>0</v>
          </cell>
          <cell r="Q527">
            <v>0</v>
          </cell>
          <cell r="R527">
            <v>599934</v>
          </cell>
          <cell r="S527">
            <v>0</v>
          </cell>
          <cell r="T527">
            <v>599934</v>
          </cell>
          <cell r="U527">
            <v>0</v>
          </cell>
          <cell r="V527">
            <v>599934</v>
          </cell>
          <cell r="W527">
            <v>599934</v>
          </cell>
          <cell r="X527">
            <v>0</v>
          </cell>
        </row>
        <row r="528">
          <cell r="B528">
            <v>514101002670</v>
          </cell>
          <cell r="C528" t="str">
            <v>PJU CENTONG 2</v>
          </cell>
          <cell r="D528" t="str">
            <v>LINGKUNGAN CENTONG</v>
          </cell>
          <cell r="E528"/>
          <cell r="F528"/>
          <cell r="G528" t="str">
            <v>P3</v>
          </cell>
          <cell r="H528">
            <v>4400</v>
          </cell>
          <cell r="I528" t="str">
            <v>202505</v>
          </cell>
          <cell r="J528" t="str">
            <v>048398</v>
          </cell>
          <cell r="K528">
            <v>551</v>
          </cell>
          <cell r="L528">
            <v>936441</v>
          </cell>
          <cell r="M528">
            <v>0</v>
          </cell>
          <cell r="N528">
            <v>936441</v>
          </cell>
          <cell r="O528">
            <v>0</v>
          </cell>
          <cell r="P528">
            <v>0</v>
          </cell>
          <cell r="Q528">
            <v>0</v>
          </cell>
          <cell r="R528">
            <v>936441</v>
          </cell>
          <cell r="S528">
            <v>0</v>
          </cell>
          <cell r="T528">
            <v>936441</v>
          </cell>
          <cell r="U528">
            <v>0</v>
          </cell>
          <cell r="V528">
            <v>936441</v>
          </cell>
          <cell r="W528">
            <v>936441</v>
          </cell>
          <cell r="X528">
            <v>0</v>
          </cell>
        </row>
        <row r="529">
          <cell r="B529">
            <v>514101016637</v>
          </cell>
          <cell r="C529" t="str">
            <v>PJU KETAMI 2</v>
          </cell>
          <cell r="D529" t="str">
            <v>KETAMI</v>
          </cell>
          <cell r="E529"/>
          <cell r="F529"/>
          <cell r="G529" t="str">
            <v>P3</v>
          </cell>
          <cell r="H529">
            <v>5500</v>
          </cell>
          <cell r="I529" t="str">
            <v>202505</v>
          </cell>
          <cell r="J529" t="str">
            <v>048410</v>
          </cell>
          <cell r="K529">
            <v>220</v>
          </cell>
          <cell r="L529">
            <v>373897</v>
          </cell>
          <cell r="M529">
            <v>0</v>
          </cell>
          <cell r="N529">
            <v>373897</v>
          </cell>
          <cell r="O529">
            <v>0</v>
          </cell>
          <cell r="P529">
            <v>0</v>
          </cell>
          <cell r="Q529">
            <v>0</v>
          </cell>
          <cell r="R529">
            <v>373897</v>
          </cell>
          <cell r="S529">
            <v>0</v>
          </cell>
          <cell r="T529">
            <v>373897</v>
          </cell>
          <cell r="U529">
            <v>0</v>
          </cell>
          <cell r="V529">
            <v>373897</v>
          </cell>
          <cell r="W529">
            <v>373897</v>
          </cell>
          <cell r="X529">
            <v>0</v>
          </cell>
        </row>
        <row r="530">
          <cell r="B530">
            <v>514101016652</v>
          </cell>
          <cell r="C530" t="str">
            <v>PJU AKASIA PESANTREN</v>
          </cell>
          <cell r="D530" t="str">
            <v>AKASIA PESANTREN</v>
          </cell>
          <cell r="E530"/>
          <cell r="F530"/>
          <cell r="G530" t="str">
            <v>P3</v>
          </cell>
          <cell r="H530">
            <v>5500</v>
          </cell>
          <cell r="I530" t="str">
            <v>202505</v>
          </cell>
          <cell r="J530" t="str">
            <v>048438</v>
          </cell>
          <cell r="K530">
            <v>356</v>
          </cell>
          <cell r="L530">
            <v>605033</v>
          </cell>
          <cell r="M530">
            <v>0</v>
          </cell>
          <cell r="N530">
            <v>605033</v>
          </cell>
          <cell r="O530">
            <v>0</v>
          </cell>
          <cell r="P530">
            <v>0</v>
          </cell>
          <cell r="Q530">
            <v>0</v>
          </cell>
          <cell r="R530">
            <v>605033</v>
          </cell>
          <cell r="S530">
            <v>0</v>
          </cell>
          <cell r="T530">
            <v>605033</v>
          </cell>
          <cell r="U530">
            <v>0</v>
          </cell>
          <cell r="V530">
            <v>605033</v>
          </cell>
          <cell r="W530">
            <v>605033</v>
          </cell>
          <cell r="X530">
            <v>0</v>
          </cell>
        </row>
        <row r="531">
          <cell r="B531">
            <v>514101016660</v>
          </cell>
          <cell r="C531" t="str">
            <v>PJU BRIGJEN KATAMSO 2</v>
          </cell>
          <cell r="D531" t="str">
            <v>BRIGJEN KATAMSO</v>
          </cell>
          <cell r="E531"/>
          <cell r="F531"/>
          <cell r="G531" t="str">
            <v>P3</v>
          </cell>
          <cell r="H531">
            <v>5500</v>
          </cell>
          <cell r="I531" t="str">
            <v>202505</v>
          </cell>
          <cell r="J531" t="str">
            <v>048371</v>
          </cell>
          <cell r="K531">
            <v>484</v>
          </cell>
          <cell r="L531">
            <v>822573</v>
          </cell>
          <cell r="M531">
            <v>0</v>
          </cell>
          <cell r="N531">
            <v>822573</v>
          </cell>
          <cell r="O531">
            <v>0</v>
          </cell>
          <cell r="P531">
            <v>0</v>
          </cell>
          <cell r="Q531">
            <v>0</v>
          </cell>
          <cell r="R531">
            <v>822573</v>
          </cell>
          <cell r="S531">
            <v>0</v>
          </cell>
          <cell r="T531">
            <v>822573</v>
          </cell>
          <cell r="U531">
            <v>0</v>
          </cell>
          <cell r="V531">
            <v>822573</v>
          </cell>
          <cell r="W531">
            <v>822573</v>
          </cell>
          <cell r="X531">
            <v>0</v>
          </cell>
        </row>
        <row r="532">
          <cell r="B532">
            <v>514101016708</v>
          </cell>
          <cell r="C532" t="str">
            <v>PJU TINALAN</v>
          </cell>
          <cell r="D532" t="str">
            <v>TINALAN</v>
          </cell>
          <cell r="E532"/>
          <cell r="F532"/>
          <cell r="G532" t="str">
            <v>P3</v>
          </cell>
          <cell r="H532">
            <v>5500</v>
          </cell>
          <cell r="I532" t="str">
            <v>202505</v>
          </cell>
          <cell r="J532" t="str">
            <v>048513</v>
          </cell>
          <cell r="K532">
            <v>523</v>
          </cell>
          <cell r="L532">
            <v>888854</v>
          </cell>
          <cell r="M532">
            <v>0</v>
          </cell>
          <cell r="N532">
            <v>888854</v>
          </cell>
          <cell r="O532">
            <v>0</v>
          </cell>
          <cell r="P532">
            <v>0</v>
          </cell>
          <cell r="Q532">
            <v>0</v>
          </cell>
          <cell r="R532">
            <v>888854</v>
          </cell>
          <cell r="S532">
            <v>0</v>
          </cell>
          <cell r="T532">
            <v>888854</v>
          </cell>
          <cell r="U532">
            <v>0</v>
          </cell>
          <cell r="V532">
            <v>888854</v>
          </cell>
          <cell r="W532">
            <v>888854</v>
          </cell>
          <cell r="X532">
            <v>0</v>
          </cell>
        </row>
        <row r="533">
          <cell r="B533">
            <v>514101016716</v>
          </cell>
          <cell r="C533" t="str">
            <v>PJU SINGONEGARAN</v>
          </cell>
          <cell r="D533" t="str">
            <v>SINGONEGARAN</v>
          </cell>
          <cell r="E533"/>
          <cell r="F533"/>
          <cell r="G533" t="str">
            <v>P3</v>
          </cell>
          <cell r="H533">
            <v>5500</v>
          </cell>
          <cell r="I533" t="str">
            <v>202505</v>
          </cell>
          <cell r="J533" t="str">
            <v>048530</v>
          </cell>
          <cell r="K533">
            <v>220</v>
          </cell>
          <cell r="L533">
            <v>373897</v>
          </cell>
          <cell r="M533">
            <v>0</v>
          </cell>
          <cell r="N533">
            <v>373897</v>
          </cell>
          <cell r="O533">
            <v>0</v>
          </cell>
          <cell r="P533">
            <v>0</v>
          </cell>
          <cell r="Q533">
            <v>0</v>
          </cell>
          <cell r="R533">
            <v>373897</v>
          </cell>
          <cell r="S533">
            <v>0</v>
          </cell>
          <cell r="T533">
            <v>373897</v>
          </cell>
          <cell r="U533">
            <v>0</v>
          </cell>
          <cell r="V533">
            <v>373897</v>
          </cell>
          <cell r="W533">
            <v>373897</v>
          </cell>
          <cell r="X533">
            <v>0</v>
          </cell>
        </row>
        <row r="534">
          <cell r="B534">
            <v>514101016724</v>
          </cell>
          <cell r="C534" t="str">
            <v>PJU TENDEAN GROSIR</v>
          </cell>
          <cell r="D534" t="str">
            <v>KAPTEN TENDEAN</v>
          </cell>
          <cell r="E534"/>
          <cell r="F534"/>
          <cell r="G534" t="str">
            <v>P3</v>
          </cell>
          <cell r="H534">
            <v>7700</v>
          </cell>
          <cell r="I534" t="str">
            <v>202505</v>
          </cell>
          <cell r="J534" t="str">
            <v>048632</v>
          </cell>
          <cell r="K534">
            <v>1137</v>
          </cell>
          <cell r="L534">
            <v>1932366</v>
          </cell>
          <cell r="M534">
            <v>0</v>
          </cell>
          <cell r="N534">
            <v>1932366</v>
          </cell>
          <cell r="O534">
            <v>0</v>
          </cell>
          <cell r="P534">
            <v>0</v>
          </cell>
          <cell r="Q534">
            <v>0</v>
          </cell>
          <cell r="R534">
            <v>1932366</v>
          </cell>
          <cell r="S534">
            <v>0</v>
          </cell>
          <cell r="T534">
            <v>1932366</v>
          </cell>
          <cell r="U534">
            <v>0</v>
          </cell>
          <cell r="V534">
            <v>1932366</v>
          </cell>
          <cell r="W534">
            <v>1932366</v>
          </cell>
          <cell r="X534">
            <v>0</v>
          </cell>
        </row>
        <row r="535">
          <cell r="B535">
            <v>514101016740</v>
          </cell>
          <cell r="C535" t="str">
            <v>PJU TIRTO UDAN</v>
          </cell>
          <cell r="D535" t="str">
            <v>TIRTO UDAN</v>
          </cell>
          <cell r="E535"/>
          <cell r="F535"/>
          <cell r="G535" t="str">
            <v>P3</v>
          </cell>
          <cell r="H535">
            <v>7700</v>
          </cell>
          <cell r="I535" t="str">
            <v>202505</v>
          </cell>
          <cell r="J535" t="str">
            <v>048693</v>
          </cell>
          <cell r="K535">
            <v>2124</v>
          </cell>
          <cell r="L535">
            <v>3609802</v>
          </cell>
          <cell r="M535">
            <v>0</v>
          </cell>
          <cell r="N535">
            <v>3609802</v>
          </cell>
          <cell r="O535">
            <v>0</v>
          </cell>
          <cell r="P535">
            <v>0</v>
          </cell>
          <cell r="Q535">
            <v>0</v>
          </cell>
          <cell r="R535">
            <v>3609802</v>
          </cell>
          <cell r="S535">
            <v>0</v>
          </cell>
          <cell r="T535">
            <v>3609802</v>
          </cell>
          <cell r="U535">
            <v>0</v>
          </cell>
          <cell r="V535">
            <v>3609802</v>
          </cell>
          <cell r="W535">
            <v>3609802</v>
          </cell>
          <cell r="X535">
            <v>0</v>
          </cell>
        </row>
        <row r="536">
          <cell r="B536">
            <v>514101016757</v>
          </cell>
          <cell r="C536" t="str">
            <v>PJU BAWANG</v>
          </cell>
          <cell r="D536" t="str">
            <v>NGELETIH - BAWANG</v>
          </cell>
          <cell r="E536"/>
          <cell r="F536"/>
          <cell r="G536" t="str">
            <v>P3</v>
          </cell>
          <cell r="H536">
            <v>5500</v>
          </cell>
          <cell r="I536" t="str">
            <v>202505</v>
          </cell>
          <cell r="J536" t="str">
            <v>048518</v>
          </cell>
          <cell r="K536">
            <v>928</v>
          </cell>
          <cell r="L536">
            <v>1577164</v>
          </cell>
          <cell r="M536">
            <v>0</v>
          </cell>
          <cell r="N536">
            <v>1577164</v>
          </cell>
          <cell r="O536">
            <v>0</v>
          </cell>
          <cell r="P536">
            <v>0</v>
          </cell>
          <cell r="Q536">
            <v>0</v>
          </cell>
          <cell r="R536">
            <v>1577164</v>
          </cell>
          <cell r="S536">
            <v>0</v>
          </cell>
          <cell r="T536">
            <v>1577164</v>
          </cell>
          <cell r="U536">
            <v>0</v>
          </cell>
          <cell r="V536">
            <v>1577164</v>
          </cell>
          <cell r="W536">
            <v>1577164</v>
          </cell>
          <cell r="X536">
            <v>0</v>
          </cell>
        </row>
        <row r="537">
          <cell r="B537">
            <v>514101016765</v>
          </cell>
          <cell r="C537" t="str">
            <v>PJU PESANTREN BALONG</v>
          </cell>
          <cell r="D537" t="str">
            <v>PESANTREN BALONG</v>
          </cell>
          <cell r="E537"/>
          <cell r="F537"/>
          <cell r="G537" t="str">
            <v>P3</v>
          </cell>
          <cell r="H537">
            <v>5500</v>
          </cell>
          <cell r="I537" t="str">
            <v>202505</v>
          </cell>
          <cell r="J537" t="str">
            <v>048659</v>
          </cell>
          <cell r="K537">
            <v>220</v>
          </cell>
          <cell r="L537">
            <v>373897</v>
          </cell>
          <cell r="M537">
            <v>0</v>
          </cell>
          <cell r="N537">
            <v>373897</v>
          </cell>
          <cell r="O537">
            <v>0</v>
          </cell>
          <cell r="P537">
            <v>0</v>
          </cell>
          <cell r="Q537">
            <v>0</v>
          </cell>
          <cell r="R537">
            <v>373897</v>
          </cell>
          <cell r="S537">
            <v>0</v>
          </cell>
          <cell r="T537">
            <v>373897</v>
          </cell>
          <cell r="U537">
            <v>0</v>
          </cell>
          <cell r="V537">
            <v>373897</v>
          </cell>
          <cell r="W537">
            <v>373897</v>
          </cell>
          <cell r="X537">
            <v>0</v>
          </cell>
        </row>
        <row r="538">
          <cell r="B538">
            <v>514101053175</v>
          </cell>
          <cell r="C538" t="str">
            <v>PJU JL.SUNAN AMPEL GG.3</v>
          </cell>
          <cell r="D538" t="str">
            <v>SUNAN AMPEL</v>
          </cell>
          <cell r="E538"/>
          <cell r="F538"/>
          <cell r="G538" t="str">
            <v>P3</v>
          </cell>
          <cell r="H538">
            <v>2200</v>
          </cell>
          <cell r="I538" t="str">
            <v>202505</v>
          </cell>
          <cell r="J538" t="str">
            <v>048441</v>
          </cell>
          <cell r="K538">
            <v>1125</v>
          </cell>
          <cell r="L538">
            <v>1911971</v>
          </cell>
          <cell r="M538">
            <v>0</v>
          </cell>
          <cell r="N538">
            <v>1911971</v>
          </cell>
          <cell r="O538">
            <v>0</v>
          </cell>
          <cell r="P538">
            <v>0</v>
          </cell>
          <cell r="Q538">
            <v>0</v>
          </cell>
          <cell r="R538">
            <v>1911971</v>
          </cell>
          <cell r="S538">
            <v>0</v>
          </cell>
          <cell r="T538">
            <v>1911971</v>
          </cell>
          <cell r="U538">
            <v>0</v>
          </cell>
          <cell r="V538">
            <v>1911971</v>
          </cell>
          <cell r="W538">
            <v>1911971</v>
          </cell>
          <cell r="X538">
            <v>0</v>
          </cell>
        </row>
        <row r="539">
          <cell r="B539">
            <v>514101053183</v>
          </cell>
          <cell r="C539" t="str">
            <v>PJU WARINGIN 3</v>
          </cell>
          <cell r="D539" t="str">
            <v>WARINGIN</v>
          </cell>
          <cell r="E539"/>
          <cell r="F539"/>
          <cell r="G539" t="str">
            <v>P3</v>
          </cell>
          <cell r="H539">
            <v>2200</v>
          </cell>
          <cell r="I539" t="str">
            <v>202505</v>
          </cell>
          <cell r="J539" t="str">
            <v>048738</v>
          </cell>
          <cell r="K539">
            <v>525</v>
          </cell>
          <cell r="L539">
            <v>892253</v>
          </cell>
          <cell r="M539">
            <v>0</v>
          </cell>
          <cell r="N539">
            <v>892253</v>
          </cell>
          <cell r="O539">
            <v>0</v>
          </cell>
          <cell r="P539">
            <v>0</v>
          </cell>
          <cell r="Q539">
            <v>0</v>
          </cell>
          <cell r="R539">
            <v>892253</v>
          </cell>
          <cell r="S539">
            <v>0</v>
          </cell>
          <cell r="T539">
            <v>892253</v>
          </cell>
          <cell r="U539">
            <v>0</v>
          </cell>
          <cell r="V539">
            <v>892253</v>
          </cell>
          <cell r="W539">
            <v>892253</v>
          </cell>
          <cell r="X539">
            <v>0</v>
          </cell>
        </row>
        <row r="540">
          <cell r="B540">
            <v>514101053191</v>
          </cell>
          <cell r="C540" t="str">
            <v>PJU MANISRENGGO 3</v>
          </cell>
          <cell r="D540" t="str">
            <v>MANISRENGGO</v>
          </cell>
          <cell r="E540"/>
          <cell r="F540"/>
          <cell r="G540" t="str">
            <v>P3</v>
          </cell>
          <cell r="H540">
            <v>2200</v>
          </cell>
          <cell r="I540" t="str">
            <v>202505</v>
          </cell>
          <cell r="J540" t="str">
            <v>048445</v>
          </cell>
          <cell r="K540">
            <v>175</v>
          </cell>
          <cell r="L540">
            <v>297418</v>
          </cell>
          <cell r="M540">
            <v>0</v>
          </cell>
          <cell r="N540">
            <v>297418</v>
          </cell>
          <cell r="O540">
            <v>0</v>
          </cell>
          <cell r="P540">
            <v>0</v>
          </cell>
          <cell r="Q540">
            <v>0</v>
          </cell>
          <cell r="R540">
            <v>297418</v>
          </cell>
          <cell r="S540">
            <v>0</v>
          </cell>
          <cell r="T540">
            <v>297418</v>
          </cell>
          <cell r="U540">
            <v>0</v>
          </cell>
          <cell r="V540">
            <v>297418</v>
          </cell>
          <cell r="W540">
            <v>297418</v>
          </cell>
          <cell r="X540">
            <v>0</v>
          </cell>
        </row>
        <row r="541">
          <cell r="B541">
            <v>514101053220</v>
          </cell>
          <cell r="C541" t="str">
            <v>PJU JL. SUTAN AJI</v>
          </cell>
          <cell r="D541" t="str">
            <v>SUTAN AJI</v>
          </cell>
          <cell r="E541"/>
          <cell r="F541"/>
          <cell r="G541" t="str">
            <v>P3</v>
          </cell>
          <cell r="H541">
            <v>2200</v>
          </cell>
          <cell r="I541" t="str">
            <v>202505</v>
          </cell>
          <cell r="J541" t="str">
            <v>048425</v>
          </cell>
          <cell r="K541">
            <v>88</v>
          </cell>
          <cell r="L541">
            <v>149559</v>
          </cell>
          <cell r="M541">
            <v>0</v>
          </cell>
          <cell r="N541">
            <v>149559</v>
          </cell>
          <cell r="O541">
            <v>0</v>
          </cell>
          <cell r="P541">
            <v>0</v>
          </cell>
          <cell r="Q541">
            <v>0</v>
          </cell>
          <cell r="R541">
            <v>149559</v>
          </cell>
          <cell r="S541">
            <v>0</v>
          </cell>
          <cell r="T541">
            <v>149559</v>
          </cell>
          <cell r="U541">
            <v>0</v>
          </cell>
          <cell r="V541">
            <v>149559</v>
          </cell>
          <cell r="W541">
            <v>149559</v>
          </cell>
          <cell r="X541">
            <v>0</v>
          </cell>
        </row>
        <row r="542">
          <cell r="B542">
            <v>514101053238</v>
          </cell>
          <cell r="C542" t="str">
            <v>MANISRENGGO 5</v>
          </cell>
          <cell r="D542" t="str">
            <v>MANISRENGGO</v>
          </cell>
          <cell r="E542"/>
          <cell r="F542"/>
          <cell r="G542" t="str">
            <v>P3</v>
          </cell>
          <cell r="H542">
            <v>900</v>
          </cell>
          <cell r="I542" t="str">
            <v>202505</v>
          </cell>
          <cell r="J542" t="str">
            <v>048521</v>
          </cell>
          <cell r="K542">
            <v>473</v>
          </cell>
          <cell r="L542">
            <v>803878</v>
          </cell>
          <cell r="M542">
            <v>0</v>
          </cell>
          <cell r="N542">
            <v>803878</v>
          </cell>
          <cell r="O542">
            <v>0</v>
          </cell>
          <cell r="P542">
            <v>0</v>
          </cell>
          <cell r="Q542">
            <v>0</v>
          </cell>
          <cell r="R542">
            <v>803878</v>
          </cell>
          <cell r="S542">
            <v>0</v>
          </cell>
          <cell r="T542">
            <v>803878</v>
          </cell>
          <cell r="U542">
            <v>0</v>
          </cell>
          <cell r="V542">
            <v>803878</v>
          </cell>
          <cell r="W542">
            <v>803878</v>
          </cell>
          <cell r="X542">
            <v>0</v>
          </cell>
        </row>
        <row r="543">
          <cell r="B543">
            <v>514101053246</v>
          </cell>
          <cell r="C543" t="str">
            <v>PJU JL. KAPTEN TENDEAN</v>
          </cell>
          <cell r="D543" t="str">
            <v>SUMUR BOR</v>
          </cell>
          <cell r="E543"/>
          <cell r="F543"/>
          <cell r="G543" t="str">
            <v>P3</v>
          </cell>
          <cell r="H543">
            <v>900</v>
          </cell>
          <cell r="I543" t="str">
            <v>202505</v>
          </cell>
          <cell r="J543" t="str">
            <v>048742</v>
          </cell>
          <cell r="K543">
            <v>265</v>
          </cell>
          <cell r="L543">
            <v>450375</v>
          </cell>
          <cell r="M543">
            <v>0</v>
          </cell>
          <cell r="N543">
            <v>450375</v>
          </cell>
          <cell r="O543">
            <v>0</v>
          </cell>
          <cell r="P543">
            <v>0</v>
          </cell>
          <cell r="Q543">
            <v>0</v>
          </cell>
          <cell r="R543">
            <v>450375</v>
          </cell>
          <cell r="S543">
            <v>0</v>
          </cell>
          <cell r="T543">
            <v>450375</v>
          </cell>
          <cell r="U543">
            <v>0</v>
          </cell>
          <cell r="V543">
            <v>450375</v>
          </cell>
          <cell r="W543">
            <v>450375</v>
          </cell>
          <cell r="X543">
            <v>0</v>
          </cell>
        </row>
        <row r="544">
          <cell r="B544">
            <v>514101053253</v>
          </cell>
          <cell r="C544" t="str">
            <v>PJU JL. REJOMULYO</v>
          </cell>
          <cell r="D544" t="str">
            <v>REJOMULYO</v>
          </cell>
          <cell r="E544"/>
          <cell r="F544"/>
          <cell r="G544" t="str">
            <v>P3</v>
          </cell>
          <cell r="H544">
            <v>4400</v>
          </cell>
          <cell r="I544" t="str">
            <v>202505</v>
          </cell>
          <cell r="J544" t="str">
            <v>048631</v>
          </cell>
          <cell r="K544">
            <v>490</v>
          </cell>
          <cell r="L544">
            <v>832770</v>
          </cell>
          <cell r="M544">
            <v>0</v>
          </cell>
          <cell r="N544">
            <v>832770</v>
          </cell>
          <cell r="O544">
            <v>0</v>
          </cell>
          <cell r="P544">
            <v>0</v>
          </cell>
          <cell r="Q544">
            <v>0</v>
          </cell>
          <cell r="R544">
            <v>832770</v>
          </cell>
          <cell r="S544">
            <v>0</v>
          </cell>
          <cell r="T544">
            <v>832770</v>
          </cell>
          <cell r="U544">
            <v>0</v>
          </cell>
          <cell r="V544">
            <v>832770</v>
          </cell>
          <cell r="W544">
            <v>832770</v>
          </cell>
          <cell r="X544">
            <v>0</v>
          </cell>
        </row>
        <row r="545">
          <cell r="B545">
            <v>514101053261</v>
          </cell>
          <cell r="C545" t="str">
            <v>PJU JL. RAYA JEGLES</v>
          </cell>
          <cell r="D545" t="str">
            <v>RAYA JELGLES GG.II</v>
          </cell>
          <cell r="E545"/>
          <cell r="F545"/>
          <cell r="G545" t="str">
            <v>P3</v>
          </cell>
          <cell r="H545">
            <v>3500</v>
          </cell>
          <cell r="I545" t="str">
            <v>202505</v>
          </cell>
          <cell r="J545" t="str">
            <v>048485</v>
          </cell>
          <cell r="K545">
            <v>199</v>
          </cell>
          <cell r="L545">
            <v>338206</v>
          </cell>
          <cell r="M545">
            <v>0</v>
          </cell>
          <cell r="N545">
            <v>338206</v>
          </cell>
          <cell r="O545">
            <v>0</v>
          </cell>
          <cell r="P545">
            <v>0</v>
          </cell>
          <cell r="Q545">
            <v>0</v>
          </cell>
          <cell r="R545">
            <v>338206</v>
          </cell>
          <cell r="S545">
            <v>0</v>
          </cell>
          <cell r="T545">
            <v>338206</v>
          </cell>
          <cell r="U545">
            <v>0</v>
          </cell>
          <cell r="V545">
            <v>338206</v>
          </cell>
          <cell r="W545">
            <v>338206</v>
          </cell>
          <cell r="X545">
            <v>0</v>
          </cell>
        </row>
        <row r="546">
          <cell r="B546">
            <v>514101053279</v>
          </cell>
          <cell r="C546" t="str">
            <v>PJU JL. PALANG MERAH</v>
          </cell>
          <cell r="D546" t="str">
            <v>PALANG MERAH</v>
          </cell>
          <cell r="E546"/>
          <cell r="F546"/>
          <cell r="G546" t="str">
            <v>P3</v>
          </cell>
          <cell r="H546">
            <v>900</v>
          </cell>
          <cell r="I546" t="str">
            <v>202505</v>
          </cell>
          <cell r="J546" t="str">
            <v>048577</v>
          </cell>
          <cell r="K546">
            <v>36</v>
          </cell>
          <cell r="L546">
            <v>61183</v>
          </cell>
          <cell r="M546">
            <v>0</v>
          </cell>
          <cell r="N546">
            <v>61183</v>
          </cell>
          <cell r="O546">
            <v>0</v>
          </cell>
          <cell r="P546">
            <v>0</v>
          </cell>
          <cell r="Q546">
            <v>0</v>
          </cell>
          <cell r="R546">
            <v>61183</v>
          </cell>
          <cell r="S546">
            <v>0</v>
          </cell>
          <cell r="T546">
            <v>61183</v>
          </cell>
          <cell r="U546">
            <v>0</v>
          </cell>
          <cell r="V546">
            <v>61183</v>
          </cell>
          <cell r="W546">
            <v>61183</v>
          </cell>
          <cell r="X546">
            <v>0</v>
          </cell>
        </row>
        <row r="547">
          <cell r="B547">
            <v>514101053287</v>
          </cell>
          <cell r="C547" t="str">
            <v>PJU JL. SUNAN AMPEL GG.1</v>
          </cell>
          <cell r="D547" t="str">
            <v>SUNAN AMPEL</v>
          </cell>
          <cell r="E547"/>
          <cell r="F547"/>
          <cell r="G547" t="str">
            <v>P3</v>
          </cell>
          <cell r="H547">
            <v>2200</v>
          </cell>
          <cell r="I547" t="str">
            <v>202505</v>
          </cell>
          <cell r="J547" t="str">
            <v>048812</v>
          </cell>
          <cell r="K547">
            <v>247</v>
          </cell>
          <cell r="L547">
            <v>419784</v>
          </cell>
          <cell r="M547">
            <v>0</v>
          </cell>
          <cell r="N547">
            <v>419784</v>
          </cell>
          <cell r="O547">
            <v>0</v>
          </cell>
          <cell r="P547">
            <v>0</v>
          </cell>
          <cell r="Q547">
            <v>0</v>
          </cell>
          <cell r="R547">
            <v>419784</v>
          </cell>
          <cell r="S547">
            <v>0</v>
          </cell>
          <cell r="T547">
            <v>419784</v>
          </cell>
          <cell r="U547">
            <v>0</v>
          </cell>
          <cell r="V547">
            <v>419784</v>
          </cell>
          <cell r="W547">
            <v>419784</v>
          </cell>
          <cell r="X547">
            <v>0</v>
          </cell>
        </row>
        <row r="548">
          <cell r="B548">
            <v>514101053295</v>
          </cell>
          <cell r="C548" t="str">
            <v>PJU TEMPUREJO 2</v>
          </cell>
          <cell r="D548" t="str">
            <v>TEMPUREJO</v>
          </cell>
          <cell r="E548"/>
          <cell r="F548"/>
          <cell r="G548" t="str">
            <v>P3</v>
          </cell>
          <cell r="H548">
            <v>2200</v>
          </cell>
          <cell r="I548" t="str">
            <v>202505</v>
          </cell>
          <cell r="J548" t="str">
            <v>048380</v>
          </cell>
          <cell r="K548">
            <v>509</v>
          </cell>
          <cell r="L548">
            <v>865061</v>
          </cell>
          <cell r="M548">
            <v>0</v>
          </cell>
          <cell r="N548">
            <v>865061</v>
          </cell>
          <cell r="O548">
            <v>0</v>
          </cell>
          <cell r="P548">
            <v>0</v>
          </cell>
          <cell r="Q548">
            <v>0</v>
          </cell>
          <cell r="R548">
            <v>865061</v>
          </cell>
          <cell r="S548">
            <v>0</v>
          </cell>
          <cell r="T548">
            <v>865061</v>
          </cell>
          <cell r="U548">
            <v>0</v>
          </cell>
          <cell r="V548">
            <v>865061</v>
          </cell>
          <cell r="W548">
            <v>865061</v>
          </cell>
          <cell r="X548">
            <v>0</v>
          </cell>
        </row>
        <row r="549">
          <cell r="B549">
            <v>514101053309</v>
          </cell>
          <cell r="C549" t="str">
            <v>PJU WARINGIN 1</v>
          </cell>
          <cell r="D549" t="str">
            <v>WARINGIN</v>
          </cell>
          <cell r="E549"/>
          <cell r="F549"/>
          <cell r="G549" t="str">
            <v>P3</v>
          </cell>
          <cell r="H549">
            <v>2200</v>
          </cell>
          <cell r="I549" t="str">
            <v>202505</v>
          </cell>
          <cell r="J549" t="str">
            <v>048292</v>
          </cell>
          <cell r="K549">
            <v>279</v>
          </cell>
          <cell r="L549">
            <v>474169</v>
          </cell>
          <cell r="M549">
            <v>0</v>
          </cell>
          <cell r="N549">
            <v>474169</v>
          </cell>
          <cell r="O549">
            <v>0</v>
          </cell>
          <cell r="P549">
            <v>0</v>
          </cell>
          <cell r="Q549">
            <v>0</v>
          </cell>
          <cell r="R549">
            <v>474169</v>
          </cell>
          <cell r="S549">
            <v>0</v>
          </cell>
          <cell r="T549">
            <v>474169</v>
          </cell>
          <cell r="U549">
            <v>0</v>
          </cell>
          <cell r="V549">
            <v>474169</v>
          </cell>
          <cell r="W549">
            <v>474169</v>
          </cell>
          <cell r="X549">
            <v>0</v>
          </cell>
        </row>
        <row r="550">
          <cell r="B550">
            <v>514101053317</v>
          </cell>
          <cell r="C550" t="str">
            <v>PJU JL. PAMOR</v>
          </cell>
          <cell r="D550" t="str">
            <v>PAMOR</v>
          </cell>
          <cell r="E550"/>
          <cell r="F550"/>
          <cell r="G550" t="str">
            <v>P3</v>
          </cell>
          <cell r="H550">
            <v>3500</v>
          </cell>
          <cell r="I550" t="str">
            <v>202505</v>
          </cell>
          <cell r="J550" t="str">
            <v>048782</v>
          </cell>
          <cell r="K550">
            <v>1621</v>
          </cell>
          <cell r="L550">
            <v>2754938</v>
          </cell>
          <cell r="M550">
            <v>0</v>
          </cell>
          <cell r="N550">
            <v>2754938</v>
          </cell>
          <cell r="O550">
            <v>0</v>
          </cell>
          <cell r="P550">
            <v>0</v>
          </cell>
          <cell r="Q550">
            <v>0</v>
          </cell>
          <cell r="R550">
            <v>2754938</v>
          </cell>
          <cell r="S550">
            <v>0</v>
          </cell>
          <cell r="T550">
            <v>2754938</v>
          </cell>
          <cell r="U550">
            <v>0</v>
          </cell>
          <cell r="V550">
            <v>2754938</v>
          </cell>
          <cell r="W550">
            <v>2754938</v>
          </cell>
          <cell r="X550">
            <v>0</v>
          </cell>
        </row>
        <row r="551">
          <cell r="B551">
            <v>514101053325</v>
          </cell>
          <cell r="C551" t="str">
            <v>PJU JL. JAMBU SILIR</v>
          </cell>
          <cell r="D551" t="str">
            <v>JAMBU SILIR</v>
          </cell>
          <cell r="E551"/>
          <cell r="F551"/>
          <cell r="G551" t="str">
            <v>P3</v>
          </cell>
          <cell r="H551">
            <v>4400</v>
          </cell>
          <cell r="I551" t="str">
            <v>202505</v>
          </cell>
          <cell r="J551" t="str">
            <v>048404</v>
          </cell>
          <cell r="K551">
            <v>670</v>
          </cell>
          <cell r="L551">
            <v>1138685</v>
          </cell>
          <cell r="M551">
            <v>0</v>
          </cell>
          <cell r="N551">
            <v>1138685</v>
          </cell>
          <cell r="O551">
            <v>0</v>
          </cell>
          <cell r="P551">
            <v>0</v>
          </cell>
          <cell r="Q551">
            <v>0</v>
          </cell>
          <cell r="R551">
            <v>1138685</v>
          </cell>
          <cell r="S551">
            <v>0</v>
          </cell>
          <cell r="T551">
            <v>1138685</v>
          </cell>
          <cell r="U551">
            <v>0</v>
          </cell>
          <cell r="V551">
            <v>1138685</v>
          </cell>
          <cell r="W551">
            <v>1138685</v>
          </cell>
          <cell r="X551">
            <v>0</v>
          </cell>
        </row>
        <row r="552">
          <cell r="B552">
            <v>514101053390</v>
          </cell>
          <cell r="C552" t="str">
            <v>PJU JL. KETAMI</v>
          </cell>
          <cell r="D552" t="str">
            <v>WANGKALAN</v>
          </cell>
          <cell r="E552"/>
          <cell r="F552"/>
          <cell r="G552" t="str">
            <v>P3</v>
          </cell>
          <cell r="H552">
            <v>6600</v>
          </cell>
          <cell r="I552" t="str">
            <v>202505</v>
          </cell>
          <cell r="J552" t="str">
            <v>048779</v>
          </cell>
          <cell r="K552">
            <v>1708</v>
          </cell>
          <cell r="L552">
            <v>2902797</v>
          </cell>
          <cell r="M552">
            <v>0</v>
          </cell>
          <cell r="N552">
            <v>2902797</v>
          </cell>
          <cell r="O552">
            <v>0</v>
          </cell>
          <cell r="P552">
            <v>0</v>
          </cell>
          <cell r="Q552">
            <v>0</v>
          </cell>
          <cell r="R552">
            <v>2902797</v>
          </cell>
          <cell r="S552">
            <v>0</v>
          </cell>
          <cell r="T552">
            <v>2902797</v>
          </cell>
          <cell r="U552">
            <v>0</v>
          </cell>
          <cell r="V552">
            <v>2902797</v>
          </cell>
          <cell r="W552">
            <v>2902797</v>
          </cell>
          <cell r="X552">
            <v>0</v>
          </cell>
        </row>
        <row r="553">
          <cell r="B553">
            <v>514101053403</v>
          </cell>
          <cell r="C553" t="str">
            <v>PJU TEMBUS REJOMULYO</v>
          </cell>
          <cell r="D553" t="str">
            <v>TEMBUS REJOMULYO</v>
          </cell>
          <cell r="E553"/>
          <cell r="F553"/>
          <cell r="G553" t="str">
            <v>P3</v>
          </cell>
          <cell r="H553">
            <v>900</v>
          </cell>
          <cell r="I553" t="str">
            <v>202505</v>
          </cell>
          <cell r="J553" t="str">
            <v>048766</v>
          </cell>
          <cell r="K553">
            <v>94</v>
          </cell>
          <cell r="L553">
            <v>159756</v>
          </cell>
          <cell r="M553">
            <v>0</v>
          </cell>
          <cell r="N553">
            <v>159756</v>
          </cell>
          <cell r="O553">
            <v>0</v>
          </cell>
          <cell r="P553">
            <v>0</v>
          </cell>
          <cell r="Q553">
            <v>0</v>
          </cell>
          <cell r="R553">
            <v>159756</v>
          </cell>
          <cell r="S553">
            <v>0</v>
          </cell>
          <cell r="T553">
            <v>159756</v>
          </cell>
          <cell r="U553">
            <v>0</v>
          </cell>
          <cell r="V553">
            <v>159756</v>
          </cell>
          <cell r="W553">
            <v>159756</v>
          </cell>
          <cell r="X553">
            <v>0</v>
          </cell>
        </row>
        <row r="554">
          <cell r="B554">
            <v>514101053411</v>
          </cell>
          <cell r="C554" t="str">
            <v>PJU TEMPUREJO 3</v>
          </cell>
          <cell r="D554" t="str">
            <v>TEMPUREJO</v>
          </cell>
          <cell r="E554"/>
          <cell r="F554"/>
          <cell r="G554" t="str">
            <v>P3</v>
          </cell>
          <cell r="H554">
            <v>3500</v>
          </cell>
          <cell r="I554" t="str">
            <v>202505</v>
          </cell>
          <cell r="J554" t="str">
            <v>048486</v>
          </cell>
          <cell r="K554">
            <v>784</v>
          </cell>
          <cell r="L554">
            <v>1332432</v>
          </cell>
          <cell r="M554">
            <v>0</v>
          </cell>
          <cell r="N554">
            <v>1332432</v>
          </cell>
          <cell r="O554">
            <v>0</v>
          </cell>
          <cell r="P554">
            <v>0</v>
          </cell>
          <cell r="Q554">
            <v>0</v>
          </cell>
          <cell r="R554">
            <v>1332432</v>
          </cell>
          <cell r="S554">
            <v>0</v>
          </cell>
          <cell r="T554">
            <v>1332432</v>
          </cell>
          <cell r="U554">
            <v>0</v>
          </cell>
          <cell r="V554">
            <v>1332432</v>
          </cell>
          <cell r="W554">
            <v>1332432</v>
          </cell>
          <cell r="X554">
            <v>0</v>
          </cell>
        </row>
        <row r="555">
          <cell r="B555">
            <v>514101053429</v>
          </cell>
          <cell r="C555" t="str">
            <v>PJU TEMPUREJO 1</v>
          </cell>
          <cell r="D555" t="str">
            <v>TEMPUREJO</v>
          </cell>
          <cell r="E555"/>
          <cell r="F555"/>
          <cell r="G555" t="str">
            <v>P3</v>
          </cell>
          <cell r="H555">
            <v>900</v>
          </cell>
          <cell r="I555" t="str">
            <v>202505</v>
          </cell>
          <cell r="J555" t="str">
            <v>048408</v>
          </cell>
          <cell r="K555">
            <v>70</v>
          </cell>
          <cell r="L555">
            <v>118967</v>
          </cell>
          <cell r="M555">
            <v>0</v>
          </cell>
          <cell r="N555">
            <v>118967</v>
          </cell>
          <cell r="O555">
            <v>0</v>
          </cell>
          <cell r="P555">
            <v>0</v>
          </cell>
          <cell r="Q555">
            <v>0</v>
          </cell>
          <cell r="R555">
            <v>118967</v>
          </cell>
          <cell r="S555">
            <v>0</v>
          </cell>
          <cell r="T555">
            <v>118967</v>
          </cell>
          <cell r="U555">
            <v>0</v>
          </cell>
          <cell r="V555">
            <v>118967</v>
          </cell>
          <cell r="W555">
            <v>118967</v>
          </cell>
          <cell r="X555">
            <v>0</v>
          </cell>
        </row>
        <row r="556">
          <cell r="B556">
            <v>514101053437</v>
          </cell>
          <cell r="C556" t="str">
            <v>PJU DURIAN 2</v>
          </cell>
          <cell r="D556" t="str">
            <v>DURIAN</v>
          </cell>
          <cell r="E556"/>
          <cell r="F556"/>
          <cell r="G556" t="str">
            <v>P3</v>
          </cell>
          <cell r="H556">
            <v>2200</v>
          </cell>
          <cell r="I556" t="str">
            <v>202505</v>
          </cell>
          <cell r="J556" t="str">
            <v>048612</v>
          </cell>
          <cell r="K556">
            <v>152</v>
          </cell>
          <cell r="L556">
            <v>258329</v>
          </cell>
          <cell r="M556">
            <v>0</v>
          </cell>
          <cell r="N556">
            <v>258329</v>
          </cell>
          <cell r="O556">
            <v>0</v>
          </cell>
          <cell r="P556">
            <v>0</v>
          </cell>
          <cell r="Q556">
            <v>0</v>
          </cell>
          <cell r="R556">
            <v>258329</v>
          </cell>
          <cell r="S556">
            <v>0</v>
          </cell>
          <cell r="T556">
            <v>258329</v>
          </cell>
          <cell r="U556">
            <v>0</v>
          </cell>
          <cell r="V556">
            <v>258329</v>
          </cell>
          <cell r="W556">
            <v>258329</v>
          </cell>
          <cell r="X556">
            <v>0</v>
          </cell>
        </row>
        <row r="557">
          <cell r="B557">
            <v>514101053445</v>
          </cell>
          <cell r="C557" t="str">
            <v>PJU JL. JAMBU SARI</v>
          </cell>
          <cell r="D557" t="str">
            <v>JAMBU SARI GG.I TENGAH</v>
          </cell>
          <cell r="E557"/>
          <cell r="F557"/>
          <cell r="G557" t="str">
            <v>P3</v>
          </cell>
          <cell r="H557">
            <v>3500</v>
          </cell>
          <cell r="I557" t="str">
            <v>202505</v>
          </cell>
          <cell r="J557" t="str">
            <v>048625</v>
          </cell>
          <cell r="K557">
            <v>365</v>
          </cell>
          <cell r="L557">
            <v>620328</v>
          </cell>
          <cell r="M557">
            <v>0</v>
          </cell>
          <cell r="N557">
            <v>620328</v>
          </cell>
          <cell r="O557">
            <v>0</v>
          </cell>
          <cell r="P557">
            <v>0</v>
          </cell>
          <cell r="Q557">
            <v>0</v>
          </cell>
          <cell r="R557">
            <v>620328</v>
          </cell>
          <cell r="S557">
            <v>0</v>
          </cell>
          <cell r="T557">
            <v>620328</v>
          </cell>
          <cell r="U557">
            <v>0</v>
          </cell>
          <cell r="V557">
            <v>620328</v>
          </cell>
          <cell r="W557">
            <v>620328</v>
          </cell>
          <cell r="X557">
            <v>0</v>
          </cell>
        </row>
        <row r="558">
          <cell r="B558">
            <v>514101053508</v>
          </cell>
          <cell r="C558" t="str">
            <v>PJU MANISRENGGO 4</v>
          </cell>
          <cell r="D558" t="str">
            <v>MANISRENGGO</v>
          </cell>
          <cell r="E558"/>
          <cell r="F558"/>
          <cell r="G558" t="str">
            <v>P3</v>
          </cell>
          <cell r="H558">
            <v>2200</v>
          </cell>
          <cell r="I558" t="str">
            <v>202505</v>
          </cell>
          <cell r="J558" t="str">
            <v>048551</v>
          </cell>
          <cell r="K558">
            <v>370</v>
          </cell>
          <cell r="L558">
            <v>628826</v>
          </cell>
          <cell r="M558">
            <v>0</v>
          </cell>
          <cell r="N558">
            <v>628826</v>
          </cell>
          <cell r="O558">
            <v>0</v>
          </cell>
          <cell r="P558">
            <v>0</v>
          </cell>
          <cell r="Q558">
            <v>0</v>
          </cell>
          <cell r="R558">
            <v>628826</v>
          </cell>
          <cell r="S558">
            <v>0</v>
          </cell>
          <cell r="T558">
            <v>628826</v>
          </cell>
          <cell r="U558">
            <v>0</v>
          </cell>
          <cell r="V558">
            <v>628826</v>
          </cell>
          <cell r="W558">
            <v>628826</v>
          </cell>
          <cell r="X558">
            <v>0</v>
          </cell>
        </row>
        <row r="559">
          <cell r="B559">
            <v>514101053516</v>
          </cell>
          <cell r="C559" t="str">
            <v>PJU MANISRENGGO I</v>
          </cell>
          <cell r="D559" t="str">
            <v>MANISRENGGO</v>
          </cell>
          <cell r="E559"/>
          <cell r="F559"/>
          <cell r="G559" t="str">
            <v>P3</v>
          </cell>
          <cell r="H559">
            <v>2200</v>
          </cell>
          <cell r="I559" t="str">
            <v>202505</v>
          </cell>
          <cell r="J559" t="str">
            <v>048277</v>
          </cell>
          <cell r="K559">
            <v>314</v>
          </cell>
          <cell r="L559">
            <v>533652</v>
          </cell>
          <cell r="M559">
            <v>0</v>
          </cell>
          <cell r="N559">
            <v>533652</v>
          </cell>
          <cell r="O559">
            <v>0</v>
          </cell>
          <cell r="P559">
            <v>0</v>
          </cell>
          <cell r="Q559">
            <v>0</v>
          </cell>
          <cell r="R559">
            <v>533652</v>
          </cell>
          <cell r="S559">
            <v>0</v>
          </cell>
          <cell r="T559">
            <v>533652</v>
          </cell>
          <cell r="U559">
            <v>0</v>
          </cell>
          <cell r="V559">
            <v>533652</v>
          </cell>
          <cell r="W559">
            <v>533652</v>
          </cell>
          <cell r="X559">
            <v>0</v>
          </cell>
        </row>
        <row r="560">
          <cell r="B560">
            <v>514101053524</v>
          </cell>
          <cell r="C560" t="str">
            <v>PJU WERINGIN 2</v>
          </cell>
          <cell r="D560" t="str">
            <v>WERINGIN</v>
          </cell>
          <cell r="E560"/>
          <cell r="F560"/>
          <cell r="G560" t="str">
            <v>P3</v>
          </cell>
          <cell r="H560">
            <v>2200</v>
          </cell>
          <cell r="I560" t="str">
            <v>202505</v>
          </cell>
          <cell r="J560" t="str">
            <v>048579</v>
          </cell>
          <cell r="K560">
            <v>278</v>
          </cell>
          <cell r="L560">
            <v>472469</v>
          </cell>
          <cell r="M560">
            <v>0</v>
          </cell>
          <cell r="N560">
            <v>472469</v>
          </cell>
          <cell r="O560">
            <v>0</v>
          </cell>
          <cell r="P560">
            <v>0</v>
          </cell>
          <cell r="Q560">
            <v>0</v>
          </cell>
          <cell r="R560">
            <v>472469</v>
          </cell>
          <cell r="S560">
            <v>0</v>
          </cell>
          <cell r="T560">
            <v>472469</v>
          </cell>
          <cell r="U560">
            <v>0</v>
          </cell>
          <cell r="V560">
            <v>472469</v>
          </cell>
          <cell r="W560">
            <v>472469</v>
          </cell>
          <cell r="X560">
            <v>0</v>
          </cell>
        </row>
        <row r="561">
          <cell r="B561">
            <v>514101053532</v>
          </cell>
          <cell r="C561" t="str">
            <v>PJU JL. NGLETIH IV-V</v>
          </cell>
          <cell r="D561" t="str">
            <v>NGLETIH</v>
          </cell>
          <cell r="E561"/>
          <cell r="F561"/>
          <cell r="G561" t="str">
            <v>P3</v>
          </cell>
          <cell r="H561">
            <v>3500</v>
          </cell>
          <cell r="I561" t="str">
            <v>202505</v>
          </cell>
          <cell r="J561" t="str">
            <v>048784</v>
          </cell>
          <cell r="K561">
            <v>870</v>
          </cell>
          <cell r="L561">
            <v>1478591</v>
          </cell>
          <cell r="M561">
            <v>0</v>
          </cell>
          <cell r="N561">
            <v>1478591</v>
          </cell>
          <cell r="O561">
            <v>0</v>
          </cell>
          <cell r="P561">
            <v>0</v>
          </cell>
          <cell r="Q561">
            <v>0</v>
          </cell>
          <cell r="R561">
            <v>1478591</v>
          </cell>
          <cell r="S561">
            <v>0</v>
          </cell>
          <cell r="T561">
            <v>1478591</v>
          </cell>
          <cell r="U561">
            <v>0</v>
          </cell>
          <cell r="V561">
            <v>1478591</v>
          </cell>
          <cell r="W561">
            <v>1478591</v>
          </cell>
          <cell r="X561">
            <v>0</v>
          </cell>
        </row>
        <row r="562">
          <cell r="B562">
            <v>514101085583</v>
          </cell>
          <cell r="C562" t="str">
            <v>PJU PAKUNDEN KOTA</v>
          </cell>
          <cell r="D562" t="str">
            <v>RAYA PAKUNDEN</v>
          </cell>
          <cell r="E562"/>
          <cell r="F562"/>
          <cell r="G562" t="str">
            <v>P3</v>
          </cell>
          <cell r="H562">
            <v>4400</v>
          </cell>
          <cell r="I562" t="str">
            <v>202505</v>
          </cell>
          <cell r="J562" t="str">
            <v>048269</v>
          </cell>
          <cell r="K562">
            <v>813</v>
          </cell>
          <cell r="L562">
            <v>1381718</v>
          </cell>
          <cell r="M562">
            <v>0</v>
          </cell>
          <cell r="N562">
            <v>1381718</v>
          </cell>
          <cell r="O562">
            <v>0</v>
          </cell>
          <cell r="P562">
            <v>0</v>
          </cell>
          <cell r="Q562">
            <v>0</v>
          </cell>
          <cell r="R562">
            <v>1381718</v>
          </cell>
          <cell r="S562">
            <v>0</v>
          </cell>
          <cell r="T562">
            <v>1381718</v>
          </cell>
          <cell r="U562">
            <v>0</v>
          </cell>
          <cell r="V562">
            <v>1381718</v>
          </cell>
          <cell r="W562">
            <v>1381718</v>
          </cell>
          <cell r="X562">
            <v>0</v>
          </cell>
        </row>
        <row r="563">
          <cell r="B563">
            <v>514101092345</v>
          </cell>
          <cell r="C563" t="str">
            <v>PJU KELURAHAN KETAMI</v>
          </cell>
          <cell r="D563" t="str">
            <v>DANDER KETAMI</v>
          </cell>
          <cell r="E563"/>
          <cell r="F563"/>
          <cell r="G563" t="str">
            <v>P3</v>
          </cell>
          <cell r="H563">
            <v>1300</v>
          </cell>
          <cell r="I563" t="str">
            <v>202505</v>
          </cell>
          <cell r="J563" t="str">
            <v>048548</v>
          </cell>
          <cell r="K563">
            <v>473</v>
          </cell>
          <cell r="L563">
            <v>803878</v>
          </cell>
          <cell r="M563">
            <v>0</v>
          </cell>
          <cell r="N563">
            <v>803878</v>
          </cell>
          <cell r="O563">
            <v>0</v>
          </cell>
          <cell r="P563">
            <v>0</v>
          </cell>
          <cell r="Q563">
            <v>0</v>
          </cell>
          <cell r="R563">
            <v>803878</v>
          </cell>
          <cell r="S563">
            <v>0</v>
          </cell>
          <cell r="T563">
            <v>803878</v>
          </cell>
          <cell r="U563">
            <v>0</v>
          </cell>
          <cell r="V563">
            <v>803878</v>
          </cell>
          <cell r="W563">
            <v>803878</v>
          </cell>
          <cell r="X563">
            <v>0</v>
          </cell>
        </row>
        <row r="564">
          <cell r="B564">
            <v>514101116921</v>
          </cell>
          <cell r="C564" t="str">
            <v>PJU KEL.KALIOMBO</v>
          </cell>
          <cell r="D564" t="str">
            <v>KALIOMBO</v>
          </cell>
          <cell r="E564"/>
          <cell r="F564"/>
          <cell r="G564" t="str">
            <v>P3</v>
          </cell>
          <cell r="H564">
            <v>2200</v>
          </cell>
          <cell r="I564" t="str">
            <v>202505</v>
          </cell>
          <cell r="J564" t="str">
            <v>048662</v>
          </cell>
          <cell r="K564">
            <v>479</v>
          </cell>
          <cell r="L564">
            <v>814075</v>
          </cell>
          <cell r="M564">
            <v>0</v>
          </cell>
          <cell r="N564">
            <v>814075</v>
          </cell>
          <cell r="O564">
            <v>0</v>
          </cell>
          <cell r="P564">
            <v>0</v>
          </cell>
          <cell r="Q564">
            <v>0</v>
          </cell>
          <cell r="R564">
            <v>814075</v>
          </cell>
          <cell r="S564">
            <v>0</v>
          </cell>
          <cell r="T564">
            <v>814075</v>
          </cell>
          <cell r="U564">
            <v>0</v>
          </cell>
          <cell r="V564">
            <v>814075</v>
          </cell>
          <cell r="W564">
            <v>814075</v>
          </cell>
          <cell r="X564">
            <v>0</v>
          </cell>
        </row>
        <row r="565">
          <cell r="B565">
            <v>514101116939</v>
          </cell>
          <cell r="C565" t="str">
            <v>PJU KEL.PAKELAN I</v>
          </cell>
          <cell r="D565" t="str">
            <v>PAKELAN</v>
          </cell>
          <cell r="E565"/>
          <cell r="F565"/>
          <cell r="G565" t="str">
            <v>P3</v>
          </cell>
          <cell r="H565">
            <v>3500</v>
          </cell>
          <cell r="I565" t="str">
            <v>202505</v>
          </cell>
          <cell r="J565" t="str">
            <v>048745</v>
          </cell>
          <cell r="K565">
            <v>140</v>
          </cell>
          <cell r="L565">
            <v>237934</v>
          </cell>
          <cell r="M565">
            <v>0</v>
          </cell>
          <cell r="N565">
            <v>237934</v>
          </cell>
          <cell r="O565">
            <v>0</v>
          </cell>
          <cell r="P565">
            <v>0</v>
          </cell>
          <cell r="Q565">
            <v>0</v>
          </cell>
          <cell r="R565">
            <v>237934</v>
          </cell>
          <cell r="S565">
            <v>0</v>
          </cell>
          <cell r="T565">
            <v>237934</v>
          </cell>
          <cell r="U565">
            <v>0</v>
          </cell>
          <cell r="V565">
            <v>237934</v>
          </cell>
          <cell r="W565">
            <v>237934</v>
          </cell>
          <cell r="X565">
            <v>0</v>
          </cell>
        </row>
        <row r="566">
          <cell r="B566">
            <v>514101158142</v>
          </cell>
          <cell r="C566" t="str">
            <v>PJU BANARAN I</v>
          </cell>
          <cell r="D566" t="str">
            <v>BANARAN</v>
          </cell>
          <cell r="E566"/>
          <cell r="F566"/>
          <cell r="G566" t="str">
            <v>P3</v>
          </cell>
          <cell r="H566">
            <v>4400</v>
          </cell>
          <cell r="I566" t="str">
            <v>202505</v>
          </cell>
          <cell r="J566" t="str">
            <v>048642</v>
          </cell>
          <cell r="K566">
            <v>499</v>
          </cell>
          <cell r="L566">
            <v>848065</v>
          </cell>
          <cell r="M566">
            <v>0</v>
          </cell>
          <cell r="N566">
            <v>848065</v>
          </cell>
          <cell r="O566">
            <v>0</v>
          </cell>
          <cell r="P566">
            <v>0</v>
          </cell>
          <cell r="Q566">
            <v>0</v>
          </cell>
          <cell r="R566">
            <v>848065</v>
          </cell>
          <cell r="S566">
            <v>0</v>
          </cell>
          <cell r="T566">
            <v>848065</v>
          </cell>
          <cell r="U566">
            <v>0</v>
          </cell>
          <cell r="V566">
            <v>848065</v>
          </cell>
          <cell r="W566">
            <v>848065</v>
          </cell>
          <cell r="X566">
            <v>0</v>
          </cell>
        </row>
        <row r="567">
          <cell r="B567">
            <v>514101158159</v>
          </cell>
          <cell r="C567" t="str">
            <v>PJU BANARAN II</v>
          </cell>
          <cell r="D567" t="str">
            <v>BANARAN</v>
          </cell>
          <cell r="E567"/>
          <cell r="F567"/>
          <cell r="G567" t="str">
            <v>P3</v>
          </cell>
          <cell r="H567">
            <v>2200</v>
          </cell>
          <cell r="I567" t="str">
            <v>202505</v>
          </cell>
          <cell r="J567" t="str">
            <v>063115</v>
          </cell>
          <cell r="K567">
            <v>277</v>
          </cell>
          <cell r="L567">
            <v>470770</v>
          </cell>
          <cell r="M567">
            <v>0</v>
          </cell>
          <cell r="N567">
            <v>470770</v>
          </cell>
          <cell r="O567">
            <v>0</v>
          </cell>
          <cell r="P567">
            <v>0</v>
          </cell>
          <cell r="Q567">
            <v>0</v>
          </cell>
          <cell r="R567">
            <v>470770</v>
          </cell>
          <cell r="S567">
            <v>0</v>
          </cell>
          <cell r="T567">
            <v>470770</v>
          </cell>
          <cell r="U567">
            <v>0</v>
          </cell>
          <cell r="V567">
            <v>470770</v>
          </cell>
          <cell r="W567">
            <v>470770</v>
          </cell>
          <cell r="X567">
            <v>0</v>
          </cell>
        </row>
        <row r="568">
          <cell r="B568">
            <v>514101158167</v>
          </cell>
          <cell r="C568" t="str">
            <v>PJU BANARAN III</v>
          </cell>
          <cell r="D568" t="str">
            <v>BANARAN</v>
          </cell>
          <cell r="E568"/>
          <cell r="F568"/>
          <cell r="G568" t="str">
            <v>P3</v>
          </cell>
          <cell r="H568">
            <v>2200</v>
          </cell>
          <cell r="I568" t="str">
            <v>202505</v>
          </cell>
          <cell r="J568" t="str">
            <v>055221</v>
          </cell>
          <cell r="K568">
            <v>233</v>
          </cell>
          <cell r="L568">
            <v>395990</v>
          </cell>
          <cell r="M568">
            <v>0</v>
          </cell>
          <cell r="N568">
            <v>395990</v>
          </cell>
          <cell r="O568">
            <v>0</v>
          </cell>
          <cell r="P568">
            <v>0</v>
          </cell>
          <cell r="Q568">
            <v>0</v>
          </cell>
          <cell r="R568">
            <v>395990</v>
          </cell>
          <cell r="S568">
            <v>0</v>
          </cell>
          <cell r="T568">
            <v>395990</v>
          </cell>
          <cell r="U568">
            <v>0</v>
          </cell>
          <cell r="V568">
            <v>395990</v>
          </cell>
          <cell r="W568">
            <v>395990</v>
          </cell>
          <cell r="X568">
            <v>0</v>
          </cell>
        </row>
        <row r="569">
          <cell r="B569">
            <v>514101162162</v>
          </cell>
          <cell r="C569" t="str">
            <v>PJU  PERINTIS KEMERDEKAAN</v>
          </cell>
          <cell r="D569" t="str">
            <v>PERINTIS KEMERDEKAAN</v>
          </cell>
          <cell r="E569"/>
          <cell r="F569"/>
          <cell r="G569" t="str">
            <v>P3</v>
          </cell>
          <cell r="H569">
            <v>5500</v>
          </cell>
          <cell r="I569" t="str">
            <v>202505</v>
          </cell>
          <cell r="J569" t="str">
            <v>048549</v>
          </cell>
          <cell r="K569">
            <v>220</v>
          </cell>
          <cell r="L569">
            <v>373897</v>
          </cell>
          <cell r="M569">
            <v>0</v>
          </cell>
          <cell r="N569">
            <v>373897</v>
          </cell>
          <cell r="O569">
            <v>0</v>
          </cell>
          <cell r="P569">
            <v>0</v>
          </cell>
          <cell r="Q569">
            <v>0</v>
          </cell>
          <cell r="R569">
            <v>373897</v>
          </cell>
          <cell r="S569">
            <v>0</v>
          </cell>
          <cell r="T569">
            <v>373897</v>
          </cell>
          <cell r="U569">
            <v>0</v>
          </cell>
          <cell r="V569">
            <v>373897</v>
          </cell>
          <cell r="W569">
            <v>373897</v>
          </cell>
          <cell r="X569">
            <v>0</v>
          </cell>
        </row>
        <row r="570">
          <cell r="B570">
            <v>514101341558</v>
          </cell>
          <cell r="C570" t="str">
            <v>PJU JEMBATAN ALUN ALUN</v>
          </cell>
          <cell r="D570" t="str">
            <v>KAUMAN, KAMPUNG DALEM</v>
          </cell>
          <cell r="E570"/>
          <cell r="F570"/>
          <cell r="G570" t="str">
            <v>P3</v>
          </cell>
          <cell r="H570">
            <v>1300</v>
          </cell>
          <cell r="I570" t="str">
            <v>202505</v>
          </cell>
          <cell r="J570" t="str">
            <v>048653</v>
          </cell>
          <cell r="K570">
            <v>477</v>
          </cell>
          <cell r="L570">
            <v>810676</v>
          </cell>
          <cell r="M570">
            <v>0</v>
          </cell>
          <cell r="N570">
            <v>810676</v>
          </cell>
          <cell r="O570">
            <v>0</v>
          </cell>
          <cell r="P570">
            <v>0</v>
          </cell>
          <cell r="Q570">
            <v>0</v>
          </cell>
          <cell r="R570">
            <v>810676</v>
          </cell>
          <cell r="S570">
            <v>0</v>
          </cell>
          <cell r="T570">
            <v>810676</v>
          </cell>
          <cell r="U570">
            <v>0</v>
          </cell>
          <cell r="V570">
            <v>810676</v>
          </cell>
          <cell r="W570">
            <v>810676</v>
          </cell>
          <cell r="X570">
            <v>0</v>
          </cell>
        </row>
        <row r="571">
          <cell r="B571">
            <v>514101341566</v>
          </cell>
          <cell r="C571" t="str">
            <v>CCTV DAN SHMS</v>
          </cell>
          <cell r="D571" t="str">
            <v>DN KAUMAN, KAMPUNG DALEM</v>
          </cell>
          <cell r="E571"/>
          <cell r="F571"/>
          <cell r="G571" t="str">
            <v>P3</v>
          </cell>
          <cell r="H571">
            <v>450</v>
          </cell>
          <cell r="I571" t="str">
            <v>202505</v>
          </cell>
          <cell r="J571" t="str">
            <v>048648</v>
          </cell>
          <cell r="K571">
            <v>43</v>
          </cell>
          <cell r="L571">
            <v>73080</v>
          </cell>
          <cell r="M571">
            <v>0</v>
          </cell>
          <cell r="N571">
            <v>73080</v>
          </cell>
          <cell r="O571">
            <v>0</v>
          </cell>
          <cell r="P571">
            <v>0</v>
          </cell>
          <cell r="Q571">
            <v>0</v>
          </cell>
          <cell r="R571">
            <v>73080</v>
          </cell>
          <cell r="S571">
            <v>0</v>
          </cell>
          <cell r="T571">
            <v>73080</v>
          </cell>
          <cell r="U571">
            <v>0</v>
          </cell>
          <cell r="V571">
            <v>73080</v>
          </cell>
          <cell r="W571">
            <v>73080</v>
          </cell>
          <cell r="X571">
            <v>0</v>
          </cell>
        </row>
        <row r="572">
          <cell r="B572">
            <v>215622774</v>
          </cell>
          <cell r="C572">
            <v>0</v>
          </cell>
          <cell r="D572">
            <v>215652774</v>
          </cell>
          <cell r="E572">
            <v>0</v>
          </cell>
          <cell r="F572">
            <v>0</v>
          </cell>
          <cell r="G572">
            <v>0</v>
          </cell>
          <cell r="H572">
            <v>215622774</v>
          </cell>
          <cell r="I572" t="str">
            <v>KEDIRI, May 2, 2025  14:59</v>
          </cell>
          <cell r="J572"/>
          <cell r="K572">
            <v>126872</v>
          </cell>
          <cell r="L572">
            <v>215622774</v>
          </cell>
          <cell r="M572">
            <v>30000</v>
          </cell>
          <cell r="N572">
            <v>215652774</v>
          </cell>
          <cell r="O572">
            <v>0</v>
          </cell>
          <cell r="P572">
            <v>0</v>
          </cell>
          <cell r="Q572">
            <v>0</v>
          </cell>
          <cell r="R572">
            <v>215622774</v>
          </cell>
          <cell r="S572">
            <v>0</v>
          </cell>
          <cell r="T572">
            <v>215622774</v>
          </cell>
          <cell r="U572">
            <v>30000</v>
          </cell>
          <cell r="V572">
            <v>215652774</v>
          </cell>
          <cell r="W572">
            <v>215622774</v>
          </cell>
          <cell r="X572">
            <v>0</v>
          </cell>
        </row>
        <row r="573">
          <cell r="B573"/>
          <cell r="C573"/>
          <cell r="D573"/>
          <cell r="E573"/>
          <cell r="F573"/>
          <cell r="G573"/>
          <cell r="H573">
            <v>767950</v>
          </cell>
          <cell r="I573"/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</row>
        <row r="576">
          <cell r="B576"/>
        </row>
        <row r="578">
          <cell r="B578" t="str">
            <v>UP3 : KEDIRI
ULP : KEDIRI SELATAN</v>
          </cell>
          <cell r="C578" t="str">
            <v>LAPORAN TAGIHAN KODE KOLEKTIF NOTA BUKU
Bulan : MEI-2025</v>
          </cell>
          <cell r="D578"/>
          <cell r="E578"/>
          <cell r="F578"/>
          <cell r="G578"/>
          <cell r="H578"/>
          <cell r="I578"/>
          <cell r="J578"/>
          <cell r="K578"/>
          <cell r="L578"/>
          <cell r="M578"/>
          <cell r="N578"/>
          <cell r="O578"/>
          <cell r="P578"/>
          <cell r="Q578"/>
          <cell r="R578"/>
        </row>
        <row r="579">
          <cell r="B579" t="str">
            <v>IDPEL</v>
          </cell>
          <cell r="C579" t="str">
            <v>NAMA</v>
          </cell>
          <cell r="D579" t="str">
            <v>ALAMAT</v>
          </cell>
          <cell r="E579" t="str">
            <v>TGL BAYAR</v>
          </cell>
          <cell r="F579" t="str">
            <v>KDPEMBAYAR</v>
          </cell>
          <cell r="G579" t="str">
            <v>TRP</v>
          </cell>
          <cell r="H579" t="str">
            <v>DAYA</v>
          </cell>
          <cell r="I579" t="str">
            <v>BLTH</v>
          </cell>
          <cell r="J579" t="str">
            <v>NOREK</v>
          </cell>
          <cell r="K579" t="str">
            <v>KWH</v>
          </cell>
          <cell r="L579" t="str">
            <v>PTL</v>
          </cell>
          <cell r="M579" t="str">
            <v>MAT</v>
          </cell>
          <cell r="N579" t="str">
            <v>PLN</v>
          </cell>
          <cell r="O579" t="str">
            <v>TRAFO</v>
          </cell>
          <cell r="P579" t="str">
            <v>PPN</v>
          </cell>
          <cell r="Q579" t="str">
            <v>PJU</v>
          </cell>
          <cell r="R579" t="str">
            <v>TAGIHAN</v>
          </cell>
        </row>
        <row r="580">
          <cell r="B580">
            <v>514011067351</v>
          </cell>
          <cell r="C580" t="str">
            <v>PJU PRODAMAS JL AKASIA</v>
          </cell>
          <cell r="D580" t="str">
            <v>AKASIA LING DANDER</v>
          </cell>
          <cell r="E580"/>
          <cell r="F580"/>
          <cell r="G580" t="str">
            <v>P3</v>
          </cell>
          <cell r="H580">
            <v>900</v>
          </cell>
          <cell r="I580" t="str">
            <v>202505</v>
          </cell>
          <cell r="J580" t="str">
            <v>025218</v>
          </cell>
          <cell r="K580">
            <v>240</v>
          </cell>
          <cell r="L580">
            <v>407887</v>
          </cell>
          <cell r="M580">
            <v>0</v>
          </cell>
          <cell r="N580">
            <v>407887</v>
          </cell>
          <cell r="O580">
            <v>0</v>
          </cell>
          <cell r="P580">
            <v>0</v>
          </cell>
          <cell r="Q580">
            <v>0</v>
          </cell>
          <cell r="R580">
            <v>407887</v>
          </cell>
          <cell r="S580">
            <v>0</v>
          </cell>
          <cell r="T580">
            <v>407887</v>
          </cell>
          <cell r="U580">
            <v>0</v>
          </cell>
          <cell r="V580">
            <v>407887</v>
          </cell>
          <cell r="W580">
            <v>407887</v>
          </cell>
          <cell r="X580">
            <v>0</v>
          </cell>
        </row>
        <row r="581">
          <cell r="B581">
            <v>514011067369</v>
          </cell>
          <cell r="C581" t="str">
            <v>PJU PRODAMAS JL AKASIA</v>
          </cell>
          <cell r="D581" t="str">
            <v>AKASIA DANDER</v>
          </cell>
          <cell r="E581"/>
          <cell r="F581"/>
          <cell r="G581" t="str">
            <v>P3</v>
          </cell>
          <cell r="H581">
            <v>900</v>
          </cell>
          <cell r="I581" t="str">
            <v>202505</v>
          </cell>
          <cell r="J581" t="str">
            <v>034355</v>
          </cell>
          <cell r="K581">
            <v>256</v>
          </cell>
          <cell r="L581">
            <v>435080</v>
          </cell>
          <cell r="M581">
            <v>0</v>
          </cell>
          <cell r="N581">
            <v>435080</v>
          </cell>
          <cell r="O581">
            <v>0</v>
          </cell>
          <cell r="P581">
            <v>0</v>
          </cell>
          <cell r="Q581">
            <v>0</v>
          </cell>
          <cell r="R581">
            <v>435080</v>
          </cell>
          <cell r="S581">
            <v>0</v>
          </cell>
          <cell r="T581">
            <v>435080</v>
          </cell>
          <cell r="U581">
            <v>0</v>
          </cell>
          <cell r="V581">
            <v>435080</v>
          </cell>
          <cell r="W581">
            <v>435080</v>
          </cell>
          <cell r="X581">
            <v>0</v>
          </cell>
        </row>
        <row r="582">
          <cell r="B582">
            <v>514011081426</v>
          </cell>
          <cell r="C582" t="str">
            <v>PJU PRODAMAS RT03 RW10</v>
          </cell>
          <cell r="D582" t="str">
            <v>LETJEND SUPRAPTO</v>
          </cell>
          <cell r="E582"/>
          <cell r="F582"/>
          <cell r="G582" t="str">
            <v>P3</v>
          </cell>
          <cell r="H582">
            <v>900</v>
          </cell>
          <cell r="I582" t="str">
            <v>202505</v>
          </cell>
          <cell r="J582" t="str">
            <v>005574</v>
          </cell>
          <cell r="K582">
            <v>129</v>
          </cell>
          <cell r="L582">
            <v>219239</v>
          </cell>
          <cell r="M582">
            <v>0</v>
          </cell>
          <cell r="N582">
            <v>219239</v>
          </cell>
          <cell r="O582">
            <v>0</v>
          </cell>
          <cell r="P582">
            <v>0</v>
          </cell>
          <cell r="Q582">
            <v>0</v>
          </cell>
          <cell r="R582">
            <v>219239</v>
          </cell>
          <cell r="S582">
            <v>0</v>
          </cell>
          <cell r="T582">
            <v>219239</v>
          </cell>
          <cell r="U582">
            <v>0</v>
          </cell>
          <cell r="V582">
            <v>219239</v>
          </cell>
          <cell r="W582">
            <v>219239</v>
          </cell>
          <cell r="X582">
            <v>0</v>
          </cell>
        </row>
        <row r="583">
          <cell r="B583">
            <v>514011081434</v>
          </cell>
          <cell r="C583" t="str">
            <v>PJU PRODAMAS RT02 RW01</v>
          </cell>
          <cell r="D583" t="str">
            <v>TINALAN I</v>
          </cell>
          <cell r="E583"/>
          <cell r="F583"/>
          <cell r="G583" t="str">
            <v>P3</v>
          </cell>
          <cell r="H583">
            <v>900</v>
          </cell>
          <cell r="I583" t="str">
            <v>202505</v>
          </cell>
          <cell r="J583" t="str">
            <v>001957</v>
          </cell>
          <cell r="K583">
            <v>65</v>
          </cell>
          <cell r="L583">
            <v>110469</v>
          </cell>
          <cell r="M583">
            <v>0</v>
          </cell>
          <cell r="N583">
            <v>110469</v>
          </cell>
          <cell r="O583">
            <v>0</v>
          </cell>
          <cell r="P583">
            <v>0</v>
          </cell>
          <cell r="Q583">
            <v>0</v>
          </cell>
          <cell r="R583">
            <v>110469</v>
          </cell>
          <cell r="S583">
            <v>0</v>
          </cell>
          <cell r="T583">
            <v>110469</v>
          </cell>
          <cell r="U583">
            <v>0</v>
          </cell>
          <cell r="V583">
            <v>110469</v>
          </cell>
          <cell r="W583">
            <v>110469</v>
          </cell>
          <cell r="X583">
            <v>0</v>
          </cell>
        </row>
        <row r="584">
          <cell r="B584">
            <v>514011081442</v>
          </cell>
          <cell r="C584" t="str">
            <v>PJU PRODAMAS RT02 RW07</v>
          </cell>
          <cell r="D584" t="str">
            <v>HOS COKROAMINOTO</v>
          </cell>
          <cell r="E584"/>
          <cell r="F584"/>
          <cell r="G584" t="str">
            <v>P3</v>
          </cell>
          <cell r="H584">
            <v>900</v>
          </cell>
          <cell r="I584" t="str">
            <v>202505</v>
          </cell>
          <cell r="J584" t="str">
            <v>014704</v>
          </cell>
          <cell r="K584">
            <v>191</v>
          </cell>
          <cell r="L584">
            <v>324610</v>
          </cell>
          <cell r="M584">
            <v>0</v>
          </cell>
          <cell r="N584">
            <v>324610</v>
          </cell>
          <cell r="O584">
            <v>0</v>
          </cell>
          <cell r="P584">
            <v>0</v>
          </cell>
          <cell r="Q584">
            <v>0</v>
          </cell>
          <cell r="R584">
            <v>324610</v>
          </cell>
          <cell r="S584">
            <v>0</v>
          </cell>
          <cell r="T584">
            <v>324610</v>
          </cell>
          <cell r="U584">
            <v>0</v>
          </cell>
          <cell r="V584">
            <v>324610</v>
          </cell>
          <cell r="W584">
            <v>324610</v>
          </cell>
          <cell r="X584">
            <v>0</v>
          </cell>
        </row>
        <row r="585">
          <cell r="B585">
            <v>514011081459</v>
          </cell>
          <cell r="C585" t="str">
            <v>PJU PRODAMAS RT04 RW04</v>
          </cell>
          <cell r="D585" t="str">
            <v>BURENGAN</v>
          </cell>
          <cell r="E585"/>
          <cell r="F585"/>
          <cell r="G585" t="str">
            <v>P3</v>
          </cell>
          <cell r="H585">
            <v>1300</v>
          </cell>
          <cell r="I585" t="str">
            <v>202505</v>
          </cell>
          <cell r="J585" t="str">
            <v>012575</v>
          </cell>
          <cell r="K585">
            <v>325</v>
          </cell>
          <cell r="L585">
            <v>552347</v>
          </cell>
          <cell r="M585">
            <v>0</v>
          </cell>
          <cell r="N585">
            <v>552347</v>
          </cell>
          <cell r="O585">
            <v>0</v>
          </cell>
          <cell r="P585">
            <v>0</v>
          </cell>
          <cell r="Q585">
            <v>0</v>
          </cell>
          <cell r="R585">
            <v>552347</v>
          </cell>
          <cell r="S585">
            <v>0</v>
          </cell>
          <cell r="T585">
            <v>552347</v>
          </cell>
          <cell r="U585">
            <v>0</v>
          </cell>
          <cell r="V585">
            <v>552347</v>
          </cell>
          <cell r="W585">
            <v>552347</v>
          </cell>
          <cell r="X585">
            <v>0</v>
          </cell>
        </row>
        <row r="586">
          <cell r="B586">
            <v>514011100715</v>
          </cell>
          <cell r="C586" t="str">
            <v>PJU JL AKASIA RT 03 RW 05</v>
          </cell>
          <cell r="D586" t="str">
            <v>DANDER KETAMI</v>
          </cell>
          <cell r="E586"/>
          <cell r="F586"/>
          <cell r="G586" t="str">
            <v>P3</v>
          </cell>
          <cell r="H586">
            <v>1300</v>
          </cell>
          <cell r="I586" t="str">
            <v>202505</v>
          </cell>
          <cell r="J586" t="str">
            <v>004714</v>
          </cell>
          <cell r="K586">
            <v>127</v>
          </cell>
          <cell r="L586">
            <v>215840</v>
          </cell>
          <cell r="M586">
            <v>0</v>
          </cell>
          <cell r="N586">
            <v>215840</v>
          </cell>
          <cell r="O586">
            <v>0</v>
          </cell>
          <cell r="P586">
            <v>0</v>
          </cell>
          <cell r="Q586">
            <v>0</v>
          </cell>
          <cell r="R586">
            <v>215840</v>
          </cell>
          <cell r="S586">
            <v>0</v>
          </cell>
          <cell r="T586">
            <v>215840</v>
          </cell>
          <cell r="U586">
            <v>0</v>
          </cell>
          <cell r="V586">
            <v>215840</v>
          </cell>
          <cell r="W586">
            <v>215840</v>
          </cell>
          <cell r="X586">
            <v>0</v>
          </cell>
        </row>
        <row r="587">
          <cell r="B587">
            <v>514011100723</v>
          </cell>
          <cell r="C587" t="str">
            <v>PJU JL AKASIA RT 02 RW 05</v>
          </cell>
          <cell r="D587" t="str">
            <v>DANDER KETAMI</v>
          </cell>
          <cell r="E587"/>
          <cell r="F587"/>
          <cell r="G587" t="str">
            <v>P3</v>
          </cell>
          <cell r="H587">
            <v>1300</v>
          </cell>
          <cell r="I587" t="str">
            <v>202505</v>
          </cell>
          <cell r="J587" t="str">
            <v>023722</v>
          </cell>
          <cell r="K587">
            <v>125</v>
          </cell>
          <cell r="L587">
            <v>212441</v>
          </cell>
          <cell r="M587">
            <v>0</v>
          </cell>
          <cell r="N587">
            <v>212441</v>
          </cell>
          <cell r="O587">
            <v>0</v>
          </cell>
          <cell r="P587">
            <v>0</v>
          </cell>
          <cell r="Q587">
            <v>0</v>
          </cell>
          <cell r="R587">
            <v>212441</v>
          </cell>
          <cell r="S587">
            <v>0</v>
          </cell>
          <cell r="T587">
            <v>212441</v>
          </cell>
          <cell r="U587">
            <v>0</v>
          </cell>
          <cell r="V587">
            <v>212441</v>
          </cell>
          <cell r="W587">
            <v>212441</v>
          </cell>
          <cell r="X587">
            <v>0</v>
          </cell>
        </row>
        <row r="588">
          <cell r="B588">
            <v>514011108436</v>
          </cell>
          <cell r="C588" t="str">
            <v>PJU RT 26 RW 7</v>
          </cell>
          <cell r="D588" t="str">
            <v>BALOWERTI</v>
          </cell>
          <cell r="E588"/>
          <cell r="F588"/>
          <cell r="G588" t="str">
            <v>P3</v>
          </cell>
          <cell r="H588">
            <v>900</v>
          </cell>
          <cell r="I588" t="str">
            <v>202505</v>
          </cell>
          <cell r="J588" t="str">
            <v>006310</v>
          </cell>
          <cell r="K588">
            <v>48</v>
          </cell>
          <cell r="L588">
            <v>81577</v>
          </cell>
          <cell r="M588">
            <v>0</v>
          </cell>
          <cell r="N588">
            <v>81577</v>
          </cell>
          <cell r="O588">
            <v>0</v>
          </cell>
          <cell r="P588">
            <v>0</v>
          </cell>
          <cell r="Q588">
            <v>0</v>
          </cell>
          <cell r="R588">
            <v>81577</v>
          </cell>
          <cell r="S588">
            <v>0</v>
          </cell>
          <cell r="T588">
            <v>81577</v>
          </cell>
          <cell r="U588">
            <v>0</v>
          </cell>
          <cell r="V588">
            <v>81577</v>
          </cell>
          <cell r="W588">
            <v>81577</v>
          </cell>
          <cell r="X588">
            <v>0</v>
          </cell>
        </row>
        <row r="589">
          <cell r="B589">
            <v>514011114410</v>
          </cell>
          <cell r="C589" t="str">
            <v>PJU PRODAMAS RT01 RW06</v>
          </cell>
          <cell r="D589" t="str">
            <v>BURENGAN</v>
          </cell>
          <cell r="E589"/>
          <cell r="F589"/>
          <cell r="G589" t="str">
            <v>P3</v>
          </cell>
          <cell r="H589">
            <v>900</v>
          </cell>
          <cell r="I589" t="str">
            <v>202505</v>
          </cell>
          <cell r="J589" t="str">
            <v>061802</v>
          </cell>
          <cell r="K589">
            <v>113</v>
          </cell>
          <cell r="L589">
            <v>192047</v>
          </cell>
          <cell r="M589">
            <v>0</v>
          </cell>
          <cell r="N589">
            <v>192047</v>
          </cell>
          <cell r="O589">
            <v>0</v>
          </cell>
          <cell r="P589">
            <v>0</v>
          </cell>
          <cell r="Q589">
            <v>0</v>
          </cell>
          <cell r="R589">
            <v>192047</v>
          </cell>
          <cell r="S589">
            <v>0</v>
          </cell>
          <cell r="T589">
            <v>192047</v>
          </cell>
          <cell r="U589">
            <v>0</v>
          </cell>
          <cell r="V589">
            <v>192047</v>
          </cell>
          <cell r="W589">
            <v>192047</v>
          </cell>
          <cell r="X589">
            <v>0</v>
          </cell>
        </row>
        <row r="590">
          <cell r="B590">
            <v>514011114428</v>
          </cell>
          <cell r="C590" t="str">
            <v>PJU PRODAMAS RT02 RW05</v>
          </cell>
          <cell r="D590" t="str">
            <v>BURENGAN</v>
          </cell>
          <cell r="E590"/>
          <cell r="F590"/>
          <cell r="G590" t="str">
            <v>P3</v>
          </cell>
          <cell r="H590">
            <v>900</v>
          </cell>
          <cell r="I590" t="str">
            <v>202505</v>
          </cell>
          <cell r="J590" t="str">
            <v>067036</v>
          </cell>
          <cell r="K590">
            <v>288</v>
          </cell>
          <cell r="L590">
            <v>489465</v>
          </cell>
          <cell r="M590">
            <v>0</v>
          </cell>
          <cell r="N590">
            <v>489465</v>
          </cell>
          <cell r="O590">
            <v>0</v>
          </cell>
          <cell r="P590">
            <v>0</v>
          </cell>
          <cell r="Q590">
            <v>0</v>
          </cell>
          <cell r="R590">
            <v>489465</v>
          </cell>
          <cell r="S590">
            <v>0</v>
          </cell>
          <cell r="T590">
            <v>489465</v>
          </cell>
          <cell r="U590">
            <v>0</v>
          </cell>
          <cell r="V590">
            <v>489465</v>
          </cell>
          <cell r="W590">
            <v>489465</v>
          </cell>
          <cell r="X590">
            <v>0</v>
          </cell>
        </row>
        <row r="591">
          <cell r="B591">
            <v>514011117490</v>
          </cell>
          <cell r="C591" t="str">
            <v>PJU PRODAMAS RT01 RW04</v>
          </cell>
          <cell r="D591" t="str">
            <v>DANDER</v>
          </cell>
          <cell r="E591"/>
          <cell r="F591"/>
          <cell r="G591" t="str">
            <v>P3</v>
          </cell>
          <cell r="H591">
            <v>900</v>
          </cell>
          <cell r="I591" t="str">
            <v>202505</v>
          </cell>
          <cell r="J591" t="str">
            <v>048477</v>
          </cell>
          <cell r="K591">
            <v>122</v>
          </cell>
          <cell r="L591">
            <v>207343</v>
          </cell>
          <cell r="M591">
            <v>0</v>
          </cell>
          <cell r="N591">
            <v>207343</v>
          </cell>
          <cell r="O591">
            <v>0</v>
          </cell>
          <cell r="P591">
            <v>0</v>
          </cell>
          <cell r="Q591">
            <v>0</v>
          </cell>
          <cell r="R591">
            <v>207343</v>
          </cell>
          <cell r="S591">
            <v>0</v>
          </cell>
          <cell r="T591">
            <v>207343</v>
          </cell>
          <cell r="U591">
            <v>0</v>
          </cell>
          <cell r="V591">
            <v>207343</v>
          </cell>
          <cell r="W591">
            <v>207343</v>
          </cell>
          <cell r="X591">
            <v>0</v>
          </cell>
        </row>
        <row r="592">
          <cell r="B592">
            <v>514011154042</v>
          </cell>
          <cell r="C592" t="str">
            <v>PJU RT 03 RW 03</v>
          </cell>
          <cell r="D592" t="str">
            <v>BURENGAN</v>
          </cell>
          <cell r="E592"/>
          <cell r="F592"/>
          <cell r="G592" t="str">
            <v>P3</v>
          </cell>
          <cell r="H592">
            <v>1300</v>
          </cell>
          <cell r="I592" t="str">
            <v>202505</v>
          </cell>
          <cell r="J592" t="str">
            <v>065798</v>
          </cell>
          <cell r="K592">
            <v>235</v>
          </cell>
          <cell r="L592">
            <v>399390</v>
          </cell>
          <cell r="M592">
            <v>0</v>
          </cell>
          <cell r="N592">
            <v>399390</v>
          </cell>
          <cell r="O592">
            <v>0</v>
          </cell>
          <cell r="P592">
            <v>0</v>
          </cell>
          <cell r="Q592">
            <v>0</v>
          </cell>
          <cell r="R592">
            <v>399390</v>
          </cell>
          <cell r="S592">
            <v>0</v>
          </cell>
          <cell r="T592">
            <v>399390</v>
          </cell>
          <cell r="U592">
            <v>0</v>
          </cell>
          <cell r="V592">
            <v>399390</v>
          </cell>
          <cell r="W592">
            <v>399390</v>
          </cell>
          <cell r="X592">
            <v>0</v>
          </cell>
        </row>
        <row r="593">
          <cell r="B593">
            <v>514011154680</v>
          </cell>
          <cell r="C593" t="str">
            <v>PJU RW. I RT. I</v>
          </cell>
          <cell r="D593" t="str">
            <v>BURENGAN</v>
          </cell>
          <cell r="E593"/>
          <cell r="F593"/>
          <cell r="G593" t="str">
            <v>P3</v>
          </cell>
          <cell r="H593">
            <v>900</v>
          </cell>
          <cell r="I593" t="str">
            <v>202505</v>
          </cell>
          <cell r="J593" t="str">
            <v>025138</v>
          </cell>
          <cell r="K593">
            <v>200</v>
          </cell>
          <cell r="L593">
            <v>339906</v>
          </cell>
          <cell r="M593">
            <v>0</v>
          </cell>
          <cell r="N593">
            <v>339906</v>
          </cell>
          <cell r="O593">
            <v>0</v>
          </cell>
          <cell r="P593">
            <v>0</v>
          </cell>
          <cell r="Q593">
            <v>0</v>
          </cell>
          <cell r="R593">
            <v>339906</v>
          </cell>
          <cell r="S593">
            <v>0</v>
          </cell>
          <cell r="T593">
            <v>339906</v>
          </cell>
          <cell r="U593">
            <v>0</v>
          </cell>
          <cell r="V593">
            <v>339906</v>
          </cell>
          <cell r="W593">
            <v>339906</v>
          </cell>
          <cell r="X593">
            <v>0</v>
          </cell>
        </row>
        <row r="594">
          <cell r="B594">
            <v>514011156410</v>
          </cell>
          <cell r="C594" t="str">
            <v>PJU RW. I RT. III</v>
          </cell>
          <cell r="D594" t="str">
            <v>BURENGAN</v>
          </cell>
          <cell r="E594"/>
          <cell r="F594"/>
          <cell r="G594" t="str">
            <v>P3</v>
          </cell>
          <cell r="H594">
            <v>900</v>
          </cell>
          <cell r="I594" t="str">
            <v>202505</v>
          </cell>
          <cell r="J594" t="str">
            <v>027562</v>
          </cell>
          <cell r="K594">
            <v>133</v>
          </cell>
          <cell r="L594">
            <v>226037</v>
          </cell>
          <cell r="M594">
            <v>0</v>
          </cell>
          <cell r="N594">
            <v>226037</v>
          </cell>
          <cell r="O594">
            <v>0</v>
          </cell>
          <cell r="P594">
            <v>0</v>
          </cell>
          <cell r="Q594">
            <v>0</v>
          </cell>
          <cell r="R594">
            <v>226037</v>
          </cell>
          <cell r="S594">
            <v>0</v>
          </cell>
          <cell r="T594">
            <v>226037</v>
          </cell>
          <cell r="U594">
            <v>0</v>
          </cell>
          <cell r="V594">
            <v>226037</v>
          </cell>
          <cell r="W594">
            <v>226037</v>
          </cell>
          <cell r="X594">
            <v>0</v>
          </cell>
        </row>
        <row r="595">
          <cell r="B595">
            <v>514011247799</v>
          </cell>
          <cell r="C595" t="str">
            <v>PJU PRODAMAS RT25 RW 7</v>
          </cell>
          <cell r="D595" t="str">
            <v>BALOWERTI</v>
          </cell>
          <cell r="E595"/>
          <cell r="F595"/>
          <cell r="G595" t="str">
            <v>P3</v>
          </cell>
          <cell r="H595">
            <v>900</v>
          </cell>
          <cell r="I595" t="str">
            <v>202505</v>
          </cell>
          <cell r="J595" t="str">
            <v>048293</v>
          </cell>
          <cell r="K595">
            <v>237</v>
          </cell>
          <cell r="L595">
            <v>402789</v>
          </cell>
          <cell r="M595">
            <v>0</v>
          </cell>
          <cell r="N595">
            <v>402789</v>
          </cell>
          <cell r="O595">
            <v>0</v>
          </cell>
          <cell r="P595">
            <v>0</v>
          </cell>
          <cell r="Q595">
            <v>0</v>
          </cell>
          <cell r="R595">
            <v>402789</v>
          </cell>
          <cell r="S595">
            <v>0</v>
          </cell>
          <cell r="T595">
            <v>402789</v>
          </cell>
          <cell r="U595">
            <v>0</v>
          </cell>
          <cell r="V595">
            <v>402789</v>
          </cell>
          <cell r="W595">
            <v>402789</v>
          </cell>
          <cell r="X595">
            <v>0</v>
          </cell>
        </row>
        <row r="596">
          <cell r="B596">
            <v>514011248718</v>
          </cell>
          <cell r="C596" t="str">
            <v>PJU BURENGAN RT3 RW4</v>
          </cell>
          <cell r="D596" t="str">
            <v>BURENGAN</v>
          </cell>
          <cell r="E596"/>
          <cell r="F596"/>
          <cell r="G596" t="str">
            <v>P3</v>
          </cell>
          <cell r="H596">
            <v>900</v>
          </cell>
          <cell r="I596" t="str">
            <v>202505</v>
          </cell>
          <cell r="J596" t="str">
            <v>048705</v>
          </cell>
          <cell r="K596">
            <v>59</v>
          </cell>
          <cell r="L596">
            <v>100272</v>
          </cell>
          <cell r="M596">
            <v>0</v>
          </cell>
          <cell r="N596">
            <v>100272</v>
          </cell>
          <cell r="O596">
            <v>0</v>
          </cell>
          <cell r="P596">
            <v>0</v>
          </cell>
          <cell r="Q596">
            <v>0</v>
          </cell>
          <cell r="R596">
            <v>100272</v>
          </cell>
          <cell r="S596">
            <v>0</v>
          </cell>
          <cell r="T596">
            <v>100272</v>
          </cell>
          <cell r="U596">
            <v>0</v>
          </cell>
          <cell r="V596">
            <v>100272</v>
          </cell>
          <cell r="W596">
            <v>100272</v>
          </cell>
          <cell r="X596">
            <v>0</v>
          </cell>
        </row>
        <row r="597">
          <cell r="B597">
            <v>514011248726</v>
          </cell>
          <cell r="C597" t="str">
            <v>PJU BURENGAN RT2 RW6</v>
          </cell>
          <cell r="D597" t="str">
            <v>BURENGAN</v>
          </cell>
          <cell r="E597"/>
          <cell r="F597"/>
          <cell r="G597" t="str">
            <v>P3</v>
          </cell>
          <cell r="H597">
            <v>900</v>
          </cell>
          <cell r="I597" t="str">
            <v>202505</v>
          </cell>
          <cell r="J597" t="str">
            <v>048423</v>
          </cell>
          <cell r="K597">
            <v>87</v>
          </cell>
          <cell r="L597">
            <v>147859</v>
          </cell>
          <cell r="M597">
            <v>0</v>
          </cell>
          <cell r="N597">
            <v>147859</v>
          </cell>
          <cell r="O597">
            <v>0</v>
          </cell>
          <cell r="P597">
            <v>0</v>
          </cell>
          <cell r="Q597">
            <v>0</v>
          </cell>
          <cell r="R597">
            <v>147859</v>
          </cell>
          <cell r="S597">
            <v>0</v>
          </cell>
          <cell r="T597">
            <v>147859</v>
          </cell>
          <cell r="U597">
            <v>0</v>
          </cell>
          <cell r="V597">
            <v>147859</v>
          </cell>
          <cell r="W597">
            <v>147859</v>
          </cell>
          <cell r="X597">
            <v>0</v>
          </cell>
        </row>
        <row r="598">
          <cell r="B598">
            <v>514011248734</v>
          </cell>
          <cell r="C598" t="str">
            <v>PJU BURENGAN RT1 RW11</v>
          </cell>
          <cell r="D598" t="str">
            <v>BURENGAN</v>
          </cell>
          <cell r="E598"/>
          <cell r="F598"/>
          <cell r="G598" t="str">
            <v>P3</v>
          </cell>
          <cell r="H598">
            <v>900</v>
          </cell>
          <cell r="I598" t="str">
            <v>202505</v>
          </cell>
          <cell r="J598" t="str">
            <v>048488</v>
          </cell>
          <cell r="K598">
            <v>118</v>
          </cell>
          <cell r="L598">
            <v>200545</v>
          </cell>
          <cell r="M598">
            <v>0</v>
          </cell>
          <cell r="N598">
            <v>200545</v>
          </cell>
          <cell r="O598">
            <v>0</v>
          </cell>
          <cell r="P598">
            <v>0</v>
          </cell>
          <cell r="Q598">
            <v>0</v>
          </cell>
          <cell r="R598">
            <v>200545</v>
          </cell>
          <cell r="S598">
            <v>0</v>
          </cell>
          <cell r="T598">
            <v>200545</v>
          </cell>
          <cell r="U598">
            <v>0</v>
          </cell>
          <cell r="V598">
            <v>200545</v>
          </cell>
          <cell r="W598">
            <v>200545</v>
          </cell>
          <cell r="X598">
            <v>0</v>
          </cell>
        </row>
        <row r="599">
          <cell r="B599">
            <v>514011267939</v>
          </cell>
          <cell r="C599" t="str">
            <v>PJL JL TIMUR MAKAM</v>
          </cell>
          <cell r="D599" t="str">
            <v>KELURAHAN BURENGAN PESANTREN K</v>
          </cell>
          <cell r="E599"/>
          <cell r="F599"/>
          <cell r="G599" t="str">
            <v>P3</v>
          </cell>
          <cell r="H599">
            <v>1300</v>
          </cell>
          <cell r="I599" t="str">
            <v>202505</v>
          </cell>
          <cell r="J599" t="str">
            <v>048369</v>
          </cell>
          <cell r="K599">
            <v>233</v>
          </cell>
          <cell r="L599">
            <v>395990</v>
          </cell>
          <cell r="M599">
            <v>0</v>
          </cell>
          <cell r="N599">
            <v>395990</v>
          </cell>
          <cell r="O599">
            <v>0</v>
          </cell>
          <cell r="P599">
            <v>0</v>
          </cell>
          <cell r="Q599">
            <v>0</v>
          </cell>
          <cell r="R599">
            <v>395990</v>
          </cell>
          <cell r="S599">
            <v>0</v>
          </cell>
          <cell r="T599">
            <v>395990</v>
          </cell>
          <cell r="U599">
            <v>0</v>
          </cell>
          <cell r="V599">
            <v>395990</v>
          </cell>
          <cell r="W599">
            <v>395990</v>
          </cell>
          <cell r="X599">
            <v>0</v>
          </cell>
        </row>
        <row r="600">
          <cell r="B600">
            <v>514100727073</v>
          </cell>
          <cell r="C600" t="str">
            <v>PJU.PERUM REJOMULYO</v>
          </cell>
          <cell r="D600" t="str">
            <v>REJOMULYO</v>
          </cell>
          <cell r="E600"/>
          <cell r="F600"/>
          <cell r="G600" t="str">
            <v>P3</v>
          </cell>
          <cell r="H600">
            <v>2200</v>
          </cell>
          <cell r="I600" t="str">
            <v>202505</v>
          </cell>
          <cell r="J600" t="str">
            <v>048620</v>
          </cell>
          <cell r="K600">
            <v>404</v>
          </cell>
          <cell r="L600">
            <v>686610</v>
          </cell>
          <cell r="M600">
            <v>0</v>
          </cell>
          <cell r="N600">
            <v>686610</v>
          </cell>
          <cell r="O600">
            <v>0</v>
          </cell>
          <cell r="P600">
            <v>0</v>
          </cell>
          <cell r="Q600">
            <v>0</v>
          </cell>
          <cell r="R600">
            <v>686610</v>
          </cell>
          <cell r="S600">
            <v>0</v>
          </cell>
          <cell r="T600">
            <v>686610</v>
          </cell>
          <cell r="U600">
            <v>0</v>
          </cell>
          <cell r="V600">
            <v>686610</v>
          </cell>
          <cell r="W600">
            <v>686610</v>
          </cell>
          <cell r="X600">
            <v>0</v>
          </cell>
        </row>
        <row r="601">
          <cell r="B601">
            <v>514100733136</v>
          </cell>
          <cell r="C601" t="str">
            <v>PJU WISMA ASRI</v>
          </cell>
          <cell r="D601" t="str">
            <v>PERM WISMA ASRI</v>
          </cell>
          <cell r="E601"/>
          <cell r="F601"/>
          <cell r="G601" t="str">
            <v>P3</v>
          </cell>
          <cell r="H601">
            <v>5500</v>
          </cell>
          <cell r="I601" t="str">
            <v>202505</v>
          </cell>
          <cell r="J601" t="str">
            <v>048305</v>
          </cell>
          <cell r="K601">
            <v>1115</v>
          </cell>
          <cell r="L601">
            <v>1894976</v>
          </cell>
          <cell r="M601">
            <v>0</v>
          </cell>
          <cell r="N601">
            <v>1894976</v>
          </cell>
          <cell r="O601">
            <v>0</v>
          </cell>
          <cell r="P601">
            <v>0</v>
          </cell>
          <cell r="Q601">
            <v>0</v>
          </cell>
          <cell r="R601">
            <v>1894976</v>
          </cell>
          <cell r="S601">
            <v>0</v>
          </cell>
          <cell r="T601">
            <v>1894976</v>
          </cell>
          <cell r="U601">
            <v>0</v>
          </cell>
          <cell r="V601">
            <v>1894976</v>
          </cell>
          <cell r="W601">
            <v>1894976</v>
          </cell>
          <cell r="X601">
            <v>0</v>
          </cell>
        </row>
        <row r="602">
          <cell r="B602">
            <v>514100733144</v>
          </cell>
          <cell r="C602" t="str">
            <v>PJU PR.PERMATA BIRU</v>
          </cell>
          <cell r="D602" t="str">
            <v>PR PERMATA BIRU</v>
          </cell>
          <cell r="E602"/>
          <cell r="F602"/>
          <cell r="G602" t="str">
            <v>P3</v>
          </cell>
          <cell r="H602">
            <v>5500</v>
          </cell>
          <cell r="I602" t="str">
            <v>202505</v>
          </cell>
          <cell r="J602" t="str">
            <v>048640</v>
          </cell>
          <cell r="K602">
            <v>1025</v>
          </cell>
          <cell r="L602">
            <v>1742018</v>
          </cell>
          <cell r="M602">
            <v>0</v>
          </cell>
          <cell r="N602">
            <v>1742018</v>
          </cell>
          <cell r="O602">
            <v>0</v>
          </cell>
          <cell r="P602">
            <v>0</v>
          </cell>
          <cell r="Q602">
            <v>0</v>
          </cell>
          <cell r="R602">
            <v>1742018</v>
          </cell>
          <cell r="S602">
            <v>0</v>
          </cell>
          <cell r="T602">
            <v>1742018</v>
          </cell>
          <cell r="U602">
            <v>0</v>
          </cell>
          <cell r="V602">
            <v>1742018</v>
          </cell>
          <cell r="W602">
            <v>1742018</v>
          </cell>
          <cell r="X602">
            <v>0</v>
          </cell>
        </row>
        <row r="603">
          <cell r="B603">
            <v>514100733151</v>
          </cell>
          <cell r="C603" t="str">
            <v>PJU PR.PERM HIJAU UTARA</v>
          </cell>
          <cell r="D603" t="str">
            <v>PR PERMATA HIJAU</v>
          </cell>
          <cell r="E603"/>
          <cell r="F603"/>
          <cell r="G603" t="str">
            <v>P3</v>
          </cell>
          <cell r="H603">
            <v>2200</v>
          </cell>
          <cell r="I603" t="str">
            <v>202505</v>
          </cell>
          <cell r="J603" t="str">
            <v>048594</v>
          </cell>
          <cell r="K603">
            <v>397</v>
          </cell>
          <cell r="L603">
            <v>674713</v>
          </cell>
          <cell r="M603">
            <v>0</v>
          </cell>
          <cell r="N603">
            <v>674713</v>
          </cell>
          <cell r="O603">
            <v>0</v>
          </cell>
          <cell r="P603">
            <v>0</v>
          </cell>
          <cell r="Q603">
            <v>0</v>
          </cell>
          <cell r="R603">
            <v>674713</v>
          </cell>
          <cell r="S603">
            <v>0</v>
          </cell>
          <cell r="T603">
            <v>674713</v>
          </cell>
          <cell r="U603">
            <v>0</v>
          </cell>
          <cell r="V603">
            <v>674713</v>
          </cell>
          <cell r="W603">
            <v>674713</v>
          </cell>
          <cell r="X603">
            <v>0</v>
          </cell>
        </row>
        <row r="604">
          <cell r="B604">
            <v>514100733169</v>
          </cell>
          <cell r="C604" t="str">
            <v>PJU PR.BUMI ASRI SELATAN</v>
          </cell>
          <cell r="D604" t="str">
            <v>PR BUMI ASRI</v>
          </cell>
          <cell r="E604"/>
          <cell r="F604"/>
          <cell r="G604" t="str">
            <v>P3</v>
          </cell>
          <cell r="H604">
            <v>2200</v>
          </cell>
          <cell r="I604" t="str">
            <v>202505</v>
          </cell>
          <cell r="J604" t="str">
            <v>048517</v>
          </cell>
          <cell r="K604">
            <v>1045</v>
          </cell>
          <cell r="L604">
            <v>1776009</v>
          </cell>
          <cell r="M604">
            <v>0</v>
          </cell>
          <cell r="N604">
            <v>1776009</v>
          </cell>
          <cell r="O604">
            <v>0</v>
          </cell>
          <cell r="P604">
            <v>0</v>
          </cell>
          <cell r="Q604">
            <v>0</v>
          </cell>
          <cell r="R604">
            <v>1776009</v>
          </cell>
          <cell r="S604">
            <v>0</v>
          </cell>
          <cell r="T604">
            <v>1776009</v>
          </cell>
          <cell r="U604">
            <v>0</v>
          </cell>
          <cell r="V604">
            <v>1776009</v>
          </cell>
          <cell r="W604">
            <v>1776009</v>
          </cell>
          <cell r="X604">
            <v>0</v>
          </cell>
        </row>
        <row r="605">
          <cell r="B605">
            <v>514100733177</v>
          </cell>
          <cell r="C605" t="str">
            <v>PJU PR.PERM.HIJAU SELATAN</v>
          </cell>
          <cell r="D605" t="str">
            <v>PR PERMATA HIJAU</v>
          </cell>
          <cell r="E605"/>
          <cell r="F605"/>
          <cell r="G605" t="str">
            <v>P3</v>
          </cell>
          <cell r="H605">
            <v>3500</v>
          </cell>
          <cell r="I605" t="str">
            <v>202505</v>
          </cell>
          <cell r="J605" t="str">
            <v>048421</v>
          </cell>
          <cell r="K605">
            <v>676</v>
          </cell>
          <cell r="L605">
            <v>1148882</v>
          </cell>
          <cell r="M605">
            <v>0</v>
          </cell>
          <cell r="N605">
            <v>1148882</v>
          </cell>
          <cell r="O605">
            <v>0</v>
          </cell>
          <cell r="P605">
            <v>0</v>
          </cell>
          <cell r="Q605">
            <v>0</v>
          </cell>
          <cell r="R605">
            <v>1148882</v>
          </cell>
          <cell r="S605">
            <v>0</v>
          </cell>
          <cell r="T605">
            <v>1148882</v>
          </cell>
          <cell r="U605">
            <v>0</v>
          </cell>
          <cell r="V605">
            <v>1148882</v>
          </cell>
          <cell r="W605">
            <v>1148882</v>
          </cell>
          <cell r="X605">
            <v>0</v>
          </cell>
        </row>
        <row r="606">
          <cell r="B606">
            <v>514100733185</v>
          </cell>
          <cell r="C606" t="str">
            <v>PJU PR.BUMI ASRI UTARA</v>
          </cell>
          <cell r="D606" t="str">
            <v>PERM BUMI ASRI</v>
          </cell>
          <cell r="E606"/>
          <cell r="F606"/>
          <cell r="G606" t="str">
            <v>P3</v>
          </cell>
          <cell r="H606">
            <v>3500</v>
          </cell>
          <cell r="I606" t="str">
            <v>202505</v>
          </cell>
          <cell r="J606" t="str">
            <v>048555</v>
          </cell>
          <cell r="K606">
            <v>819</v>
          </cell>
          <cell r="L606">
            <v>1391915</v>
          </cell>
          <cell r="M606">
            <v>0</v>
          </cell>
          <cell r="N606">
            <v>1391915</v>
          </cell>
          <cell r="O606">
            <v>0</v>
          </cell>
          <cell r="P606">
            <v>0</v>
          </cell>
          <cell r="Q606">
            <v>0</v>
          </cell>
          <cell r="R606">
            <v>1391915</v>
          </cell>
          <cell r="S606">
            <v>0</v>
          </cell>
          <cell r="T606">
            <v>1391915</v>
          </cell>
          <cell r="U606">
            <v>0</v>
          </cell>
          <cell r="V606">
            <v>1391915</v>
          </cell>
          <cell r="W606">
            <v>1391915</v>
          </cell>
          <cell r="X606">
            <v>0</v>
          </cell>
        </row>
        <row r="607">
          <cell r="B607">
            <v>514100783873</v>
          </cell>
          <cell r="C607" t="str">
            <v>PJU PR. CAHAYA PUTRA BP</v>
          </cell>
          <cell r="D607" t="str">
            <v>BENCE</v>
          </cell>
          <cell r="E607"/>
          <cell r="F607"/>
          <cell r="G607" t="str">
            <v>P3</v>
          </cell>
          <cell r="H607">
            <v>3500</v>
          </cell>
          <cell r="I607" t="str">
            <v>202505</v>
          </cell>
          <cell r="J607" t="str">
            <v>048540</v>
          </cell>
          <cell r="K607">
            <v>614</v>
          </cell>
          <cell r="L607">
            <v>1043511</v>
          </cell>
          <cell r="M607">
            <v>0</v>
          </cell>
          <cell r="N607">
            <v>1043511</v>
          </cell>
          <cell r="O607">
            <v>0</v>
          </cell>
          <cell r="P607">
            <v>0</v>
          </cell>
          <cell r="Q607">
            <v>0</v>
          </cell>
          <cell r="R607">
            <v>1043511</v>
          </cell>
          <cell r="S607">
            <v>0</v>
          </cell>
          <cell r="T607">
            <v>1043511</v>
          </cell>
          <cell r="U607">
            <v>0</v>
          </cell>
          <cell r="V607">
            <v>1043511</v>
          </cell>
          <cell r="W607">
            <v>1043511</v>
          </cell>
          <cell r="X607">
            <v>0</v>
          </cell>
        </row>
        <row r="608">
          <cell r="B608">
            <v>514100826938</v>
          </cell>
          <cell r="C608" t="str">
            <v>PJU PR COREKAN PERMAI</v>
          </cell>
          <cell r="D608" t="str">
            <v>COREKAN PERMAI</v>
          </cell>
          <cell r="E608"/>
          <cell r="F608"/>
          <cell r="G608" t="str">
            <v>P3</v>
          </cell>
          <cell r="H608">
            <v>1300</v>
          </cell>
          <cell r="I608" t="str">
            <v>202505</v>
          </cell>
          <cell r="J608" t="str">
            <v>048722</v>
          </cell>
          <cell r="K608">
            <v>488</v>
          </cell>
          <cell r="L608">
            <v>829371</v>
          </cell>
          <cell r="M608">
            <v>0</v>
          </cell>
          <cell r="N608">
            <v>829371</v>
          </cell>
          <cell r="O608">
            <v>0</v>
          </cell>
          <cell r="P608">
            <v>0</v>
          </cell>
          <cell r="Q608">
            <v>0</v>
          </cell>
          <cell r="R608">
            <v>829371</v>
          </cell>
          <cell r="S608">
            <v>0</v>
          </cell>
          <cell r="T608">
            <v>829371</v>
          </cell>
          <cell r="U608">
            <v>0</v>
          </cell>
          <cell r="V608">
            <v>829371</v>
          </cell>
          <cell r="W608">
            <v>829371</v>
          </cell>
          <cell r="X608">
            <v>0</v>
          </cell>
        </row>
        <row r="609">
          <cell r="B609">
            <v>514100979476</v>
          </cell>
          <cell r="C609" t="str">
            <v>PJU PR GRIYA BANARAN IND</v>
          </cell>
          <cell r="D609" t="str">
            <v>GRIYA BANARAN INDAH</v>
          </cell>
          <cell r="E609"/>
          <cell r="F609"/>
          <cell r="G609" t="str">
            <v>P3</v>
          </cell>
          <cell r="H609">
            <v>1300</v>
          </cell>
          <cell r="I609" t="str">
            <v>202505</v>
          </cell>
          <cell r="J609" t="str">
            <v>048274</v>
          </cell>
          <cell r="K609">
            <v>488</v>
          </cell>
          <cell r="L609">
            <v>829371</v>
          </cell>
          <cell r="M609">
            <v>0</v>
          </cell>
          <cell r="N609">
            <v>829371</v>
          </cell>
          <cell r="O609">
            <v>0</v>
          </cell>
          <cell r="P609">
            <v>0</v>
          </cell>
          <cell r="Q609">
            <v>0</v>
          </cell>
          <cell r="R609">
            <v>829371</v>
          </cell>
          <cell r="S609">
            <v>0</v>
          </cell>
          <cell r="T609">
            <v>829371</v>
          </cell>
          <cell r="U609">
            <v>0</v>
          </cell>
          <cell r="V609">
            <v>829371</v>
          </cell>
          <cell r="W609">
            <v>829371</v>
          </cell>
          <cell r="X609">
            <v>0</v>
          </cell>
        </row>
        <row r="610">
          <cell r="B610">
            <v>514101012758</v>
          </cell>
          <cell r="C610" t="str">
            <v>PJU PURI PANJALU PERMAI</v>
          </cell>
          <cell r="D610" t="str">
            <v>BETET</v>
          </cell>
          <cell r="E610"/>
          <cell r="F610"/>
          <cell r="G610" t="str">
            <v>P3</v>
          </cell>
          <cell r="H610">
            <v>2200</v>
          </cell>
          <cell r="I610" t="str">
            <v>202505</v>
          </cell>
          <cell r="J610" t="str">
            <v>048440</v>
          </cell>
          <cell r="K610">
            <v>825</v>
          </cell>
          <cell r="L610">
            <v>1402112</v>
          </cell>
          <cell r="M610">
            <v>0</v>
          </cell>
          <cell r="N610">
            <v>1402112</v>
          </cell>
          <cell r="O610">
            <v>0</v>
          </cell>
          <cell r="P610">
            <v>0</v>
          </cell>
          <cell r="Q610">
            <v>0</v>
          </cell>
          <cell r="R610">
            <v>1402112</v>
          </cell>
          <cell r="S610">
            <v>0</v>
          </cell>
          <cell r="T610">
            <v>1402112</v>
          </cell>
          <cell r="U610">
            <v>0</v>
          </cell>
          <cell r="V610">
            <v>1402112</v>
          </cell>
          <cell r="W610">
            <v>1402112</v>
          </cell>
          <cell r="X610">
            <v>0</v>
          </cell>
        </row>
        <row r="611">
          <cell r="B611">
            <v>514101037447</v>
          </cell>
          <cell r="C611" t="str">
            <v>PJU LINGK TIRTOUDAN</v>
          </cell>
          <cell r="D611" t="str">
            <v>TIRTOUDAN</v>
          </cell>
          <cell r="E611"/>
          <cell r="F611"/>
          <cell r="G611" t="str">
            <v>P3</v>
          </cell>
          <cell r="H611">
            <v>900</v>
          </cell>
          <cell r="I611" t="str">
            <v>202505</v>
          </cell>
          <cell r="J611" t="str">
            <v>015735</v>
          </cell>
          <cell r="K611">
            <v>136</v>
          </cell>
          <cell r="L611">
            <v>231136</v>
          </cell>
          <cell r="M611">
            <v>0</v>
          </cell>
          <cell r="N611">
            <v>231136</v>
          </cell>
          <cell r="O611">
            <v>0</v>
          </cell>
          <cell r="P611">
            <v>0</v>
          </cell>
          <cell r="Q611">
            <v>0</v>
          </cell>
          <cell r="R611">
            <v>231136</v>
          </cell>
          <cell r="S611">
            <v>0</v>
          </cell>
          <cell r="T611">
            <v>231136</v>
          </cell>
          <cell r="U611">
            <v>0</v>
          </cell>
          <cell r="V611">
            <v>231136</v>
          </cell>
          <cell r="W611">
            <v>231136</v>
          </cell>
          <cell r="X611">
            <v>0</v>
          </cell>
        </row>
        <row r="612">
          <cell r="B612">
            <v>514101053382</v>
          </cell>
          <cell r="C612" t="str">
            <v>PJU JL. PINANG GG. PAKIS</v>
          </cell>
          <cell r="D612" t="str">
            <v>PINANG GG,PAKIS BULUREJO</v>
          </cell>
          <cell r="E612"/>
          <cell r="F612"/>
          <cell r="G612" t="str">
            <v>P3</v>
          </cell>
          <cell r="H612">
            <v>4400</v>
          </cell>
          <cell r="I612" t="str">
            <v>202505</v>
          </cell>
          <cell r="J612" t="str">
            <v>048341</v>
          </cell>
          <cell r="K612">
            <v>783</v>
          </cell>
          <cell r="L612">
            <v>1330732</v>
          </cell>
          <cell r="M612">
            <v>0</v>
          </cell>
          <cell r="N612">
            <v>1330732</v>
          </cell>
          <cell r="O612">
            <v>0</v>
          </cell>
          <cell r="P612">
            <v>0</v>
          </cell>
          <cell r="Q612">
            <v>0</v>
          </cell>
          <cell r="R612">
            <v>1330732</v>
          </cell>
          <cell r="S612">
            <v>0</v>
          </cell>
          <cell r="T612">
            <v>1330732</v>
          </cell>
          <cell r="U612">
            <v>0</v>
          </cell>
          <cell r="V612">
            <v>1330732</v>
          </cell>
          <cell r="W612">
            <v>1330732</v>
          </cell>
          <cell r="X612">
            <v>0</v>
          </cell>
        </row>
        <row r="613">
          <cell r="B613">
            <v>514101053452</v>
          </cell>
          <cell r="C613" t="str">
            <v>PJU JL. SUNAN AMPEL GG 2</v>
          </cell>
          <cell r="D613" t="str">
            <v>SUNAN AMPEL</v>
          </cell>
          <cell r="E613"/>
          <cell r="F613"/>
          <cell r="G613" t="str">
            <v>P3</v>
          </cell>
          <cell r="H613">
            <v>900</v>
          </cell>
          <cell r="I613" t="str">
            <v>202505</v>
          </cell>
          <cell r="J613" t="str">
            <v>048420</v>
          </cell>
          <cell r="K613">
            <v>489</v>
          </cell>
          <cell r="L613">
            <v>831070</v>
          </cell>
          <cell r="M613">
            <v>0</v>
          </cell>
          <cell r="N613">
            <v>831070</v>
          </cell>
          <cell r="O613">
            <v>0</v>
          </cell>
          <cell r="P613">
            <v>0</v>
          </cell>
          <cell r="Q613">
            <v>0</v>
          </cell>
          <cell r="R613">
            <v>831070</v>
          </cell>
          <cell r="S613">
            <v>0</v>
          </cell>
          <cell r="T613">
            <v>831070</v>
          </cell>
          <cell r="U613">
            <v>0</v>
          </cell>
          <cell r="V613">
            <v>831070</v>
          </cell>
          <cell r="W613">
            <v>831070</v>
          </cell>
          <cell r="X613">
            <v>0</v>
          </cell>
        </row>
        <row r="614">
          <cell r="B614">
            <v>514101053460</v>
          </cell>
          <cell r="C614" t="str">
            <v>PJU JL. JEGLES GG.SELATAN</v>
          </cell>
          <cell r="D614" t="str">
            <v>JEGLES GG.SELATAN I</v>
          </cell>
          <cell r="E614"/>
          <cell r="F614"/>
          <cell r="G614" t="str">
            <v>P3</v>
          </cell>
          <cell r="H614">
            <v>2200</v>
          </cell>
          <cell r="I614" t="str">
            <v>202505</v>
          </cell>
          <cell r="J614" t="str">
            <v>048411</v>
          </cell>
          <cell r="K614">
            <v>776</v>
          </cell>
          <cell r="L614">
            <v>1318835</v>
          </cell>
          <cell r="M614">
            <v>0</v>
          </cell>
          <cell r="N614">
            <v>1318835</v>
          </cell>
          <cell r="O614">
            <v>0</v>
          </cell>
          <cell r="P614">
            <v>0</v>
          </cell>
          <cell r="Q614">
            <v>0</v>
          </cell>
          <cell r="R614">
            <v>1318835</v>
          </cell>
          <cell r="S614">
            <v>0</v>
          </cell>
          <cell r="T614">
            <v>1318835</v>
          </cell>
          <cell r="U614">
            <v>0</v>
          </cell>
          <cell r="V614">
            <v>1318835</v>
          </cell>
          <cell r="W614">
            <v>1318835</v>
          </cell>
          <cell r="X614">
            <v>0</v>
          </cell>
        </row>
        <row r="615">
          <cell r="B615">
            <v>514101053478</v>
          </cell>
          <cell r="C615" t="str">
            <v>PJU JL. SUNAN DRAJAD GG.1</v>
          </cell>
          <cell r="D615" t="str">
            <v>SUNAN DRAJAD</v>
          </cell>
          <cell r="E615"/>
          <cell r="F615"/>
          <cell r="G615" t="str">
            <v>P3</v>
          </cell>
          <cell r="H615">
            <v>900</v>
          </cell>
          <cell r="I615" t="str">
            <v>202505</v>
          </cell>
          <cell r="J615" t="str">
            <v>048322</v>
          </cell>
          <cell r="K615">
            <v>214</v>
          </cell>
          <cell r="L615">
            <v>363699</v>
          </cell>
          <cell r="M615">
            <v>0</v>
          </cell>
          <cell r="N615">
            <v>363699</v>
          </cell>
          <cell r="O615">
            <v>0</v>
          </cell>
          <cell r="P615">
            <v>0</v>
          </cell>
          <cell r="Q615">
            <v>0</v>
          </cell>
          <cell r="R615">
            <v>363699</v>
          </cell>
          <cell r="S615">
            <v>0</v>
          </cell>
          <cell r="T615">
            <v>363699</v>
          </cell>
          <cell r="U615">
            <v>0</v>
          </cell>
          <cell r="V615">
            <v>363699</v>
          </cell>
          <cell r="W615">
            <v>363699</v>
          </cell>
          <cell r="X615">
            <v>0</v>
          </cell>
        </row>
        <row r="616">
          <cell r="B616">
            <v>514101053486</v>
          </cell>
          <cell r="C616" t="str">
            <v>PJU JL.PALNANG MERAH</v>
          </cell>
          <cell r="D616" t="str">
            <v>PALANG MERAH GG.SAWAH</v>
          </cell>
          <cell r="E616"/>
          <cell r="F616"/>
          <cell r="G616" t="str">
            <v>P3</v>
          </cell>
          <cell r="H616">
            <v>1300</v>
          </cell>
          <cell r="I616" t="str">
            <v>202505</v>
          </cell>
          <cell r="J616" t="str">
            <v>048709</v>
          </cell>
          <cell r="K616">
            <v>59</v>
          </cell>
          <cell r="L616">
            <v>100272</v>
          </cell>
          <cell r="M616">
            <v>0</v>
          </cell>
          <cell r="N616">
            <v>100272</v>
          </cell>
          <cell r="O616">
            <v>0</v>
          </cell>
          <cell r="P616">
            <v>0</v>
          </cell>
          <cell r="Q616">
            <v>0</v>
          </cell>
          <cell r="R616">
            <v>100272</v>
          </cell>
          <cell r="S616">
            <v>0</v>
          </cell>
          <cell r="T616">
            <v>100272</v>
          </cell>
          <cell r="U616">
            <v>0</v>
          </cell>
          <cell r="V616">
            <v>100272</v>
          </cell>
          <cell r="W616">
            <v>100272</v>
          </cell>
          <cell r="X616">
            <v>0</v>
          </cell>
        </row>
        <row r="617">
          <cell r="B617">
            <v>514101072234</v>
          </cell>
          <cell r="C617" t="str">
            <v>POS SATPAM</v>
          </cell>
          <cell r="D617" t="str">
            <v>FIRDAUS PARK REGENCY</v>
          </cell>
          <cell r="E617"/>
          <cell r="F617"/>
          <cell r="G617" t="str">
            <v>P3</v>
          </cell>
          <cell r="H617">
            <v>1300</v>
          </cell>
          <cell r="I617" t="str">
            <v>202505</v>
          </cell>
          <cell r="J617" t="str">
            <v>007129</v>
          </cell>
          <cell r="K617">
            <v>227</v>
          </cell>
          <cell r="L617">
            <v>385793</v>
          </cell>
          <cell r="M617">
            <v>0</v>
          </cell>
          <cell r="N617">
            <v>385793</v>
          </cell>
          <cell r="O617">
            <v>0</v>
          </cell>
          <cell r="P617">
            <v>0</v>
          </cell>
          <cell r="Q617">
            <v>0</v>
          </cell>
          <cell r="R617">
            <v>385793</v>
          </cell>
          <cell r="S617">
            <v>0</v>
          </cell>
          <cell r="T617">
            <v>385793</v>
          </cell>
          <cell r="U617">
            <v>0</v>
          </cell>
          <cell r="V617">
            <v>385793</v>
          </cell>
          <cell r="W617">
            <v>385793</v>
          </cell>
          <cell r="X617">
            <v>0</v>
          </cell>
        </row>
        <row r="618">
          <cell r="B618">
            <v>514101080062</v>
          </cell>
          <cell r="C618" t="str">
            <v>MAKAM SETONOGEDONG</v>
          </cell>
          <cell r="D618" t="str">
            <v>MAKAM SETONOGEDONG KEDIRI</v>
          </cell>
          <cell r="E618"/>
          <cell r="F618"/>
          <cell r="G618" t="str">
            <v>S1</v>
          </cell>
          <cell r="H618">
            <v>900</v>
          </cell>
          <cell r="I618" t="str">
            <v>202505</v>
          </cell>
          <cell r="J618" t="str">
            <v>062772</v>
          </cell>
          <cell r="K618">
            <v>225</v>
          </cell>
          <cell r="L618">
            <v>88700</v>
          </cell>
          <cell r="M618">
            <v>0</v>
          </cell>
          <cell r="N618">
            <v>88700</v>
          </cell>
          <cell r="O618">
            <v>0</v>
          </cell>
          <cell r="P618">
            <v>0</v>
          </cell>
          <cell r="Q618">
            <v>0</v>
          </cell>
          <cell r="R618">
            <v>88700</v>
          </cell>
          <cell r="S618">
            <v>0</v>
          </cell>
          <cell r="T618">
            <v>88700</v>
          </cell>
          <cell r="U618">
            <v>0</v>
          </cell>
          <cell r="V618">
            <v>88700</v>
          </cell>
          <cell r="W618">
            <v>88700</v>
          </cell>
          <cell r="X618">
            <v>0</v>
          </cell>
        </row>
        <row r="619">
          <cell r="B619">
            <v>514101113289</v>
          </cell>
          <cell r="C619" t="str">
            <v>PJU RT 10/7</v>
          </cell>
          <cell r="D619" t="str">
            <v>ANGGREK GG1 PERUMNAS</v>
          </cell>
          <cell r="E619"/>
          <cell r="F619"/>
          <cell r="G619" t="str">
            <v>P3</v>
          </cell>
          <cell r="H619">
            <v>1300</v>
          </cell>
          <cell r="I619" t="str">
            <v>202505</v>
          </cell>
          <cell r="J619" t="str">
            <v>000822</v>
          </cell>
          <cell r="K619">
            <v>329</v>
          </cell>
          <cell r="L619">
            <v>559145</v>
          </cell>
          <cell r="M619">
            <v>0</v>
          </cell>
          <cell r="N619">
            <v>559145</v>
          </cell>
          <cell r="O619">
            <v>0</v>
          </cell>
          <cell r="P619">
            <v>0</v>
          </cell>
          <cell r="Q619">
            <v>0</v>
          </cell>
          <cell r="R619">
            <v>559145</v>
          </cell>
          <cell r="S619">
            <v>0</v>
          </cell>
          <cell r="T619">
            <v>559145</v>
          </cell>
          <cell r="U619">
            <v>0</v>
          </cell>
          <cell r="V619">
            <v>559145</v>
          </cell>
          <cell r="W619">
            <v>559145</v>
          </cell>
          <cell r="X619">
            <v>0</v>
          </cell>
        </row>
        <row r="620">
          <cell r="B620">
            <v>514101117297</v>
          </cell>
          <cell r="C620" t="str">
            <v>PJU LINGK PREMANAN</v>
          </cell>
          <cell r="D620" t="str">
            <v>PESANTREN</v>
          </cell>
          <cell r="E620"/>
          <cell r="F620"/>
          <cell r="G620" t="str">
            <v>P3</v>
          </cell>
          <cell r="H620">
            <v>3500</v>
          </cell>
          <cell r="I620" t="str">
            <v>202505</v>
          </cell>
          <cell r="J620" t="str">
            <v>048734</v>
          </cell>
          <cell r="K620">
            <v>781</v>
          </cell>
          <cell r="L620">
            <v>1327333</v>
          </cell>
          <cell r="M620">
            <v>0</v>
          </cell>
          <cell r="N620">
            <v>1327333</v>
          </cell>
          <cell r="O620">
            <v>0</v>
          </cell>
          <cell r="P620">
            <v>0</v>
          </cell>
          <cell r="Q620">
            <v>0</v>
          </cell>
          <cell r="R620">
            <v>1327333</v>
          </cell>
          <cell r="S620">
            <v>0</v>
          </cell>
          <cell r="T620">
            <v>1327333</v>
          </cell>
          <cell r="U620">
            <v>0</v>
          </cell>
          <cell r="V620">
            <v>1327333</v>
          </cell>
          <cell r="W620">
            <v>1327333</v>
          </cell>
          <cell r="X620">
            <v>0</v>
          </cell>
        </row>
        <row r="621">
          <cell r="B621">
            <v>514101128463</v>
          </cell>
          <cell r="C621" t="str">
            <v>PJU JL KELAPA</v>
          </cell>
          <cell r="D621" t="str">
            <v>DANDER</v>
          </cell>
          <cell r="E621"/>
          <cell r="F621"/>
          <cell r="G621" t="str">
            <v>P3</v>
          </cell>
          <cell r="H621">
            <v>1300</v>
          </cell>
          <cell r="I621" t="str">
            <v>202505</v>
          </cell>
          <cell r="J621" t="str">
            <v>048024</v>
          </cell>
          <cell r="K621">
            <v>428</v>
          </cell>
          <cell r="L621">
            <v>727399</v>
          </cell>
          <cell r="M621">
            <v>0</v>
          </cell>
          <cell r="N621">
            <v>727399</v>
          </cell>
          <cell r="O621">
            <v>0</v>
          </cell>
          <cell r="P621">
            <v>0</v>
          </cell>
          <cell r="Q621">
            <v>0</v>
          </cell>
          <cell r="R621">
            <v>727399</v>
          </cell>
          <cell r="S621">
            <v>0</v>
          </cell>
          <cell r="T621">
            <v>727399</v>
          </cell>
          <cell r="U621">
            <v>0</v>
          </cell>
          <cell r="V621">
            <v>727399</v>
          </cell>
          <cell r="W621">
            <v>727399</v>
          </cell>
          <cell r="X621">
            <v>0</v>
          </cell>
        </row>
        <row r="622">
          <cell r="B622">
            <v>514101128471</v>
          </cell>
          <cell r="C622" t="str">
            <v>PJU JL.KELAPA RT4RW4</v>
          </cell>
          <cell r="D622" t="str">
            <v>DANDER</v>
          </cell>
          <cell r="E622"/>
          <cell r="F622"/>
          <cell r="G622" t="str">
            <v>P3</v>
          </cell>
          <cell r="H622">
            <v>1300</v>
          </cell>
          <cell r="I622" t="str">
            <v>202505</v>
          </cell>
          <cell r="J622" t="str">
            <v>058047</v>
          </cell>
          <cell r="K622">
            <v>185</v>
          </cell>
          <cell r="L622">
            <v>314413</v>
          </cell>
          <cell r="M622">
            <v>0</v>
          </cell>
          <cell r="N622">
            <v>314413</v>
          </cell>
          <cell r="O622">
            <v>0</v>
          </cell>
          <cell r="P622">
            <v>0</v>
          </cell>
          <cell r="Q622">
            <v>0</v>
          </cell>
          <cell r="R622">
            <v>314413</v>
          </cell>
          <cell r="S622">
            <v>0</v>
          </cell>
          <cell r="T622">
            <v>314413</v>
          </cell>
          <cell r="U622">
            <v>0</v>
          </cell>
          <cell r="V622">
            <v>314413</v>
          </cell>
          <cell r="W622">
            <v>314413</v>
          </cell>
          <cell r="X622">
            <v>0</v>
          </cell>
        </row>
        <row r="623">
          <cell r="B623">
            <v>514101129822</v>
          </cell>
          <cell r="C623" t="str">
            <v>PJU DS. SINGONEGARAN</v>
          </cell>
          <cell r="D623" t="str">
            <v>SINGONEGARAN</v>
          </cell>
          <cell r="E623"/>
          <cell r="F623"/>
          <cell r="G623" t="str">
            <v>P3</v>
          </cell>
          <cell r="H623">
            <v>900</v>
          </cell>
          <cell r="I623" t="str">
            <v>202505</v>
          </cell>
          <cell r="J623" t="str">
            <v>048724</v>
          </cell>
          <cell r="K623">
            <v>162</v>
          </cell>
          <cell r="L623">
            <v>275324</v>
          </cell>
          <cell r="M623">
            <v>0</v>
          </cell>
          <cell r="N623">
            <v>275324</v>
          </cell>
          <cell r="O623">
            <v>0</v>
          </cell>
          <cell r="P623">
            <v>0</v>
          </cell>
          <cell r="Q623">
            <v>0</v>
          </cell>
          <cell r="R623">
            <v>275324</v>
          </cell>
          <cell r="S623">
            <v>0</v>
          </cell>
          <cell r="T623">
            <v>275324</v>
          </cell>
          <cell r="U623">
            <v>0</v>
          </cell>
          <cell r="V623">
            <v>275324</v>
          </cell>
          <cell r="W623">
            <v>275324</v>
          </cell>
          <cell r="X623">
            <v>0</v>
          </cell>
        </row>
        <row r="624">
          <cell r="B624">
            <v>514101130982</v>
          </cell>
          <cell r="C624" t="str">
            <v>PJU KP DALEM RT.2RW.2</v>
          </cell>
          <cell r="D624" t="str">
            <v>KAMPUNG DALEM</v>
          </cell>
          <cell r="E624"/>
          <cell r="F624"/>
          <cell r="G624" t="str">
            <v>P3</v>
          </cell>
          <cell r="H624">
            <v>900</v>
          </cell>
          <cell r="I624" t="str">
            <v>202505</v>
          </cell>
          <cell r="J624" t="str">
            <v>054814</v>
          </cell>
          <cell r="K624">
            <v>206</v>
          </cell>
          <cell r="L624">
            <v>350103</v>
          </cell>
          <cell r="M624">
            <v>0</v>
          </cell>
          <cell r="N624">
            <v>350103</v>
          </cell>
          <cell r="O624">
            <v>0</v>
          </cell>
          <cell r="P624">
            <v>0</v>
          </cell>
          <cell r="Q624">
            <v>0</v>
          </cell>
          <cell r="R624">
            <v>350103</v>
          </cell>
          <cell r="S624">
            <v>0</v>
          </cell>
          <cell r="T624">
            <v>350103</v>
          </cell>
          <cell r="U624">
            <v>0</v>
          </cell>
          <cell r="V624">
            <v>350103</v>
          </cell>
          <cell r="W624">
            <v>350103</v>
          </cell>
          <cell r="X624">
            <v>0</v>
          </cell>
        </row>
        <row r="625">
          <cell r="B625">
            <v>514101130990</v>
          </cell>
          <cell r="C625" t="str">
            <v>PJU KP.DALEM RT.1 RW.2</v>
          </cell>
          <cell r="D625" t="str">
            <v>KAMPUNG DALEM</v>
          </cell>
          <cell r="E625"/>
          <cell r="F625"/>
          <cell r="G625" t="str">
            <v>P3</v>
          </cell>
          <cell r="H625">
            <v>900</v>
          </cell>
          <cell r="I625" t="str">
            <v>202505</v>
          </cell>
          <cell r="J625" t="str">
            <v>055115</v>
          </cell>
          <cell r="K625">
            <v>128</v>
          </cell>
          <cell r="L625">
            <v>217540</v>
          </cell>
          <cell r="M625">
            <v>0</v>
          </cell>
          <cell r="N625">
            <v>217540</v>
          </cell>
          <cell r="O625">
            <v>0</v>
          </cell>
          <cell r="P625">
            <v>0</v>
          </cell>
          <cell r="Q625">
            <v>0</v>
          </cell>
          <cell r="R625">
            <v>217540</v>
          </cell>
          <cell r="S625">
            <v>0</v>
          </cell>
          <cell r="T625">
            <v>217540</v>
          </cell>
          <cell r="U625">
            <v>0</v>
          </cell>
          <cell r="V625">
            <v>217540</v>
          </cell>
          <cell r="W625">
            <v>217540</v>
          </cell>
          <cell r="X625">
            <v>0</v>
          </cell>
        </row>
        <row r="626">
          <cell r="B626">
            <v>514101133445</v>
          </cell>
          <cell r="C626" t="str">
            <v>PJU RW 02 PESANTREN</v>
          </cell>
          <cell r="D626" t="str">
            <v>PESANTREN</v>
          </cell>
          <cell r="E626"/>
          <cell r="F626"/>
          <cell r="G626" t="str">
            <v>P3</v>
          </cell>
          <cell r="H626">
            <v>900</v>
          </cell>
          <cell r="I626" t="str">
            <v>202505</v>
          </cell>
          <cell r="J626" t="str">
            <v>029900</v>
          </cell>
          <cell r="K626">
            <v>178</v>
          </cell>
          <cell r="L626">
            <v>302516</v>
          </cell>
          <cell r="M626">
            <v>0</v>
          </cell>
          <cell r="N626">
            <v>302516</v>
          </cell>
          <cell r="O626">
            <v>0</v>
          </cell>
          <cell r="P626">
            <v>0</v>
          </cell>
          <cell r="Q626">
            <v>0</v>
          </cell>
          <cell r="R626">
            <v>302516</v>
          </cell>
          <cell r="S626">
            <v>0</v>
          </cell>
          <cell r="T626">
            <v>302516</v>
          </cell>
          <cell r="U626">
            <v>0</v>
          </cell>
          <cell r="V626">
            <v>302516</v>
          </cell>
          <cell r="W626">
            <v>302516</v>
          </cell>
          <cell r="X626">
            <v>0</v>
          </cell>
        </row>
        <row r="627">
          <cell r="B627">
            <v>514101133452</v>
          </cell>
          <cell r="C627" t="str">
            <v>PJU RW 1 PESANTREN</v>
          </cell>
          <cell r="D627" t="str">
            <v>PESANTREN</v>
          </cell>
          <cell r="E627"/>
          <cell r="F627"/>
          <cell r="G627" t="str">
            <v>P3</v>
          </cell>
          <cell r="H627">
            <v>900</v>
          </cell>
          <cell r="I627" t="str">
            <v>202505</v>
          </cell>
          <cell r="J627" t="str">
            <v>001805</v>
          </cell>
          <cell r="K627">
            <v>193</v>
          </cell>
          <cell r="L627">
            <v>328009</v>
          </cell>
          <cell r="M627">
            <v>0</v>
          </cell>
          <cell r="N627">
            <v>328009</v>
          </cell>
          <cell r="O627">
            <v>0</v>
          </cell>
          <cell r="P627">
            <v>0</v>
          </cell>
          <cell r="Q627">
            <v>0</v>
          </cell>
          <cell r="R627">
            <v>328009</v>
          </cell>
          <cell r="S627">
            <v>0</v>
          </cell>
          <cell r="T627">
            <v>328009</v>
          </cell>
          <cell r="U627">
            <v>0</v>
          </cell>
          <cell r="V627">
            <v>328009</v>
          </cell>
          <cell r="W627">
            <v>328009</v>
          </cell>
          <cell r="X627">
            <v>0</v>
          </cell>
        </row>
        <row r="628">
          <cell r="B628">
            <v>514101133884</v>
          </cell>
          <cell r="C628" t="str">
            <v>PJU PRODAMAS RT 12 RW 7</v>
          </cell>
          <cell r="D628" t="str">
            <v>ANGGREK PERUMNAS</v>
          </cell>
          <cell r="E628"/>
          <cell r="F628"/>
          <cell r="G628" t="str">
            <v>P3</v>
          </cell>
          <cell r="H628">
            <v>900</v>
          </cell>
          <cell r="I628" t="str">
            <v>202505</v>
          </cell>
          <cell r="J628" t="str">
            <v>003566</v>
          </cell>
          <cell r="K628">
            <v>136</v>
          </cell>
          <cell r="L628">
            <v>231136</v>
          </cell>
          <cell r="M628">
            <v>0</v>
          </cell>
          <cell r="N628">
            <v>231136</v>
          </cell>
          <cell r="O628">
            <v>0</v>
          </cell>
          <cell r="P628">
            <v>0</v>
          </cell>
          <cell r="Q628">
            <v>0</v>
          </cell>
          <cell r="R628">
            <v>231136</v>
          </cell>
          <cell r="S628">
            <v>0</v>
          </cell>
          <cell r="T628">
            <v>231136</v>
          </cell>
          <cell r="U628">
            <v>0</v>
          </cell>
          <cell r="V628">
            <v>231136</v>
          </cell>
          <cell r="W628">
            <v>231136</v>
          </cell>
          <cell r="X628">
            <v>0</v>
          </cell>
        </row>
        <row r="629">
          <cell r="B629">
            <v>514101136243</v>
          </cell>
          <cell r="C629" t="str">
            <v>PJU PRODAMAS RT.04 RW.02</v>
          </cell>
          <cell r="D629" t="str">
            <v>BETET</v>
          </cell>
          <cell r="E629"/>
          <cell r="F629"/>
          <cell r="G629" t="str">
            <v>P3</v>
          </cell>
          <cell r="H629">
            <v>1300</v>
          </cell>
          <cell r="I629" t="str">
            <v>202505</v>
          </cell>
          <cell r="J629" t="str">
            <v>006087</v>
          </cell>
          <cell r="K629">
            <v>451</v>
          </cell>
          <cell r="L629">
            <v>766488</v>
          </cell>
          <cell r="M629">
            <v>0</v>
          </cell>
          <cell r="N629">
            <v>766488</v>
          </cell>
          <cell r="O629">
            <v>0</v>
          </cell>
          <cell r="P629">
            <v>0</v>
          </cell>
          <cell r="Q629">
            <v>0</v>
          </cell>
          <cell r="R629">
            <v>766488</v>
          </cell>
          <cell r="S629">
            <v>0</v>
          </cell>
          <cell r="T629">
            <v>766488</v>
          </cell>
          <cell r="U629">
            <v>0</v>
          </cell>
          <cell r="V629">
            <v>766488</v>
          </cell>
          <cell r="W629">
            <v>766488</v>
          </cell>
          <cell r="X629">
            <v>0</v>
          </cell>
        </row>
        <row r="630">
          <cell r="B630">
            <v>514101136250</v>
          </cell>
          <cell r="C630" t="str">
            <v>PJU PRODAMAS RT.06 RW.02</v>
          </cell>
          <cell r="D630" t="str">
            <v>BETET</v>
          </cell>
          <cell r="E630"/>
          <cell r="F630"/>
          <cell r="G630" t="str">
            <v>P3</v>
          </cell>
          <cell r="H630">
            <v>1300</v>
          </cell>
          <cell r="I630" t="str">
            <v>202505</v>
          </cell>
          <cell r="J630" t="str">
            <v>063097</v>
          </cell>
          <cell r="K630">
            <v>198</v>
          </cell>
          <cell r="L630">
            <v>336507</v>
          </cell>
          <cell r="M630">
            <v>0</v>
          </cell>
          <cell r="N630">
            <v>336507</v>
          </cell>
          <cell r="O630">
            <v>0</v>
          </cell>
          <cell r="P630">
            <v>0</v>
          </cell>
          <cell r="Q630">
            <v>0</v>
          </cell>
          <cell r="R630">
            <v>336507</v>
          </cell>
          <cell r="S630">
            <v>0</v>
          </cell>
          <cell r="T630">
            <v>336507</v>
          </cell>
          <cell r="U630">
            <v>0</v>
          </cell>
          <cell r="V630">
            <v>336507</v>
          </cell>
          <cell r="W630">
            <v>336507</v>
          </cell>
          <cell r="X630">
            <v>0</v>
          </cell>
        </row>
        <row r="631">
          <cell r="B631">
            <v>514101136268</v>
          </cell>
          <cell r="C631" t="str">
            <v>PJU PRODAMAS RT.33RW.06</v>
          </cell>
          <cell r="D631" t="str">
            <v>PAKUNDEN</v>
          </cell>
          <cell r="E631"/>
          <cell r="F631"/>
          <cell r="G631" t="str">
            <v>P3</v>
          </cell>
          <cell r="H631">
            <v>2200</v>
          </cell>
          <cell r="I631" t="str">
            <v>202505</v>
          </cell>
          <cell r="J631" t="str">
            <v>032760</v>
          </cell>
          <cell r="K631">
            <v>119</v>
          </cell>
          <cell r="L631">
            <v>202244</v>
          </cell>
          <cell r="M631">
            <v>0</v>
          </cell>
          <cell r="N631">
            <v>202244</v>
          </cell>
          <cell r="O631">
            <v>0</v>
          </cell>
          <cell r="P631">
            <v>0</v>
          </cell>
          <cell r="Q631">
            <v>0</v>
          </cell>
          <cell r="R631">
            <v>202244</v>
          </cell>
          <cell r="S631">
            <v>0</v>
          </cell>
          <cell r="T631">
            <v>202244</v>
          </cell>
          <cell r="U631">
            <v>0</v>
          </cell>
          <cell r="V631">
            <v>202244</v>
          </cell>
          <cell r="W631">
            <v>202244</v>
          </cell>
          <cell r="X631">
            <v>0</v>
          </cell>
        </row>
        <row r="632">
          <cell r="B632">
            <v>514101136276</v>
          </cell>
          <cell r="C632" t="str">
            <v>PJU PRODAMAS RT.01 RW.01</v>
          </cell>
          <cell r="D632" t="str">
            <v>BETET</v>
          </cell>
          <cell r="E632"/>
          <cell r="F632"/>
          <cell r="G632" t="str">
            <v>P3</v>
          </cell>
          <cell r="H632">
            <v>1300</v>
          </cell>
          <cell r="I632" t="str">
            <v>202505</v>
          </cell>
          <cell r="J632" t="str">
            <v>014733</v>
          </cell>
          <cell r="K632">
            <v>347</v>
          </cell>
          <cell r="L632">
            <v>589737</v>
          </cell>
          <cell r="M632">
            <v>0</v>
          </cell>
          <cell r="N632">
            <v>589737</v>
          </cell>
          <cell r="O632">
            <v>0</v>
          </cell>
          <cell r="P632">
            <v>0</v>
          </cell>
          <cell r="Q632">
            <v>0</v>
          </cell>
          <cell r="R632">
            <v>589737</v>
          </cell>
          <cell r="S632">
            <v>0</v>
          </cell>
          <cell r="T632">
            <v>589737</v>
          </cell>
          <cell r="U632">
            <v>0</v>
          </cell>
          <cell r="V632">
            <v>589737</v>
          </cell>
          <cell r="W632">
            <v>589737</v>
          </cell>
          <cell r="X632">
            <v>0</v>
          </cell>
        </row>
        <row r="633">
          <cell r="B633">
            <v>514101136284</v>
          </cell>
          <cell r="C633" t="str">
            <v>PJU PRODAMAS RT.07 RW .03</v>
          </cell>
          <cell r="D633" t="str">
            <v>BETET</v>
          </cell>
          <cell r="E633"/>
          <cell r="F633"/>
          <cell r="G633" t="str">
            <v>P3</v>
          </cell>
          <cell r="H633">
            <v>1300</v>
          </cell>
          <cell r="I633" t="str">
            <v>202505</v>
          </cell>
          <cell r="J633" t="str">
            <v>051316</v>
          </cell>
          <cell r="K633">
            <v>248</v>
          </cell>
          <cell r="L633">
            <v>421483</v>
          </cell>
          <cell r="M633">
            <v>0</v>
          </cell>
          <cell r="N633">
            <v>421483</v>
          </cell>
          <cell r="O633">
            <v>0</v>
          </cell>
          <cell r="P633">
            <v>0</v>
          </cell>
          <cell r="Q633">
            <v>0</v>
          </cell>
          <cell r="R633">
            <v>421483</v>
          </cell>
          <cell r="S633">
            <v>0</v>
          </cell>
          <cell r="T633">
            <v>421483</v>
          </cell>
          <cell r="U633">
            <v>0</v>
          </cell>
          <cell r="V633">
            <v>421483</v>
          </cell>
          <cell r="W633">
            <v>421483</v>
          </cell>
          <cell r="X633">
            <v>0</v>
          </cell>
        </row>
        <row r="634">
          <cell r="B634">
            <v>514101136521</v>
          </cell>
          <cell r="C634" t="str">
            <v>PJU JL KELAPA RT.07 RW.04</v>
          </cell>
          <cell r="D634" t="str">
            <v>KETAMI</v>
          </cell>
          <cell r="E634"/>
          <cell r="F634"/>
          <cell r="G634" t="str">
            <v>P3</v>
          </cell>
          <cell r="H634">
            <v>900</v>
          </cell>
          <cell r="I634" t="str">
            <v>202505</v>
          </cell>
          <cell r="J634" t="str">
            <v>036358</v>
          </cell>
          <cell r="K634">
            <v>234</v>
          </cell>
          <cell r="L634">
            <v>397690</v>
          </cell>
          <cell r="M634">
            <v>0</v>
          </cell>
          <cell r="N634">
            <v>397690</v>
          </cell>
          <cell r="O634">
            <v>0</v>
          </cell>
          <cell r="P634">
            <v>0</v>
          </cell>
          <cell r="Q634">
            <v>0</v>
          </cell>
          <cell r="R634">
            <v>397690</v>
          </cell>
          <cell r="S634">
            <v>0</v>
          </cell>
          <cell r="T634">
            <v>397690</v>
          </cell>
          <cell r="U634">
            <v>0</v>
          </cell>
          <cell r="V634">
            <v>397690</v>
          </cell>
          <cell r="W634">
            <v>397690</v>
          </cell>
          <cell r="X634">
            <v>0</v>
          </cell>
        </row>
        <row r="635">
          <cell r="B635">
            <v>514101136539</v>
          </cell>
          <cell r="C635" t="str">
            <v>PJU PRODAMAS RT18 RW7</v>
          </cell>
          <cell r="D635" t="str">
            <v>BETET</v>
          </cell>
          <cell r="E635"/>
          <cell r="F635"/>
          <cell r="G635" t="str">
            <v>P3</v>
          </cell>
          <cell r="H635">
            <v>1300</v>
          </cell>
          <cell r="I635" t="str">
            <v>202505</v>
          </cell>
          <cell r="J635" t="str">
            <v>056775</v>
          </cell>
          <cell r="K635">
            <v>204</v>
          </cell>
          <cell r="L635">
            <v>346704</v>
          </cell>
          <cell r="M635">
            <v>0</v>
          </cell>
          <cell r="N635">
            <v>346704</v>
          </cell>
          <cell r="O635">
            <v>0</v>
          </cell>
          <cell r="P635">
            <v>0</v>
          </cell>
          <cell r="Q635">
            <v>0</v>
          </cell>
          <cell r="R635">
            <v>346704</v>
          </cell>
          <cell r="S635">
            <v>0</v>
          </cell>
          <cell r="T635">
            <v>346704</v>
          </cell>
          <cell r="U635">
            <v>0</v>
          </cell>
          <cell r="V635">
            <v>346704</v>
          </cell>
          <cell r="W635">
            <v>346704</v>
          </cell>
          <cell r="X635">
            <v>0</v>
          </cell>
        </row>
        <row r="636">
          <cell r="B636">
            <v>514101136547</v>
          </cell>
          <cell r="C636" t="str">
            <v>PJU PRODAMAS RT.17 RW.7</v>
          </cell>
          <cell r="D636" t="str">
            <v>BETET</v>
          </cell>
          <cell r="E636"/>
          <cell r="F636"/>
          <cell r="G636" t="str">
            <v>P3</v>
          </cell>
          <cell r="H636">
            <v>1300</v>
          </cell>
          <cell r="I636" t="str">
            <v>202505</v>
          </cell>
          <cell r="J636" t="str">
            <v>057897</v>
          </cell>
          <cell r="K636">
            <v>317</v>
          </cell>
          <cell r="L636">
            <v>538751</v>
          </cell>
          <cell r="M636">
            <v>0</v>
          </cell>
          <cell r="N636">
            <v>538751</v>
          </cell>
          <cell r="O636">
            <v>0</v>
          </cell>
          <cell r="P636">
            <v>0</v>
          </cell>
          <cell r="Q636">
            <v>0</v>
          </cell>
          <cell r="R636">
            <v>538751</v>
          </cell>
          <cell r="S636">
            <v>0</v>
          </cell>
          <cell r="T636">
            <v>538751</v>
          </cell>
          <cell r="U636">
            <v>0</v>
          </cell>
          <cell r="V636">
            <v>538751</v>
          </cell>
          <cell r="W636">
            <v>538751</v>
          </cell>
          <cell r="X636">
            <v>0</v>
          </cell>
        </row>
        <row r="637">
          <cell r="B637">
            <v>514101136554</v>
          </cell>
          <cell r="C637" t="str">
            <v>PJU PRODAMAS RT.16 RW.7</v>
          </cell>
          <cell r="D637" t="str">
            <v>BETET</v>
          </cell>
          <cell r="E637"/>
          <cell r="F637"/>
          <cell r="G637" t="str">
            <v>P3</v>
          </cell>
          <cell r="H637">
            <v>1300</v>
          </cell>
          <cell r="I637" t="str">
            <v>202505</v>
          </cell>
          <cell r="J637" t="str">
            <v>066920</v>
          </cell>
          <cell r="K637">
            <v>242</v>
          </cell>
          <cell r="L637">
            <v>411286</v>
          </cell>
          <cell r="M637">
            <v>0</v>
          </cell>
          <cell r="N637">
            <v>411286</v>
          </cell>
          <cell r="O637">
            <v>0</v>
          </cell>
          <cell r="P637">
            <v>0</v>
          </cell>
          <cell r="Q637">
            <v>0</v>
          </cell>
          <cell r="R637">
            <v>411286</v>
          </cell>
          <cell r="S637">
            <v>0</v>
          </cell>
          <cell r="T637">
            <v>411286</v>
          </cell>
          <cell r="U637">
            <v>0</v>
          </cell>
          <cell r="V637">
            <v>411286</v>
          </cell>
          <cell r="W637">
            <v>411286</v>
          </cell>
          <cell r="X637">
            <v>0</v>
          </cell>
        </row>
        <row r="638">
          <cell r="B638">
            <v>514101142911</v>
          </cell>
          <cell r="C638" t="str">
            <v>PJU PRODAMAS RT.28RW.06</v>
          </cell>
          <cell r="D638" t="str">
            <v>SINGONEGARAN</v>
          </cell>
          <cell r="E638"/>
          <cell r="F638"/>
          <cell r="G638" t="str">
            <v>P3</v>
          </cell>
          <cell r="H638">
            <v>1300</v>
          </cell>
          <cell r="I638" t="str">
            <v>202505</v>
          </cell>
          <cell r="J638" t="str">
            <v>046495</v>
          </cell>
          <cell r="K638">
            <v>323</v>
          </cell>
          <cell r="L638">
            <v>548948</v>
          </cell>
          <cell r="M638">
            <v>0</v>
          </cell>
          <cell r="N638">
            <v>548948</v>
          </cell>
          <cell r="O638">
            <v>0</v>
          </cell>
          <cell r="P638">
            <v>0</v>
          </cell>
          <cell r="Q638">
            <v>0</v>
          </cell>
          <cell r="R638">
            <v>548948</v>
          </cell>
          <cell r="S638">
            <v>0</v>
          </cell>
          <cell r="T638">
            <v>548948</v>
          </cell>
          <cell r="U638">
            <v>0</v>
          </cell>
          <cell r="V638">
            <v>548948</v>
          </cell>
          <cell r="W638">
            <v>548948</v>
          </cell>
          <cell r="X638">
            <v>0</v>
          </cell>
        </row>
        <row r="639">
          <cell r="B639">
            <v>514101142929</v>
          </cell>
          <cell r="C639" t="str">
            <v>PJU PRODAMAS RT.22RW05</v>
          </cell>
          <cell r="D639" t="str">
            <v>SINGONEGARAN</v>
          </cell>
          <cell r="E639"/>
          <cell r="F639"/>
          <cell r="G639" t="str">
            <v>P3</v>
          </cell>
          <cell r="H639">
            <v>900</v>
          </cell>
          <cell r="I639" t="str">
            <v>202505</v>
          </cell>
          <cell r="J639" t="str">
            <v>040310</v>
          </cell>
          <cell r="K639">
            <v>187</v>
          </cell>
          <cell r="L639">
            <v>317812</v>
          </cell>
          <cell r="M639">
            <v>0</v>
          </cell>
          <cell r="N639">
            <v>317812</v>
          </cell>
          <cell r="O639">
            <v>0</v>
          </cell>
          <cell r="P639">
            <v>0</v>
          </cell>
          <cell r="Q639">
            <v>0</v>
          </cell>
          <cell r="R639">
            <v>317812</v>
          </cell>
          <cell r="S639">
            <v>0</v>
          </cell>
          <cell r="T639">
            <v>317812</v>
          </cell>
          <cell r="U639">
            <v>0</v>
          </cell>
          <cell r="V639">
            <v>317812</v>
          </cell>
          <cell r="W639">
            <v>317812</v>
          </cell>
          <cell r="X639">
            <v>0</v>
          </cell>
        </row>
        <row r="640">
          <cell r="B640">
            <v>514101144612</v>
          </cell>
          <cell r="C640" t="str">
            <v>PJU PRODAMAS RT 11/RW 3</v>
          </cell>
          <cell r="D640" t="str">
            <v>PAKELAN</v>
          </cell>
          <cell r="E640"/>
          <cell r="F640"/>
          <cell r="G640" t="str">
            <v>P3</v>
          </cell>
          <cell r="H640">
            <v>2200</v>
          </cell>
          <cell r="I640" t="str">
            <v>202505</v>
          </cell>
          <cell r="J640" t="str">
            <v>008037</v>
          </cell>
          <cell r="K640">
            <v>163</v>
          </cell>
          <cell r="L640">
            <v>277023</v>
          </cell>
          <cell r="M640">
            <v>0</v>
          </cell>
          <cell r="N640">
            <v>277023</v>
          </cell>
          <cell r="O640">
            <v>0</v>
          </cell>
          <cell r="P640">
            <v>0</v>
          </cell>
          <cell r="Q640">
            <v>0</v>
          </cell>
          <cell r="R640">
            <v>277023</v>
          </cell>
          <cell r="S640">
            <v>0</v>
          </cell>
          <cell r="T640">
            <v>277023</v>
          </cell>
          <cell r="U640">
            <v>0</v>
          </cell>
          <cell r="V640">
            <v>277023</v>
          </cell>
          <cell r="W640">
            <v>277023</v>
          </cell>
          <cell r="X640">
            <v>0</v>
          </cell>
        </row>
        <row r="641">
          <cell r="B641">
            <v>514101145216</v>
          </cell>
          <cell r="C641" t="str">
            <v>PJU JALAN KENONGO</v>
          </cell>
          <cell r="D641" t="str">
            <v>KENONGO GG 6</v>
          </cell>
          <cell r="E641"/>
          <cell r="F641"/>
          <cell r="G641" t="str">
            <v>P3</v>
          </cell>
          <cell r="H641">
            <v>900</v>
          </cell>
          <cell r="I641" t="str">
            <v>202505</v>
          </cell>
          <cell r="J641" t="str">
            <v>008399</v>
          </cell>
          <cell r="K641">
            <v>105</v>
          </cell>
          <cell r="L641">
            <v>178451</v>
          </cell>
          <cell r="M641">
            <v>0</v>
          </cell>
          <cell r="N641">
            <v>178451</v>
          </cell>
          <cell r="O641">
            <v>0</v>
          </cell>
          <cell r="P641">
            <v>0</v>
          </cell>
          <cell r="Q641">
            <v>0</v>
          </cell>
          <cell r="R641">
            <v>178451</v>
          </cell>
          <cell r="S641">
            <v>0</v>
          </cell>
          <cell r="T641">
            <v>178451</v>
          </cell>
          <cell r="U641">
            <v>0</v>
          </cell>
          <cell r="V641">
            <v>178451</v>
          </cell>
          <cell r="W641">
            <v>178451</v>
          </cell>
          <cell r="X641">
            <v>0</v>
          </cell>
        </row>
        <row r="642">
          <cell r="B642">
            <v>514101147800</v>
          </cell>
          <cell r="C642" t="str">
            <v>PJU KEL PAKELAN</v>
          </cell>
          <cell r="D642" t="str">
            <v>UNTUNG SUROPATI</v>
          </cell>
          <cell r="E642"/>
          <cell r="F642"/>
          <cell r="G642" t="str">
            <v>P3</v>
          </cell>
          <cell r="H642">
            <v>2200</v>
          </cell>
          <cell r="I642" t="str">
            <v>202505</v>
          </cell>
          <cell r="J642" t="str">
            <v>004200</v>
          </cell>
          <cell r="K642">
            <v>143</v>
          </cell>
          <cell r="L642">
            <v>243033</v>
          </cell>
          <cell r="M642">
            <v>0</v>
          </cell>
          <cell r="N642">
            <v>243033</v>
          </cell>
          <cell r="O642">
            <v>0</v>
          </cell>
          <cell r="P642">
            <v>0</v>
          </cell>
          <cell r="Q642">
            <v>0</v>
          </cell>
          <cell r="R642">
            <v>243033</v>
          </cell>
          <cell r="S642">
            <v>0</v>
          </cell>
          <cell r="T642">
            <v>243033</v>
          </cell>
          <cell r="U642">
            <v>0</v>
          </cell>
          <cell r="V642">
            <v>243033</v>
          </cell>
          <cell r="W642">
            <v>243033</v>
          </cell>
          <cell r="X642">
            <v>0</v>
          </cell>
        </row>
        <row r="643">
          <cell r="B643">
            <v>514101148063</v>
          </cell>
          <cell r="C643" t="str">
            <v>PJU RT.1  RW.4</v>
          </cell>
          <cell r="D643" t="str">
            <v>KEL. NGRONGGO</v>
          </cell>
          <cell r="E643"/>
          <cell r="F643"/>
          <cell r="G643" t="str">
            <v>P3</v>
          </cell>
          <cell r="H643">
            <v>900</v>
          </cell>
          <cell r="I643" t="str">
            <v>202505</v>
          </cell>
          <cell r="J643" t="str">
            <v>030663</v>
          </cell>
          <cell r="K643">
            <v>270</v>
          </cell>
          <cell r="L643">
            <v>458873</v>
          </cell>
          <cell r="M643">
            <v>0</v>
          </cell>
          <cell r="N643">
            <v>458873</v>
          </cell>
          <cell r="O643">
            <v>0</v>
          </cell>
          <cell r="P643">
            <v>0</v>
          </cell>
          <cell r="Q643">
            <v>0</v>
          </cell>
          <cell r="R643">
            <v>458873</v>
          </cell>
          <cell r="S643">
            <v>0</v>
          </cell>
          <cell r="T643">
            <v>458873</v>
          </cell>
          <cell r="U643">
            <v>0</v>
          </cell>
          <cell r="V643">
            <v>458873</v>
          </cell>
          <cell r="W643">
            <v>458873</v>
          </cell>
          <cell r="X643">
            <v>0</v>
          </cell>
        </row>
        <row r="644">
          <cell r="B644">
            <v>514101154150</v>
          </cell>
          <cell r="C644" t="str">
            <v>PJU PRODAMAS BLABAK</v>
          </cell>
          <cell r="D644" t="str">
            <v>BLABAK</v>
          </cell>
          <cell r="E644"/>
          <cell r="F644"/>
          <cell r="G644" t="str">
            <v>P3</v>
          </cell>
          <cell r="H644">
            <v>900</v>
          </cell>
          <cell r="I644" t="str">
            <v>202505</v>
          </cell>
          <cell r="J644" t="str">
            <v>066721</v>
          </cell>
          <cell r="K644">
            <v>216</v>
          </cell>
          <cell r="L644">
            <v>367098</v>
          </cell>
          <cell r="M644">
            <v>0</v>
          </cell>
          <cell r="N644">
            <v>367098</v>
          </cell>
          <cell r="O644">
            <v>0</v>
          </cell>
          <cell r="P644">
            <v>0</v>
          </cell>
          <cell r="Q644">
            <v>0</v>
          </cell>
          <cell r="R644">
            <v>367098</v>
          </cell>
          <cell r="S644">
            <v>0</v>
          </cell>
          <cell r="T644">
            <v>367098</v>
          </cell>
          <cell r="U644">
            <v>0</v>
          </cell>
          <cell r="V644">
            <v>367098</v>
          </cell>
          <cell r="W644">
            <v>367098</v>
          </cell>
          <cell r="X644">
            <v>0</v>
          </cell>
        </row>
        <row r="645">
          <cell r="B645">
            <v>514101154300</v>
          </cell>
          <cell r="C645" t="str">
            <v>PJU POS KAMLING RT.07 RW.</v>
          </cell>
          <cell r="D645" t="str">
            <v>MELATI RAYA PR.NGRONGGO</v>
          </cell>
          <cell r="E645"/>
          <cell r="F645"/>
          <cell r="G645" t="str">
            <v>P3</v>
          </cell>
          <cell r="H645">
            <v>900</v>
          </cell>
          <cell r="I645" t="str">
            <v>202505</v>
          </cell>
          <cell r="J645" t="str">
            <v>011430</v>
          </cell>
          <cell r="K645">
            <v>108</v>
          </cell>
          <cell r="L645">
            <v>183549</v>
          </cell>
          <cell r="M645">
            <v>0</v>
          </cell>
          <cell r="N645">
            <v>183549</v>
          </cell>
          <cell r="O645">
            <v>0</v>
          </cell>
          <cell r="P645">
            <v>0</v>
          </cell>
          <cell r="Q645">
            <v>0</v>
          </cell>
          <cell r="R645">
            <v>183549</v>
          </cell>
          <cell r="S645">
            <v>0</v>
          </cell>
          <cell r="T645">
            <v>183549</v>
          </cell>
          <cell r="U645">
            <v>0</v>
          </cell>
          <cell r="V645">
            <v>183549</v>
          </cell>
          <cell r="W645">
            <v>183549</v>
          </cell>
          <cell r="X645">
            <v>0</v>
          </cell>
        </row>
        <row r="646">
          <cell r="B646">
            <v>514101154479</v>
          </cell>
          <cell r="C646" t="str">
            <v>PJU DS SINGONEGARAN RT16</v>
          </cell>
          <cell r="D646" t="str">
            <v>SINGONEGARAN</v>
          </cell>
          <cell r="E646"/>
          <cell r="F646"/>
          <cell r="G646" t="str">
            <v>P3</v>
          </cell>
          <cell r="H646">
            <v>900</v>
          </cell>
          <cell r="I646" t="str">
            <v>202505</v>
          </cell>
          <cell r="J646" t="str">
            <v>011075</v>
          </cell>
          <cell r="K646">
            <v>109</v>
          </cell>
          <cell r="L646">
            <v>185249</v>
          </cell>
          <cell r="M646">
            <v>0</v>
          </cell>
          <cell r="N646">
            <v>185249</v>
          </cell>
          <cell r="O646">
            <v>0</v>
          </cell>
          <cell r="P646">
            <v>0</v>
          </cell>
          <cell r="Q646">
            <v>0</v>
          </cell>
          <cell r="R646">
            <v>185249</v>
          </cell>
          <cell r="S646">
            <v>0</v>
          </cell>
          <cell r="T646">
            <v>185249</v>
          </cell>
          <cell r="U646">
            <v>0</v>
          </cell>
          <cell r="V646">
            <v>185249</v>
          </cell>
          <cell r="W646">
            <v>185249</v>
          </cell>
          <cell r="X646">
            <v>0</v>
          </cell>
        </row>
        <row r="647">
          <cell r="B647">
            <v>514101154487</v>
          </cell>
          <cell r="C647" t="str">
            <v>PJU DS SINGONEGARAN RT18</v>
          </cell>
          <cell r="D647" t="str">
            <v>SINGONEGARAN</v>
          </cell>
          <cell r="E647"/>
          <cell r="F647"/>
          <cell r="G647" t="str">
            <v>P3</v>
          </cell>
          <cell r="H647">
            <v>900</v>
          </cell>
          <cell r="I647" t="str">
            <v>202505</v>
          </cell>
          <cell r="J647" t="str">
            <v>020349</v>
          </cell>
          <cell r="K647">
            <v>178</v>
          </cell>
          <cell r="L647">
            <v>302516</v>
          </cell>
          <cell r="M647">
            <v>0</v>
          </cell>
          <cell r="N647">
            <v>302516</v>
          </cell>
          <cell r="O647">
            <v>0</v>
          </cell>
          <cell r="P647">
            <v>0</v>
          </cell>
          <cell r="Q647">
            <v>0</v>
          </cell>
          <cell r="R647">
            <v>302516</v>
          </cell>
          <cell r="S647">
            <v>0</v>
          </cell>
          <cell r="T647">
            <v>302516</v>
          </cell>
          <cell r="U647">
            <v>0</v>
          </cell>
          <cell r="V647">
            <v>302516</v>
          </cell>
          <cell r="W647">
            <v>302516</v>
          </cell>
          <cell r="X647">
            <v>0</v>
          </cell>
        </row>
        <row r="648">
          <cell r="B648">
            <v>514101154495</v>
          </cell>
          <cell r="C648" t="str">
            <v>PJU DS SINGONEGARAN RT15</v>
          </cell>
          <cell r="D648" t="str">
            <v>SINGONEGARAN</v>
          </cell>
          <cell r="E648"/>
          <cell r="F648"/>
          <cell r="G648" t="str">
            <v>P3</v>
          </cell>
          <cell r="H648">
            <v>900</v>
          </cell>
          <cell r="I648" t="str">
            <v>202505</v>
          </cell>
          <cell r="J648" t="str">
            <v>016441</v>
          </cell>
          <cell r="K648">
            <v>202</v>
          </cell>
          <cell r="L648">
            <v>343305</v>
          </cell>
          <cell r="M648">
            <v>0</v>
          </cell>
          <cell r="N648">
            <v>343305</v>
          </cell>
          <cell r="O648">
            <v>0</v>
          </cell>
          <cell r="P648">
            <v>0</v>
          </cell>
          <cell r="Q648">
            <v>0</v>
          </cell>
          <cell r="R648">
            <v>343305</v>
          </cell>
          <cell r="S648">
            <v>0</v>
          </cell>
          <cell r="T648">
            <v>343305</v>
          </cell>
          <cell r="U648">
            <v>0</v>
          </cell>
          <cell r="V648">
            <v>343305</v>
          </cell>
          <cell r="W648">
            <v>343305</v>
          </cell>
          <cell r="X648">
            <v>0</v>
          </cell>
        </row>
        <row r="649">
          <cell r="B649">
            <v>514101155783</v>
          </cell>
          <cell r="C649" t="str">
            <v>PJU PRODAMAS RT 001 RW 06</v>
          </cell>
          <cell r="D649" t="str">
            <v>BUMI ASRI</v>
          </cell>
          <cell r="E649"/>
          <cell r="F649"/>
          <cell r="G649" t="str">
            <v>P3</v>
          </cell>
          <cell r="H649">
            <v>900</v>
          </cell>
          <cell r="I649" t="str">
            <v>202505</v>
          </cell>
          <cell r="J649" t="str">
            <v>005455</v>
          </cell>
          <cell r="K649">
            <v>250</v>
          </cell>
          <cell r="L649">
            <v>424883</v>
          </cell>
          <cell r="M649">
            <v>0</v>
          </cell>
          <cell r="N649">
            <v>424883</v>
          </cell>
          <cell r="O649">
            <v>0</v>
          </cell>
          <cell r="P649">
            <v>0</v>
          </cell>
          <cell r="Q649">
            <v>0</v>
          </cell>
          <cell r="R649">
            <v>424883</v>
          </cell>
          <cell r="S649">
            <v>0</v>
          </cell>
          <cell r="T649">
            <v>424883</v>
          </cell>
          <cell r="U649">
            <v>0</v>
          </cell>
          <cell r="V649">
            <v>424883</v>
          </cell>
          <cell r="W649">
            <v>424883</v>
          </cell>
          <cell r="X649">
            <v>0</v>
          </cell>
        </row>
        <row r="650">
          <cell r="B650">
            <v>514101156196</v>
          </cell>
          <cell r="C650" t="str">
            <v>PJU PRODAMAS RT 04 RW 04</v>
          </cell>
          <cell r="D650" t="str">
            <v>MANISRENGGO</v>
          </cell>
          <cell r="E650"/>
          <cell r="F650"/>
          <cell r="G650" t="str">
            <v>P3</v>
          </cell>
          <cell r="H650">
            <v>900</v>
          </cell>
          <cell r="I650" t="str">
            <v>202505</v>
          </cell>
          <cell r="J650" t="str">
            <v>045826</v>
          </cell>
          <cell r="K650">
            <v>36</v>
          </cell>
          <cell r="L650">
            <v>61183</v>
          </cell>
          <cell r="M650">
            <v>0</v>
          </cell>
          <cell r="N650">
            <v>61183</v>
          </cell>
          <cell r="O650">
            <v>0</v>
          </cell>
          <cell r="P650">
            <v>0</v>
          </cell>
          <cell r="Q650">
            <v>0</v>
          </cell>
          <cell r="R650">
            <v>61183</v>
          </cell>
          <cell r="S650">
            <v>0</v>
          </cell>
          <cell r="T650">
            <v>61183</v>
          </cell>
          <cell r="U650">
            <v>0</v>
          </cell>
          <cell r="V650">
            <v>61183</v>
          </cell>
          <cell r="W650">
            <v>61183</v>
          </cell>
          <cell r="X650">
            <v>0</v>
          </cell>
        </row>
        <row r="651">
          <cell r="B651">
            <v>514101157809</v>
          </cell>
          <cell r="C651" t="str">
            <v>PJU DS NGRONGGO RT04 /RW0</v>
          </cell>
          <cell r="D651" t="str">
            <v>NGRONGGO</v>
          </cell>
          <cell r="E651"/>
          <cell r="F651"/>
          <cell r="G651" t="str">
            <v>P3</v>
          </cell>
          <cell r="H651">
            <v>900</v>
          </cell>
          <cell r="I651" t="str">
            <v>202505</v>
          </cell>
          <cell r="J651" t="str">
            <v>001381</v>
          </cell>
          <cell r="K651">
            <v>279</v>
          </cell>
          <cell r="L651">
            <v>474169</v>
          </cell>
          <cell r="M651">
            <v>0</v>
          </cell>
          <cell r="N651">
            <v>474169</v>
          </cell>
          <cell r="O651">
            <v>0</v>
          </cell>
          <cell r="P651">
            <v>0</v>
          </cell>
          <cell r="Q651">
            <v>0</v>
          </cell>
          <cell r="R651">
            <v>474169</v>
          </cell>
          <cell r="S651">
            <v>0</v>
          </cell>
          <cell r="T651">
            <v>474169</v>
          </cell>
          <cell r="U651">
            <v>0</v>
          </cell>
          <cell r="V651">
            <v>474169</v>
          </cell>
          <cell r="W651">
            <v>474169</v>
          </cell>
          <cell r="X651">
            <v>0</v>
          </cell>
        </row>
        <row r="652">
          <cell r="B652">
            <v>514101158118</v>
          </cell>
          <cell r="C652" t="str">
            <v>PJU PRODAMAS RT 47 RW 10</v>
          </cell>
          <cell r="D652" t="str">
            <v>SINGONEGARAN</v>
          </cell>
          <cell r="E652"/>
          <cell r="F652"/>
          <cell r="G652" t="str">
            <v>P3</v>
          </cell>
          <cell r="H652">
            <v>900</v>
          </cell>
          <cell r="I652" t="str">
            <v>202505</v>
          </cell>
          <cell r="J652" t="str">
            <v>057512</v>
          </cell>
          <cell r="K652">
            <v>435</v>
          </cell>
          <cell r="L652">
            <v>739296</v>
          </cell>
          <cell r="M652">
            <v>0</v>
          </cell>
          <cell r="N652">
            <v>739296</v>
          </cell>
          <cell r="O652">
            <v>0</v>
          </cell>
          <cell r="P652">
            <v>0</v>
          </cell>
          <cell r="Q652">
            <v>0</v>
          </cell>
          <cell r="R652">
            <v>739296</v>
          </cell>
          <cell r="S652">
            <v>0</v>
          </cell>
          <cell r="T652">
            <v>739296</v>
          </cell>
          <cell r="U652">
            <v>0</v>
          </cell>
          <cell r="V652">
            <v>739296</v>
          </cell>
          <cell r="W652">
            <v>739296</v>
          </cell>
          <cell r="X652">
            <v>0</v>
          </cell>
        </row>
        <row r="653">
          <cell r="B653">
            <v>514101158134</v>
          </cell>
          <cell r="C653" t="str">
            <v>PJU PRODAMAS RT35 RW06</v>
          </cell>
          <cell r="D653" t="str">
            <v>PAKUNDEN</v>
          </cell>
          <cell r="E653"/>
          <cell r="F653"/>
          <cell r="G653" t="str">
            <v>P3</v>
          </cell>
          <cell r="H653">
            <v>900</v>
          </cell>
          <cell r="I653" t="str">
            <v>202505</v>
          </cell>
          <cell r="J653" t="str">
            <v>023430</v>
          </cell>
          <cell r="K653">
            <v>255</v>
          </cell>
          <cell r="L653">
            <v>433380</v>
          </cell>
          <cell r="M653">
            <v>0</v>
          </cell>
          <cell r="N653">
            <v>433380</v>
          </cell>
          <cell r="O653">
            <v>0</v>
          </cell>
          <cell r="P653">
            <v>0</v>
          </cell>
          <cell r="Q653">
            <v>0</v>
          </cell>
          <cell r="R653">
            <v>433380</v>
          </cell>
          <cell r="S653">
            <v>0</v>
          </cell>
          <cell r="T653">
            <v>433380</v>
          </cell>
          <cell r="U653">
            <v>0</v>
          </cell>
          <cell r="V653">
            <v>433380</v>
          </cell>
          <cell r="W653">
            <v>433380</v>
          </cell>
          <cell r="X653">
            <v>0</v>
          </cell>
        </row>
        <row r="654">
          <cell r="B654">
            <v>514101158835</v>
          </cell>
          <cell r="C654" t="str">
            <v>PJU PRODAMAS RT25 RW05</v>
          </cell>
          <cell r="D654" t="str">
            <v>BENCE</v>
          </cell>
          <cell r="E654"/>
          <cell r="F654"/>
          <cell r="G654" t="str">
            <v>P3</v>
          </cell>
          <cell r="H654">
            <v>900</v>
          </cell>
          <cell r="I654" t="str">
            <v>202505</v>
          </cell>
          <cell r="J654" t="str">
            <v>003804</v>
          </cell>
          <cell r="K654">
            <v>247</v>
          </cell>
          <cell r="L654">
            <v>419784</v>
          </cell>
          <cell r="M654">
            <v>0</v>
          </cell>
          <cell r="N654">
            <v>419784</v>
          </cell>
          <cell r="O654">
            <v>0</v>
          </cell>
          <cell r="P654">
            <v>0</v>
          </cell>
          <cell r="Q654">
            <v>0</v>
          </cell>
          <cell r="R654">
            <v>419784</v>
          </cell>
          <cell r="S654">
            <v>0</v>
          </cell>
          <cell r="T654">
            <v>419784</v>
          </cell>
          <cell r="U654">
            <v>0</v>
          </cell>
          <cell r="V654">
            <v>419784</v>
          </cell>
          <cell r="W654">
            <v>419784</v>
          </cell>
          <cell r="X654">
            <v>0</v>
          </cell>
        </row>
        <row r="655">
          <cell r="B655">
            <v>514101158868</v>
          </cell>
          <cell r="C655" t="str">
            <v>PJU RT 38 RT 39 RW VII</v>
          </cell>
          <cell r="D655" t="str">
            <v>WISMA ASRI 2</v>
          </cell>
          <cell r="E655"/>
          <cell r="F655"/>
          <cell r="G655" t="str">
            <v>P3</v>
          </cell>
          <cell r="H655">
            <v>2200</v>
          </cell>
          <cell r="I655" t="str">
            <v>202505</v>
          </cell>
          <cell r="J655" t="str">
            <v>000434</v>
          </cell>
          <cell r="K655">
            <v>311</v>
          </cell>
          <cell r="L655">
            <v>528554</v>
          </cell>
          <cell r="M655">
            <v>0</v>
          </cell>
          <cell r="N655">
            <v>528554</v>
          </cell>
          <cell r="O655">
            <v>0</v>
          </cell>
          <cell r="P655">
            <v>0</v>
          </cell>
          <cell r="Q655">
            <v>0</v>
          </cell>
          <cell r="R655">
            <v>528554</v>
          </cell>
          <cell r="S655">
            <v>0</v>
          </cell>
          <cell r="T655">
            <v>528554</v>
          </cell>
          <cell r="U655">
            <v>0</v>
          </cell>
          <cell r="V655">
            <v>528554</v>
          </cell>
          <cell r="W655">
            <v>528554</v>
          </cell>
          <cell r="X655">
            <v>0</v>
          </cell>
        </row>
        <row r="656">
          <cell r="B656">
            <v>514101159470</v>
          </cell>
          <cell r="C656" t="str">
            <v>P. POS JAGA RT.16 RW.08</v>
          </cell>
          <cell r="D656" t="str">
            <v>KENONGO VIII</v>
          </cell>
          <cell r="E656"/>
          <cell r="F656"/>
          <cell r="G656" t="str">
            <v>P3</v>
          </cell>
          <cell r="H656">
            <v>900</v>
          </cell>
          <cell r="I656" t="str">
            <v>202505</v>
          </cell>
          <cell r="J656" t="str">
            <v>013649</v>
          </cell>
          <cell r="K656">
            <v>142</v>
          </cell>
          <cell r="L656">
            <v>241333</v>
          </cell>
          <cell r="M656">
            <v>0</v>
          </cell>
          <cell r="N656">
            <v>241333</v>
          </cell>
          <cell r="O656">
            <v>0</v>
          </cell>
          <cell r="P656">
            <v>0</v>
          </cell>
          <cell r="Q656">
            <v>0</v>
          </cell>
          <cell r="R656">
            <v>241333</v>
          </cell>
          <cell r="S656">
            <v>0</v>
          </cell>
          <cell r="T656">
            <v>241333</v>
          </cell>
          <cell r="U656">
            <v>0</v>
          </cell>
          <cell r="V656">
            <v>241333</v>
          </cell>
          <cell r="W656">
            <v>241333</v>
          </cell>
          <cell r="X656">
            <v>0</v>
          </cell>
        </row>
        <row r="657">
          <cell r="B657">
            <v>514101159534</v>
          </cell>
          <cell r="C657" t="str">
            <v>PJU RT03-04 RW06</v>
          </cell>
          <cell r="D657" t="str">
            <v>BAWANG</v>
          </cell>
          <cell r="E657"/>
          <cell r="F657"/>
          <cell r="G657" t="str">
            <v>P3</v>
          </cell>
          <cell r="H657">
            <v>2200</v>
          </cell>
          <cell r="I657" t="str">
            <v>202505</v>
          </cell>
          <cell r="J657" t="str">
            <v>052774</v>
          </cell>
          <cell r="K657">
            <v>488</v>
          </cell>
          <cell r="L657">
            <v>829371</v>
          </cell>
          <cell r="M657">
            <v>0</v>
          </cell>
          <cell r="N657">
            <v>829371</v>
          </cell>
          <cell r="O657">
            <v>0</v>
          </cell>
          <cell r="P657">
            <v>0</v>
          </cell>
          <cell r="Q657">
            <v>0</v>
          </cell>
          <cell r="R657">
            <v>829371</v>
          </cell>
          <cell r="S657">
            <v>0</v>
          </cell>
          <cell r="T657">
            <v>829371</v>
          </cell>
          <cell r="U657">
            <v>0</v>
          </cell>
          <cell r="V657">
            <v>829371</v>
          </cell>
          <cell r="W657">
            <v>829371</v>
          </cell>
          <cell r="X657">
            <v>0</v>
          </cell>
        </row>
        <row r="658">
          <cell r="B658">
            <v>514101159811</v>
          </cell>
          <cell r="C658" t="str">
            <v>PJU RT 36 RW VII</v>
          </cell>
          <cell r="D658" t="str">
            <v>WISMA ASRI 2</v>
          </cell>
          <cell r="E658"/>
          <cell r="F658"/>
          <cell r="G658" t="str">
            <v>P3</v>
          </cell>
          <cell r="H658">
            <v>900</v>
          </cell>
          <cell r="I658" t="str">
            <v>202505</v>
          </cell>
          <cell r="J658" t="str">
            <v>015790</v>
          </cell>
          <cell r="K658">
            <v>253</v>
          </cell>
          <cell r="L658">
            <v>429981</v>
          </cell>
          <cell r="M658">
            <v>0</v>
          </cell>
          <cell r="N658">
            <v>429981</v>
          </cell>
          <cell r="O658">
            <v>0</v>
          </cell>
          <cell r="P658">
            <v>0</v>
          </cell>
          <cell r="Q658">
            <v>0</v>
          </cell>
          <cell r="R658">
            <v>429981</v>
          </cell>
          <cell r="S658">
            <v>0</v>
          </cell>
          <cell r="T658">
            <v>429981</v>
          </cell>
          <cell r="U658">
            <v>0</v>
          </cell>
          <cell r="V658">
            <v>429981</v>
          </cell>
          <cell r="W658">
            <v>429981</v>
          </cell>
          <cell r="X658">
            <v>0</v>
          </cell>
        </row>
        <row r="659">
          <cell r="B659">
            <v>514101159829</v>
          </cell>
          <cell r="C659" t="str">
            <v>PJU RT27 RW V</v>
          </cell>
          <cell r="D659" t="str">
            <v>PESANTREN</v>
          </cell>
          <cell r="E659"/>
          <cell r="F659"/>
          <cell r="G659" t="str">
            <v>P3</v>
          </cell>
          <cell r="H659">
            <v>3500</v>
          </cell>
          <cell r="I659" t="str">
            <v>202505</v>
          </cell>
          <cell r="J659" t="str">
            <v>052038</v>
          </cell>
          <cell r="K659">
            <v>140</v>
          </cell>
          <cell r="L659">
            <v>237934</v>
          </cell>
          <cell r="M659">
            <v>0</v>
          </cell>
          <cell r="N659">
            <v>237934</v>
          </cell>
          <cell r="O659">
            <v>0</v>
          </cell>
          <cell r="P659">
            <v>0</v>
          </cell>
          <cell r="Q659">
            <v>0</v>
          </cell>
          <cell r="R659">
            <v>237934</v>
          </cell>
          <cell r="S659">
            <v>0</v>
          </cell>
          <cell r="T659">
            <v>237934</v>
          </cell>
          <cell r="U659">
            <v>0</v>
          </cell>
          <cell r="V659">
            <v>237934</v>
          </cell>
          <cell r="W659">
            <v>237934</v>
          </cell>
          <cell r="X659">
            <v>0</v>
          </cell>
        </row>
        <row r="660">
          <cell r="B660">
            <v>514101161249</v>
          </cell>
          <cell r="C660" t="str">
            <v>PJU PRODAMAS RT15 RW06</v>
          </cell>
          <cell r="D660" t="str">
            <v>BANARAN</v>
          </cell>
          <cell r="E660"/>
          <cell r="F660"/>
          <cell r="G660" t="str">
            <v>P3</v>
          </cell>
          <cell r="H660">
            <v>900</v>
          </cell>
          <cell r="I660" t="str">
            <v>202505</v>
          </cell>
          <cell r="J660" t="str">
            <v>051852</v>
          </cell>
          <cell r="K660">
            <v>46</v>
          </cell>
          <cell r="L660">
            <v>78178</v>
          </cell>
          <cell r="M660">
            <v>0</v>
          </cell>
          <cell r="N660">
            <v>78178</v>
          </cell>
          <cell r="O660">
            <v>0</v>
          </cell>
          <cell r="P660">
            <v>0</v>
          </cell>
          <cell r="Q660">
            <v>0</v>
          </cell>
          <cell r="R660">
            <v>78178</v>
          </cell>
          <cell r="S660">
            <v>0</v>
          </cell>
          <cell r="T660">
            <v>78178</v>
          </cell>
          <cell r="U660">
            <v>0</v>
          </cell>
          <cell r="V660">
            <v>78178</v>
          </cell>
          <cell r="W660">
            <v>78178</v>
          </cell>
          <cell r="X660">
            <v>0</v>
          </cell>
        </row>
        <row r="661">
          <cell r="B661">
            <v>514101161256</v>
          </cell>
          <cell r="C661" t="str">
            <v>PJU PRODAMAS RT13 RW05</v>
          </cell>
          <cell r="D661" t="str">
            <v>BANARAN</v>
          </cell>
          <cell r="E661"/>
          <cell r="F661"/>
          <cell r="G661" t="str">
            <v>P3</v>
          </cell>
          <cell r="H661">
            <v>900</v>
          </cell>
          <cell r="I661" t="str">
            <v>202505</v>
          </cell>
          <cell r="J661" t="str">
            <v>055173</v>
          </cell>
          <cell r="K661">
            <v>185</v>
          </cell>
          <cell r="L661">
            <v>314413</v>
          </cell>
          <cell r="M661">
            <v>0</v>
          </cell>
          <cell r="N661">
            <v>314413</v>
          </cell>
          <cell r="O661">
            <v>0</v>
          </cell>
          <cell r="P661">
            <v>0</v>
          </cell>
          <cell r="Q661">
            <v>0</v>
          </cell>
          <cell r="R661">
            <v>314413</v>
          </cell>
          <cell r="S661">
            <v>0</v>
          </cell>
          <cell r="T661">
            <v>314413</v>
          </cell>
          <cell r="U661">
            <v>0</v>
          </cell>
          <cell r="V661">
            <v>314413</v>
          </cell>
          <cell r="W661">
            <v>314413</v>
          </cell>
          <cell r="X661">
            <v>0</v>
          </cell>
        </row>
        <row r="662">
          <cell r="B662">
            <v>514101161264</v>
          </cell>
          <cell r="C662" t="str">
            <v>PJU PRODAMAS RT11 RW04</v>
          </cell>
          <cell r="D662" t="str">
            <v>BANARAN</v>
          </cell>
          <cell r="E662"/>
          <cell r="F662"/>
          <cell r="G662" t="str">
            <v>P3</v>
          </cell>
          <cell r="H662">
            <v>900</v>
          </cell>
          <cell r="I662" t="str">
            <v>202505</v>
          </cell>
          <cell r="J662" t="str">
            <v>064505</v>
          </cell>
          <cell r="K662">
            <v>87</v>
          </cell>
          <cell r="L662">
            <v>147859</v>
          </cell>
          <cell r="M662">
            <v>0</v>
          </cell>
          <cell r="N662">
            <v>147859</v>
          </cell>
          <cell r="O662">
            <v>0</v>
          </cell>
          <cell r="P662">
            <v>0</v>
          </cell>
          <cell r="Q662">
            <v>0</v>
          </cell>
          <cell r="R662">
            <v>147859</v>
          </cell>
          <cell r="S662">
            <v>0</v>
          </cell>
          <cell r="T662">
            <v>147859</v>
          </cell>
          <cell r="U662">
            <v>0</v>
          </cell>
          <cell r="V662">
            <v>147859</v>
          </cell>
          <cell r="W662">
            <v>147859</v>
          </cell>
          <cell r="X662">
            <v>0</v>
          </cell>
        </row>
        <row r="663">
          <cell r="B663">
            <v>514101161272</v>
          </cell>
          <cell r="C663" t="str">
            <v>PJU PRODAMAS RT29 RW05</v>
          </cell>
          <cell r="D663" t="str">
            <v>PAKUNDEN</v>
          </cell>
          <cell r="E663"/>
          <cell r="F663"/>
          <cell r="G663" t="str">
            <v>P3</v>
          </cell>
          <cell r="H663">
            <v>900</v>
          </cell>
          <cell r="I663" t="str">
            <v>202505</v>
          </cell>
          <cell r="J663" t="str">
            <v>002806</v>
          </cell>
          <cell r="K663">
            <v>58</v>
          </cell>
          <cell r="L663">
            <v>98573</v>
          </cell>
          <cell r="M663">
            <v>0</v>
          </cell>
          <cell r="N663">
            <v>98573</v>
          </cell>
          <cell r="O663">
            <v>0</v>
          </cell>
          <cell r="P663">
            <v>0</v>
          </cell>
          <cell r="Q663">
            <v>0</v>
          </cell>
          <cell r="R663">
            <v>98573</v>
          </cell>
          <cell r="S663">
            <v>0</v>
          </cell>
          <cell r="T663">
            <v>98573</v>
          </cell>
          <cell r="U663">
            <v>0</v>
          </cell>
          <cell r="V663">
            <v>98573</v>
          </cell>
          <cell r="W663">
            <v>98573</v>
          </cell>
          <cell r="X663">
            <v>0</v>
          </cell>
        </row>
        <row r="664">
          <cell r="B664">
            <v>514101161280</v>
          </cell>
          <cell r="C664" t="str">
            <v>PJU PRODAMAS RT22 RW04</v>
          </cell>
          <cell r="D664" t="str">
            <v>PAKUNDEN</v>
          </cell>
          <cell r="E664"/>
          <cell r="F664"/>
          <cell r="G664" t="str">
            <v>P3</v>
          </cell>
          <cell r="H664">
            <v>1300</v>
          </cell>
          <cell r="I664" t="str">
            <v>202505</v>
          </cell>
          <cell r="J664" t="str">
            <v>016793</v>
          </cell>
          <cell r="K664">
            <v>104</v>
          </cell>
          <cell r="L664">
            <v>176751</v>
          </cell>
          <cell r="M664">
            <v>0</v>
          </cell>
          <cell r="N664">
            <v>176751</v>
          </cell>
          <cell r="O664">
            <v>0</v>
          </cell>
          <cell r="P664">
            <v>0</v>
          </cell>
          <cell r="Q664">
            <v>0</v>
          </cell>
          <cell r="R664">
            <v>176751</v>
          </cell>
          <cell r="S664">
            <v>0</v>
          </cell>
          <cell r="T664">
            <v>176751</v>
          </cell>
          <cell r="U664">
            <v>0</v>
          </cell>
          <cell r="V664">
            <v>176751</v>
          </cell>
          <cell r="W664">
            <v>176751</v>
          </cell>
          <cell r="X664">
            <v>0</v>
          </cell>
        </row>
        <row r="665">
          <cell r="B665">
            <v>514101161298</v>
          </cell>
          <cell r="C665" t="str">
            <v>PJU RT15 RW03</v>
          </cell>
          <cell r="D665" t="str">
            <v>PAKUNDEN</v>
          </cell>
          <cell r="E665"/>
          <cell r="F665"/>
          <cell r="G665" t="str">
            <v>P3</v>
          </cell>
          <cell r="H665">
            <v>900</v>
          </cell>
          <cell r="I665" t="str">
            <v>202505</v>
          </cell>
          <cell r="J665" t="str">
            <v>004460</v>
          </cell>
          <cell r="K665">
            <v>208</v>
          </cell>
          <cell r="L665">
            <v>353502</v>
          </cell>
          <cell r="M665">
            <v>0</v>
          </cell>
          <cell r="N665">
            <v>353502</v>
          </cell>
          <cell r="O665">
            <v>0</v>
          </cell>
          <cell r="P665">
            <v>0</v>
          </cell>
          <cell r="Q665">
            <v>0</v>
          </cell>
          <cell r="R665">
            <v>353502</v>
          </cell>
          <cell r="S665">
            <v>0</v>
          </cell>
          <cell r="T665">
            <v>353502</v>
          </cell>
          <cell r="U665">
            <v>0</v>
          </cell>
          <cell r="V665">
            <v>353502</v>
          </cell>
          <cell r="W665">
            <v>353502</v>
          </cell>
          <cell r="X665">
            <v>0</v>
          </cell>
        </row>
        <row r="666">
          <cell r="B666">
            <v>514101161302</v>
          </cell>
          <cell r="C666" t="str">
            <v>PJU PRODAMAS RW05</v>
          </cell>
          <cell r="D666" t="str">
            <v>BAWANG</v>
          </cell>
          <cell r="E666"/>
          <cell r="F666"/>
          <cell r="G666" t="str">
            <v>P3</v>
          </cell>
          <cell r="H666">
            <v>2200</v>
          </cell>
          <cell r="I666" t="str">
            <v>202505</v>
          </cell>
          <cell r="J666" t="str">
            <v>058359</v>
          </cell>
          <cell r="K666">
            <v>993</v>
          </cell>
          <cell r="L666">
            <v>1687633</v>
          </cell>
          <cell r="M666">
            <v>0</v>
          </cell>
          <cell r="N666">
            <v>1687633</v>
          </cell>
          <cell r="O666">
            <v>0</v>
          </cell>
          <cell r="P666">
            <v>0</v>
          </cell>
          <cell r="Q666">
            <v>0</v>
          </cell>
          <cell r="R666">
            <v>1687633</v>
          </cell>
          <cell r="S666">
            <v>0</v>
          </cell>
          <cell r="T666">
            <v>1687633</v>
          </cell>
          <cell r="U666">
            <v>0</v>
          </cell>
          <cell r="V666">
            <v>1687633</v>
          </cell>
          <cell r="W666">
            <v>1687633</v>
          </cell>
          <cell r="X666">
            <v>0</v>
          </cell>
        </row>
        <row r="667">
          <cell r="B667">
            <v>514101161310</v>
          </cell>
          <cell r="C667" t="str">
            <v>PJU PRODAMAS RT18 RW07</v>
          </cell>
          <cell r="D667" t="str">
            <v>BANARAN</v>
          </cell>
          <cell r="E667"/>
          <cell r="F667"/>
          <cell r="G667" t="str">
            <v>P3</v>
          </cell>
          <cell r="H667">
            <v>900</v>
          </cell>
          <cell r="I667" t="str">
            <v>202505</v>
          </cell>
          <cell r="J667" t="str">
            <v>048546</v>
          </cell>
          <cell r="K667">
            <v>111</v>
          </cell>
          <cell r="L667">
            <v>188648</v>
          </cell>
          <cell r="M667">
            <v>0</v>
          </cell>
          <cell r="N667">
            <v>188648</v>
          </cell>
          <cell r="O667">
            <v>0</v>
          </cell>
          <cell r="P667">
            <v>0</v>
          </cell>
          <cell r="Q667">
            <v>0</v>
          </cell>
          <cell r="R667">
            <v>188648</v>
          </cell>
          <cell r="S667">
            <v>0</v>
          </cell>
          <cell r="T667">
            <v>188648</v>
          </cell>
          <cell r="U667">
            <v>0</v>
          </cell>
          <cell r="V667">
            <v>188648</v>
          </cell>
          <cell r="W667">
            <v>188648</v>
          </cell>
          <cell r="X667">
            <v>0</v>
          </cell>
        </row>
        <row r="668">
          <cell r="B668">
            <v>514101161328</v>
          </cell>
          <cell r="C668" t="str">
            <v>PJU PRODAMAS RT20 RW04</v>
          </cell>
          <cell r="D668" t="str">
            <v>PAKUNDEN</v>
          </cell>
          <cell r="E668"/>
          <cell r="F668"/>
          <cell r="G668" t="str">
            <v>P3</v>
          </cell>
          <cell r="H668">
            <v>900</v>
          </cell>
          <cell r="I668" t="str">
            <v>202505</v>
          </cell>
          <cell r="J668" t="str">
            <v>021611</v>
          </cell>
          <cell r="K668">
            <v>62</v>
          </cell>
          <cell r="L668">
            <v>105371</v>
          </cell>
          <cell r="M668">
            <v>0</v>
          </cell>
          <cell r="N668">
            <v>105371</v>
          </cell>
          <cell r="O668">
            <v>0</v>
          </cell>
          <cell r="P668">
            <v>0</v>
          </cell>
          <cell r="Q668">
            <v>0</v>
          </cell>
          <cell r="R668">
            <v>105371</v>
          </cell>
          <cell r="S668">
            <v>0</v>
          </cell>
          <cell r="T668">
            <v>105371</v>
          </cell>
          <cell r="U668">
            <v>0</v>
          </cell>
          <cell r="V668">
            <v>105371</v>
          </cell>
          <cell r="W668">
            <v>105371</v>
          </cell>
          <cell r="X668">
            <v>0</v>
          </cell>
        </row>
        <row r="669">
          <cell r="B669">
            <v>514101161336</v>
          </cell>
          <cell r="C669" t="str">
            <v>PJU RT16 RW03</v>
          </cell>
          <cell r="D669" t="str">
            <v>PAKUNDEN</v>
          </cell>
          <cell r="E669"/>
          <cell r="F669"/>
          <cell r="G669" t="str">
            <v>P3</v>
          </cell>
          <cell r="H669">
            <v>900</v>
          </cell>
          <cell r="I669" t="str">
            <v>202505</v>
          </cell>
          <cell r="J669" t="str">
            <v>009543</v>
          </cell>
          <cell r="K669">
            <v>159</v>
          </cell>
          <cell r="L669">
            <v>270225</v>
          </cell>
          <cell r="M669">
            <v>0</v>
          </cell>
          <cell r="N669">
            <v>270225</v>
          </cell>
          <cell r="O669">
            <v>0</v>
          </cell>
          <cell r="P669">
            <v>0</v>
          </cell>
          <cell r="Q669">
            <v>0</v>
          </cell>
          <cell r="R669">
            <v>270225</v>
          </cell>
          <cell r="S669">
            <v>0</v>
          </cell>
          <cell r="T669">
            <v>270225</v>
          </cell>
          <cell r="U669">
            <v>0</v>
          </cell>
          <cell r="V669">
            <v>270225</v>
          </cell>
          <cell r="W669">
            <v>270225</v>
          </cell>
          <cell r="X669">
            <v>0</v>
          </cell>
        </row>
        <row r="670">
          <cell r="B670">
            <v>514101162361</v>
          </cell>
          <cell r="C670" t="str">
            <v>PJU PRODAMAS RT04 RW07</v>
          </cell>
          <cell r="D670" t="str">
            <v>CENTONG</v>
          </cell>
          <cell r="E670"/>
          <cell r="F670"/>
          <cell r="G670" t="str">
            <v>P3</v>
          </cell>
          <cell r="H670">
            <v>2200</v>
          </cell>
          <cell r="I670" t="str">
            <v>202505</v>
          </cell>
          <cell r="J670" t="str">
            <v>050880</v>
          </cell>
          <cell r="K670">
            <v>822</v>
          </cell>
          <cell r="L670">
            <v>1397014</v>
          </cell>
          <cell r="M670">
            <v>0</v>
          </cell>
          <cell r="N670">
            <v>1397014</v>
          </cell>
          <cell r="O670">
            <v>0</v>
          </cell>
          <cell r="P670">
            <v>0</v>
          </cell>
          <cell r="Q670">
            <v>0</v>
          </cell>
          <cell r="R670">
            <v>1397014</v>
          </cell>
          <cell r="S670">
            <v>0</v>
          </cell>
          <cell r="T670">
            <v>1397014</v>
          </cell>
          <cell r="U670">
            <v>0</v>
          </cell>
          <cell r="V670">
            <v>1397014</v>
          </cell>
          <cell r="W670">
            <v>1397014</v>
          </cell>
          <cell r="X670">
            <v>0</v>
          </cell>
        </row>
        <row r="671">
          <cell r="B671">
            <v>514101163418</v>
          </cell>
          <cell r="C671" t="str">
            <v>PJU PRODAMAS RT22 RW09</v>
          </cell>
          <cell r="D671" t="str">
            <v>BETET</v>
          </cell>
          <cell r="E671"/>
          <cell r="F671"/>
          <cell r="G671" t="str">
            <v>P3</v>
          </cell>
          <cell r="H671">
            <v>1300</v>
          </cell>
          <cell r="I671" t="str">
            <v>202505</v>
          </cell>
          <cell r="J671" t="str">
            <v>063468</v>
          </cell>
          <cell r="K671">
            <v>80</v>
          </cell>
          <cell r="L671">
            <v>135962</v>
          </cell>
          <cell r="M671">
            <v>0</v>
          </cell>
          <cell r="N671">
            <v>135962</v>
          </cell>
          <cell r="O671">
            <v>0</v>
          </cell>
          <cell r="P671">
            <v>0</v>
          </cell>
          <cell r="Q671">
            <v>0</v>
          </cell>
          <cell r="R671">
            <v>135962</v>
          </cell>
          <cell r="S671">
            <v>0</v>
          </cell>
          <cell r="T671">
            <v>135962</v>
          </cell>
          <cell r="U671">
            <v>0</v>
          </cell>
          <cell r="V671">
            <v>135962</v>
          </cell>
          <cell r="W671">
            <v>135962</v>
          </cell>
          <cell r="X671">
            <v>0</v>
          </cell>
        </row>
        <row r="672">
          <cell r="B672">
            <v>514101163426</v>
          </cell>
          <cell r="C672" t="str">
            <v>PJU PRODAMAS</v>
          </cell>
          <cell r="D672" t="str">
            <v>BETET</v>
          </cell>
          <cell r="E672"/>
          <cell r="F672"/>
          <cell r="G672" t="str">
            <v>P3</v>
          </cell>
          <cell r="H672">
            <v>1300</v>
          </cell>
          <cell r="I672" t="str">
            <v>202505</v>
          </cell>
          <cell r="J672" t="str">
            <v>063751</v>
          </cell>
          <cell r="K672">
            <v>201</v>
          </cell>
          <cell r="L672">
            <v>341606</v>
          </cell>
          <cell r="M672">
            <v>0</v>
          </cell>
          <cell r="N672">
            <v>341606</v>
          </cell>
          <cell r="O672">
            <v>0</v>
          </cell>
          <cell r="P672">
            <v>0</v>
          </cell>
          <cell r="Q672">
            <v>0</v>
          </cell>
          <cell r="R672">
            <v>341606</v>
          </cell>
          <cell r="S672">
            <v>0</v>
          </cell>
          <cell r="T672">
            <v>341606</v>
          </cell>
          <cell r="U672">
            <v>0</v>
          </cell>
          <cell r="V672">
            <v>341606</v>
          </cell>
          <cell r="W672">
            <v>341606</v>
          </cell>
          <cell r="X672">
            <v>0</v>
          </cell>
        </row>
        <row r="673">
          <cell r="B673">
            <v>514101163434</v>
          </cell>
          <cell r="C673" t="str">
            <v>PJU PRODAMAS RT08 RW03</v>
          </cell>
          <cell r="D673" t="str">
            <v>BETET</v>
          </cell>
          <cell r="E673"/>
          <cell r="F673"/>
          <cell r="G673" t="str">
            <v>P3</v>
          </cell>
          <cell r="H673">
            <v>1300</v>
          </cell>
          <cell r="I673" t="str">
            <v>202505</v>
          </cell>
          <cell r="J673" t="str">
            <v>056169</v>
          </cell>
          <cell r="K673">
            <v>242</v>
          </cell>
          <cell r="L673">
            <v>411286</v>
          </cell>
          <cell r="M673">
            <v>0</v>
          </cell>
          <cell r="N673">
            <v>411286</v>
          </cell>
          <cell r="O673">
            <v>0</v>
          </cell>
          <cell r="P673">
            <v>0</v>
          </cell>
          <cell r="Q673">
            <v>0</v>
          </cell>
          <cell r="R673">
            <v>411286</v>
          </cell>
          <cell r="S673">
            <v>0</v>
          </cell>
          <cell r="T673">
            <v>411286</v>
          </cell>
          <cell r="U673">
            <v>0</v>
          </cell>
          <cell r="V673">
            <v>411286</v>
          </cell>
          <cell r="W673">
            <v>411286</v>
          </cell>
          <cell r="X673">
            <v>0</v>
          </cell>
        </row>
        <row r="674">
          <cell r="B674">
            <v>514101163442</v>
          </cell>
          <cell r="C674" t="str">
            <v>PJU PRODAMAS RT23 RW09</v>
          </cell>
          <cell r="D674" t="str">
            <v>BETET</v>
          </cell>
          <cell r="E674"/>
          <cell r="F674"/>
          <cell r="G674" t="str">
            <v>P3</v>
          </cell>
          <cell r="H674">
            <v>1300</v>
          </cell>
          <cell r="I674" t="str">
            <v>202505</v>
          </cell>
          <cell r="J674" t="str">
            <v>063103</v>
          </cell>
          <cell r="K674">
            <v>253</v>
          </cell>
          <cell r="L674">
            <v>429981</v>
          </cell>
          <cell r="M674">
            <v>0</v>
          </cell>
          <cell r="N674">
            <v>429981</v>
          </cell>
          <cell r="O674">
            <v>0</v>
          </cell>
          <cell r="P674">
            <v>0</v>
          </cell>
          <cell r="Q674">
            <v>0</v>
          </cell>
          <cell r="R674">
            <v>429981</v>
          </cell>
          <cell r="S674">
            <v>0</v>
          </cell>
          <cell r="T674">
            <v>429981</v>
          </cell>
          <cell r="U674">
            <v>0</v>
          </cell>
          <cell r="V674">
            <v>429981</v>
          </cell>
          <cell r="W674">
            <v>429981</v>
          </cell>
          <cell r="X674">
            <v>0</v>
          </cell>
        </row>
        <row r="675">
          <cell r="B675">
            <v>514101163459</v>
          </cell>
          <cell r="C675" t="str">
            <v>PJU PRODAMAS RT11 RW04</v>
          </cell>
          <cell r="D675" t="str">
            <v>BETET</v>
          </cell>
          <cell r="E675"/>
          <cell r="F675"/>
          <cell r="G675" t="str">
            <v>P3</v>
          </cell>
          <cell r="H675">
            <v>1300</v>
          </cell>
          <cell r="I675" t="str">
            <v>202505</v>
          </cell>
          <cell r="J675" t="str">
            <v>064598</v>
          </cell>
          <cell r="K675">
            <v>147</v>
          </cell>
          <cell r="L675">
            <v>249831</v>
          </cell>
          <cell r="M675">
            <v>0</v>
          </cell>
          <cell r="N675">
            <v>249831</v>
          </cell>
          <cell r="O675">
            <v>0</v>
          </cell>
          <cell r="P675">
            <v>0</v>
          </cell>
          <cell r="Q675">
            <v>0</v>
          </cell>
          <cell r="R675">
            <v>249831</v>
          </cell>
          <cell r="S675">
            <v>0</v>
          </cell>
          <cell r="T675">
            <v>249831</v>
          </cell>
          <cell r="U675">
            <v>0</v>
          </cell>
          <cell r="V675">
            <v>249831</v>
          </cell>
          <cell r="W675">
            <v>249831</v>
          </cell>
          <cell r="X675">
            <v>0</v>
          </cell>
        </row>
        <row r="676">
          <cell r="B676">
            <v>514101166727</v>
          </cell>
          <cell r="C676" t="str">
            <v>PJU PRODAMAS RT04 RW01</v>
          </cell>
          <cell r="D676" t="str">
            <v>NGRONGGO</v>
          </cell>
          <cell r="E676"/>
          <cell r="F676"/>
          <cell r="G676" t="str">
            <v>P3</v>
          </cell>
          <cell r="H676">
            <v>900</v>
          </cell>
          <cell r="I676" t="str">
            <v>202505</v>
          </cell>
          <cell r="J676" t="str">
            <v>000603</v>
          </cell>
          <cell r="K676">
            <v>111</v>
          </cell>
          <cell r="L676">
            <v>188648</v>
          </cell>
          <cell r="M676">
            <v>0</v>
          </cell>
          <cell r="N676">
            <v>188648</v>
          </cell>
          <cell r="O676">
            <v>0</v>
          </cell>
          <cell r="P676">
            <v>0</v>
          </cell>
          <cell r="Q676">
            <v>0</v>
          </cell>
          <cell r="R676">
            <v>188648</v>
          </cell>
          <cell r="S676">
            <v>0</v>
          </cell>
          <cell r="T676">
            <v>188648</v>
          </cell>
          <cell r="U676">
            <v>0</v>
          </cell>
          <cell r="V676">
            <v>188648</v>
          </cell>
          <cell r="W676">
            <v>188648</v>
          </cell>
          <cell r="X676">
            <v>0</v>
          </cell>
        </row>
        <row r="677">
          <cell r="B677">
            <v>514101166967</v>
          </cell>
          <cell r="C677" t="str">
            <v>PJU PRODAMAS RT02 RW03</v>
          </cell>
          <cell r="D677" t="str">
            <v>MANISRENGGO</v>
          </cell>
          <cell r="E677"/>
          <cell r="F677"/>
          <cell r="G677" t="str">
            <v>P3</v>
          </cell>
          <cell r="H677">
            <v>1300</v>
          </cell>
          <cell r="I677" t="str">
            <v>202505</v>
          </cell>
          <cell r="J677" t="str">
            <v>068528</v>
          </cell>
          <cell r="K677">
            <v>268</v>
          </cell>
          <cell r="L677">
            <v>455474</v>
          </cell>
          <cell r="M677">
            <v>0</v>
          </cell>
          <cell r="N677">
            <v>455474</v>
          </cell>
          <cell r="O677">
            <v>0</v>
          </cell>
          <cell r="P677">
            <v>0</v>
          </cell>
          <cell r="Q677">
            <v>0</v>
          </cell>
          <cell r="R677">
            <v>455474</v>
          </cell>
          <cell r="S677">
            <v>0</v>
          </cell>
          <cell r="T677">
            <v>455474</v>
          </cell>
          <cell r="U677">
            <v>0</v>
          </cell>
          <cell r="V677">
            <v>455474</v>
          </cell>
          <cell r="W677">
            <v>455474</v>
          </cell>
          <cell r="X677">
            <v>0</v>
          </cell>
        </row>
        <row r="678">
          <cell r="B678">
            <v>514101167475</v>
          </cell>
          <cell r="C678" t="str">
            <v>PJU PRODAMAS RT12/13 RW08</v>
          </cell>
          <cell r="D678" t="str">
            <v>MAWAR</v>
          </cell>
          <cell r="E678"/>
          <cell r="F678"/>
          <cell r="G678" t="str">
            <v>P3</v>
          </cell>
          <cell r="H678">
            <v>1300</v>
          </cell>
          <cell r="I678" t="str">
            <v>202505</v>
          </cell>
          <cell r="J678" t="str">
            <v>013528</v>
          </cell>
          <cell r="K678">
            <v>206</v>
          </cell>
          <cell r="L678">
            <v>350103</v>
          </cell>
          <cell r="M678">
            <v>0</v>
          </cell>
          <cell r="N678">
            <v>350103</v>
          </cell>
          <cell r="O678">
            <v>0</v>
          </cell>
          <cell r="P678">
            <v>0</v>
          </cell>
          <cell r="Q678">
            <v>0</v>
          </cell>
          <cell r="R678">
            <v>350103</v>
          </cell>
          <cell r="S678">
            <v>0</v>
          </cell>
          <cell r="T678">
            <v>350103</v>
          </cell>
          <cell r="U678">
            <v>0</v>
          </cell>
          <cell r="V678">
            <v>350103</v>
          </cell>
          <cell r="W678">
            <v>350103</v>
          </cell>
          <cell r="X678">
            <v>0</v>
          </cell>
        </row>
        <row r="679">
          <cell r="B679">
            <v>514101177275</v>
          </cell>
          <cell r="C679" t="str">
            <v>PJU PRODAMAS RT23 RW05</v>
          </cell>
          <cell r="D679" t="str">
            <v>SINGONEGARAN</v>
          </cell>
          <cell r="E679"/>
          <cell r="F679"/>
          <cell r="G679" t="str">
            <v>P3</v>
          </cell>
          <cell r="H679">
            <v>1300</v>
          </cell>
          <cell r="I679" t="str">
            <v>202505</v>
          </cell>
          <cell r="J679" t="str">
            <v>003855</v>
          </cell>
          <cell r="K679">
            <v>248</v>
          </cell>
          <cell r="L679">
            <v>421483</v>
          </cell>
          <cell r="M679">
            <v>0</v>
          </cell>
          <cell r="N679">
            <v>421483</v>
          </cell>
          <cell r="O679">
            <v>0</v>
          </cell>
          <cell r="P679">
            <v>0</v>
          </cell>
          <cell r="Q679">
            <v>0</v>
          </cell>
          <cell r="R679">
            <v>421483</v>
          </cell>
          <cell r="S679">
            <v>0</v>
          </cell>
          <cell r="T679">
            <v>421483</v>
          </cell>
          <cell r="U679">
            <v>0</v>
          </cell>
          <cell r="V679">
            <v>421483</v>
          </cell>
          <cell r="W679">
            <v>421483</v>
          </cell>
          <cell r="X679">
            <v>0</v>
          </cell>
        </row>
        <row r="680">
          <cell r="B680">
            <v>514101177283</v>
          </cell>
          <cell r="C680" t="str">
            <v>PJU PRODAMAS RT44 RW10</v>
          </cell>
          <cell r="D680" t="str">
            <v>PERMATA HIJAU</v>
          </cell>
          <cell r="E680"/>
          <cell r="F680"/>
          <cell r="G680" t="str">
            <v>P3</v>
          </cell>
          <cell r="H680">
            <v>900</v>
          </cell>
          <cell r="I680" t="str">
            <v>202505</v>
          </cell>
          <cell r="J680" t="str">
            <v>062646</v>
          </cell>
          <cell r="K680">
            <v>162</v>
          </cell>
          <cell r="L680">
            <v>275324</v>
          </cell>
          <cell r="M680">
            <v>0</v>
          </cell>
          <cell r="N680">
            <v>275324</v>
          </cell>
          <cell r="O680">
            <v>0</v>
          </cell>
          <cell r="P680">
            <v>0</v>
          </cell>
          <cell r="Q680">
            <v>0</v>
          </cell>
          <cell r="R680">
            <v>275324</v>
          </cell>
          <cell r="S680">
            <v>0</v>
          </cell>
          <cell r="T680">
            <v>275324</v>
          </cell>
          <cell r="U680">
            <v>0</v>
          </cell>
          <cell r="V680">
            <v>275324</v>
          </cell>
          <cell r="W680">
            <v>275324</v>
          </cell>
          <cell r="X680">
            <v>0</v>
          </cell>
        </row>
        <row r="681">
          <cell r="B681">
            <v>514101177466</v>
          </cell>
          <cell r="C681" t="str">
            <v>PJU PRODAMAS RT09 RW02</v>
          </cell>
          <cell r="D681" t="str">
            <v>PAKELAN</v>
          </cell>
          <cell r="E681"/>
          <cell r="F681"/>
          <cell r="G681" t="str">
            <v>P3</v>
          </cell>
          <cell r="H681">
            <v>900</v>
          </cell>
          <cell r="I681" t="str">
            <v>202505</v>
          </cell>
          <cell r="J681" t="str">
            <v>065305</v>
          </cell>
          <cell r="K681">
            <v>36</v>
          </cell>
          <cell r="L681">
            <v>61183</v>
          </cell>
          <cell r="M681">
            <v>0</v>
          </cell>
          <cell r="N681">
            <v>61183</v>
          </cell>
          <cell r="O681">
            <v>0</v>
          </cell>
          <cell r="P681">
            <v>0</v>
          </cell>
          <cell r="Q681">
            <v>0</v>
          </cell>
          <cell r="R681">
            <v>61183</v>
          </cell>
          <cell r="S681">
            <v>0</v>
          </cell>
          <cell r="T681">
            <v>61183</v>
          </cell>
          <cell r="U681">
            <v>0</v>
          </cell>
          <cell r="V681">
            <v>61183</v>
          </cell>
          <cell r="W681">
            <v>61183</v>
          </cell>
          <cell r="X681">
            <v>0</v>
          </cell>
        </row>
        <row r="682">
          <cell r="B682">
            <v>514101177474</v>
          </cell>
          <cell r="C682" t="str">
            <v>PJU PRODAMAS RT08 RW02</v>
          </cell>
          <cell r="D682" t="str">
            <v>PAKELAN</v>
          </cell>
          <cell r="E682"/>
          <cell r="F682"/>
          <cell r="G682" t="str">
            <v>P3</v>
          </cell>
          <cell r="H682">
            <v>900</v>
          </cell>
          <cell r="I682" t="str">
            <v>202505</v>
          </cell>
          <cell r="J682" t="str">
            <v>000471</v>
          </cell>
          <cell r="K682">
            <v>52</v>
          </cell>
          <cell r="L682">
            <v>88376</v>
          </cell>
          <cell r="M682">
            <v>0</v>
          </cell>
          <cell r="N682">
            <v>88376</v>
          </cell>
          <cell r="O682">
            <v>0</v>
          </cell>
          <cell r="P682">
            <v>0</v>
          </cell>
          <cell r="Q682">
            <v>0</v>
          </cell>
          <cell r="R682">
            <v>88376</v>
          </cell>
          <cell r="S682">
            <v>0</v>
          </cell>
          <cell r="T682">
            <v>88376</v>
          </cell>
          <cell r="U682">
            <v>0</v>
          </cell>
          <cell r="V682">
            <v>88376</v>
          </cell>
          <cell r="W682">
            <v>88376</v>
          </cell>
          <cell r="X682">
            <v>0</v>
          </cell>
        </row>
        <row r="683">
          <cell r="B683">
            <v>514101177880</v>
          </cell>
          <cell r="C683" t="str">
            <v>PJU PRODAMAS RT17 RW04</v>
          </cell>
          <cell r="D683" t="str">
            <v>PAKUNDEN</v>
          </cell>
          <cell r="E683"/>
          <cell r="F683"/>
          <cell r="G683" t="str">
            <v>P3</v>
          </cell>
          <cell r="H683">
            <v>1300</v>
          </cell>
          <cell r="I683" t="str">
            <v>202505</v>
          </cell>
          <cell r="J683" t="str">
            <v>020177</v>
          </cell>
          <cell r="K683">
            <v>73</v>
          </cell>
          <cell r="L683">
            <v>124066</v>
          </cell>
          <cell r="M683">
            <v>0</v>
          </cell>
          <cell r="N683">
            <v>124066</v>
          </cell>
          <cell r="O683">
            <v>0</v>
          </cell>
          <cell r="P683">
            <v>0</v>
          </cell>
          <cell r="Q683">
            <v>0</v>
          </cell>
          <cell r="R683">
            <v>124066</v>
          </cell>
          <cell r="S683">
            <v>0</v>
          </cell>
          <cell r="T683">
            <v>124066</v>
          </cell>
          <cell r="U683">
            <v>0</v>
          </cell>
          <cell r="V683">
            <v>124066</v>
          </cell>
          <cell r="W683">
            <v>124066</v>
          </cell>
          <cell r="X683">
            <v>0</v>
          </cell>
        </row>
        <row r="684">
          <cell r="B684">
            <v>514101177898</v>
          </cell>
          <cell r="C684" t="str">
            <v>PJU PRODAMAS RTR42 RW06</v>
          </cell>
          <cell r="D684" t="str">
            <v>CAHAYA PERMATA</v>
          </cell>
          <cell r="E684"/>
          <cell r="F684"/>
          <cell r="G684" t="str">
            <v>P3</v>
          </cell>
          <cell r="H684">
            <v>900</v>
          </cell>
          <cell r="I684" t="str">
            <v>202505</v>
          </cell>
          <cell r="J684" t="str">
            <v>012864</v>
          </cell>
          <cell r="K684">
            <v>78</v>
          </cell>
          <cell r="L684">
            <v>132563</v>
          </cell>
          <cell r="M684">
            <v>0</v>
          </cell>
          <cell r="N684">
            <v>132563</v>
          </cell>
          <cell r="O684">
            <v>0</v>
          </cell>
          <cell r="P684">
            <v>0</v>
          </cell>
          <cell r="Q684">
            <v>0</v>
          </cell>
          <cell r="R684">
            <v>132563</v>
          </cell>
          <cell r="S684">
            <v>0</v>
          </cell>
          <cell r="T684">
            <v>132563</v>
          </cell>
          <cell r="U684">
            <v>0</v>
          </cell>
          <cell r="V684">
            <v>132563</v>
          </cell>
          <cell r="W684">
            <v>132563</v>
          </cell>
          <cell r="X684">
            <v>0</v>
          </cell>
        </row>
        <row r="685">
          <cell r="B685">
            <v>514101177902</v>
          </cell>
          <cell r="C685" t="str">
            <v>PJU PRODAMAS RT18 RW04</v>
          </cell>
          <cell r="D685" t="str">
            <v>PAKUNDEN</v>
          </cell>
          <cell r="E685"/>
          <cell r="F685"/>
          <cell r="G685" t="str">
            <v>P3</v>
          </cell>
          <cell r="H685">
            <v>1300</v>
          </cell>
          <cell r="I685" t="str">
            <v>202505</v>
          </cell>
          <cell r="J685" t="str">
            <v>002286</v>
          </cell>
          <cell r="K685">
            <v>100</v>
          </cell>
          <cell r="L685">
            <v>169953</v>
          </cell>
          <cell r="M685">
            <v>0</v>
          </cell>
          <cell r="N685">
            <v>169953</v>
          </cell>
          <cell r="O685">
            <v>0</v>
          </cell>
          <cell r="P685">
            <v>0</v>
          </cell>
          <cell r="Q685">
            <v>0</v>
          </cell>
          <cell r="R685">
            <v>169953</v>
          </cell>
          <cell r="S685">
            <v>0</v>
          </cell>
          <cell r="T685">
            <v>169953</v>
          </cell>
          <cell r="U685">
            <v>0</v>
          </cell>
          <cell r="V685">
            <v>169953</v>
          </cell>
          <cell r="W685">
            <v>169953</v>
          </cell>
          <cell r="X685">
            <v>0</v>
          </cell>
        </row>
        <row r="686">
          <cell r="B686">
            <v>514101177910</v>
          </cell>
          <cell r="C686" t="str">
            <v>PJU PRODAMAS RT19 RW04</v>
          </cell>
          <cell r="D686" t="str">
            <v>PAKUNDEN</v>
          </cell>
          <cell r="E686"/>
          <cell r="F686"/>
          <cell r="G686" t="str">
            <v>P3</v>
          </cell>
          <cell r="H686">
            <v>1300</v>
          </cell>
          <cell r="I686" t="str">
            <v>202505</v>
          </cell>
          <cell r="J686" t="str">
            <v>007542</v>
          </cell>
          <cell r="K686">
            <v>169</v>
          </cell>
          <cell r="L686">
            <v>287221</v>
          </cell>
          <cell r="M686">
            <v>0</v>
          </cell>
          <cell r="N686">
            <v>287221</v>
          </cell>
          <cell r="O686">
            <v>0</v>
          </cell>
          <cell r="P686">
            <v>0</v>
          </cell>
          <cell r="Q686">
            <v>0</v>
          </cell>
          <cell r="R686">
            <v>287221</v>
          </cell>
          <cell r="S686">
            <v>0</v>
          </cell>
          <cell r="T686">
            <v>287221</v>
          </cell>
          <cell r="U686">
            <v>0</v>
          </cell>
          <cell r="V686">
            <v>287221</v>
          </cell>
          <cell r="W686">
            <v>287221</v>
          </cell>
          <cell r="X686">
            <v>0</v>
          </cell>
        </row>
        <row r="687">
          <cell r="B687">
            <v>514101177928</v>
          </cell>
          <cell r="C687" t="str">
            <v>PJU PRODAMAS RT21 RW04</v>
          </cell>
          <cell r="D687" t="str">
            <v>PAKUNDEN</v>
          </cell>
          <cell r="E687"/>
          <cell r="F687"/>
          <cell r="G687" t="str">
            <v>P3</v>
          </cell>
          <cell r="H687">
            <v>1300</v>
          </cell>
          <cell r="I687" t="str">
            <v>202505</v>
          </cell>
          <cell r="J687" t="str">
            <v>013258</v>
          </cell>
          <cell r="K687">
            <v>84</v>
          </cell>
          <cell r="L687">
            <v>142761</v>
          </cell>
          <cell r="M687">
            <v>0</v>
          </cell>
          <cell r="N687">
            <v>142761</v>
          </cell>
          <cell r="O687">
            <v>0</v>
          </cell>
          <cell r="P687">
            <v>0</v>
          </cell>
          <cell r="Q687">
            <v>0</v>
          </cell>
          <cell r="R687">
            <v>142761</v>
          </cell>
          <cell r="S687">
            <v>0</v>
          </cell>
          <cell r="T687">
            <v>142761</v>
          </cell>
          <cell r="U687">
            <v>0</v>
          </cell>
          <cell r="V687">
            <v>142761</v>
          </cell>
          <cell r="W687">
            <v>142761</v>
          </cell>
          <cell r="X687">
            <v>0</v>
          </cell>
        </row>
        <row r="688">
          <cell r="B688">
            <v>514101178116</v>
          </cell>
          <cell r="C688" t="str">
            <v>PJU PRODAMAS RT03 RW08</v>
          </cell>
          <cell r="D688" t="str">
            <v>NGRONGGO</v>
          </cell>
          <cell r="E688"/>
          <cell r="F688"/>
          <cell r="G688" t="str">
            <v>P3</v>
          </cell>
          <cell r="H688">
            <v>900</v>
          </cell>
          <cell r="I688" t="str">
            <v>202505</v>
          </cell>
          <cell r="J688" t="str">
            <v>015988</v>
          </cell>
          <cell r="K688">
            <v>65</v>
          </cell>
          <cell r="L688">
            <v>110469</v>
          </cell>
          <cell r="M688">
            <v>0</v>
          </cell>
          <cell r="N688">
            <v>110469</v>
          </cell>
          <cell r="O688">
            <v>0</v>
          </cell>
          <cell r="P688">
            <v>0</v>
          </cell>
          <cell r="Q688">
            <v>0</v>
          </cell>
          <cell r="R688">
            <v>110469</v>
          </cell>
          <cell r="S688">
            <v>0</v>
          </cell>
          <cell r="T688">
            <v>110469</v>
          </cell>
          <cell r="U688">
            <v>0</v>
          </cell>
          <cell r="V688">
            <v>110469</v>
          </cell>
          <cell r="W688">
            <v>110469</v>
          </cell>
          <cell r="X688">
            <v>0</v>
          </cell>
        </row>
        <row r="689">
          <cell r="B689">
            <v>514101178140</v>
          </cell>
          <cell r="C689" t="str">
            <v>PJU PRODAMAS RT16 RW06</v>
          </cell>
          <cell r="D689" t="str">
            <v>BANARAN</v>
          </cell>
          <cell r="E689"/>
          <cell r="F689"/>
          <cell r="G689" t="str">
            <v>P3</v>
          </cell>
          <cell r="H689">
            <v>900</v>
          </cell>
          <cell r="I689" t="str">
            <v>202505</v>
          </cell>
          <cell r="J689" t="str">
            <v>050503</v>
          </cell>
          <cell r="K689">
            <v>94</v>
          </cell>
          <cell r="L689">
            <v>159756</v>
          </cell>
          <cell r="M689">
            <v>0</v>
          </cell>
          <cell r="N689">
            <v>159756</v>
          </cell>
          <cell r="O689">
            <v>0</v>
          </cell>
          <cell r="P689">
            <v>0</v>
          </cell>
          <cell r="Q689">
            <v>0</v>
          </cell>
          <cell r="R689">
            <v>159756</v>
          </cell>
          <cell r="S689">
            <v>0</v>
          </cell>
          <cell r="T689">
            <v>159756</v>
          </cell>
          <cell r="U689">
            <v>0</v>
          </cell>
          <cell r="V689">
            <v>159756</v>
          </cell>
          <cell r="W689">
            <v>159756</v>
          </cell>
          <cell r="X689">
            <v>0</v>
          </cell>
        </row>
        <row r="690">
          <cell r="B690">
            <v>514101178157</v>
          </cell>
          <cell r="C690" t="str">
            <v>PJU PRODAMAS RT14 RW05</v>
          </cell>
          <cell r="D690" t="str">
            <v>BANARAN</v>
          </cell>
          <cell r="E690"/>
          <cell r="F690"/>
          <cell r="G690" t="str">
            <v>P3</v>
          </cell>
          <cell r="H690">
            <v>1300</v>
          </cell>
          <cell r="I690" t="str">
            <v>202505</v>
          </cell>
          <cell r="J690" t="str">
            <v>028237</v>
          </cell>
          <cell r="K690">
            <v>205</v>
          </cell>
          <cell r="L690">
            <v>348404</v>
          </cell>
          <cell r="M690">
            <v>0</v>
          </cell>
          <cell r="N690">
            <v>348404</v>
          </cell>
          <cell r="O690">
            <v>0</v>
          </cell>
          <cell r="P690">
            <v>0</v>
          </cell>
          <cell r="Q690">
            <v>0</v>
          </cell>
          <cell r="R690">
            <v>348404</v>
          </cell>
          <cell r="S690">
            <v>0</v>
          </cell>
          <cell r="T690">
            <v>348404</v>
          </cell>
          <cell r="U690">
            <v>0</v>
          </cell>
          <cell r="V690">
            <v>348404</v>
          </cell>
          <cell r="W690">
            <v>348404</v>
          </cell>
          <cell r="X690">
            <v>0</v>
          </cell>
        </row>
        <row r="691">
          <cell r="B691">
            <v>514101179565</v>
          </cell>
          <cell r="C691" t="str">
            <v>PJU PRODAMAS RT07 RW02</v>
          </cell>
          <cell r="D691" t="str">
            <v>JAMSAREN</v>
          </cell>
          <cell r="E691"/>
          <cell r="F691"/>
          <cell r="G691" t="str">
            <v>P3</v>
          </cell>
          <cell r="H691">
            <v>900</v>
          </cell>
          <cell r="I691" t="str">
            <v>202505</v>
          </cell>
          <cell r="J691" t="str">
            <v>016206</v>
          </cell>
          <cell r="K691">
            <v>131</v>
          </cell>
          <cell r="L691">
            <v>222638</v>
          </cell>
          <cell r="M691">
            <v>0</v>
          </cell>
          <cell r="N691">
            <v>222638</v>
          </cell>
          <cell r="O691">
            <v>0</v>
          </cell>
          <cell r="P691">
            <v>0</v>
          </cell>
          <cell r="Q691">
            <v>0</v>
          </cell>
          <cell r="R691">
            <v>222638</v>
          </cell>
          <cell r="S691">
            <v>0</v>
          </cell>
          <cell r="T691">
            <v>222638</v>
          </cell>
          <cell r="U691">
            <v>0</v>
          </cell>
          <cell r="V691">
            <v>222638</v>
          </cell>
          <cell r="W691">
            <v>222638</v>
          </cell>
          <cell r="X691">
            <v>0</v>
          </cell>
        </row>
        <row r="692">
          <cell r="B692">
            <v>514101180484</v>
          </cell>
          <cell r="C692" t="str">
            <v>PJU PRODAMAS RT04 RW02</v>
          </cell>
          <cell r="D692" t="str">
            <v>BANGSAL</v>
          </cell>
          <cell r="E692"/>
          <cell r="F692"/>
          <cell r="G692" t="str">
            <v>P3</v>
          </cell>
          <cell r="H692">
            <v>900</v>
          </cell>
          <cell r="I692" t="str">
            <v>202505</v>
          </cell>
          <cell r="J692" t="str">
            <v>021743</v>
          </cell>
          <cell r="K692">
            <v>189</v>
          </cell>
          <cell r="L692">
            <v>321211</v>
          </cell>
          <cell r="M692">
            <v>0</v>
          </cell>
          <cell r="N692">
            <v>321211</v>
          </cell>
          <cell r="O692">
            <v>0</v>
          </cell>
          <cell r="P692">
            <v>0</v>
          </cell>
          <cell r="Q692">
            <v>0</v>
          </cell>
          <cell r="R692">
            <v>321211</v>
          </cell>
          <cell r="S692">
            <v>0</v>
          </cell>
          <cell r="T692">
            <v>321211</v>
          </cell>
          <cell r="U692">
            <v>0</v>
          </cell>
          <cell r="V692">
            <v>321211</v>
          </cell>
          <cell r="W692">
            <v>321211</v>
          </cell>
          <cell r="X692">
            <v>0</v>
          </cell>
        </row>
        <row r="693">
          <cell r="B693">
            <v>514101183736</v>
          </cell>
          <cell r="C693" t="str">
            <v>PJU PRODAMAS RT.04 RW.03</v>
          </cell>
          <cell r="D693" t="str">
            <v>TINALAN</v>
          </cell>
          <cell r="E693"/>
          <cell r="F693"/>
          <cell r="G693" t="str">
            <v>P3</v>
          </cell>
          <cell r="H693">
            <v>900</v>
          </cell>
          <cell r="I693" t="str">
            <v>202505</v>
          </cell>
          <cell r="J693" t="str">
            <v>056551</v>
          </cell>
          <cell r="K693">
            <v>317</v>
          </cell>
          <cell r="L693">
            <v>538751</v>
          </cell>
          <cell r="M693">
            <v>0</v>
          </cell>
          <cell r="N693">
            <v>538751</v>
          </cell>
          <cell r="O693">
            <v>0</v>
          </cell>
          <cell r="P693">
            <v>0</v>
          </cell>
          <cell r="Q693">
            <v>0</v>
          </cell>
          <cell r="R693">
            <v>538751</v>
          </cell>
          <cell r="S693">
            <v>0</v>
          </cell>
          <cell r="T693">
            <v>538751</v>
          </cell>
          <cell r="U693">
            <v>0</v>
          </cell>
          <cell r="V693">
            <v>538751</v>
          </cell>
          <cell r="W693">
            <v>538751</v>
          </cell>
          <cell r="X693">
            <v>0</v>
          </cell>
        </row>
        <row r="694">
          <cell r="B694">
            <v>514101184747</v>
          </cell>
          <cell r="C694" t="str">
            <v>PJU PRODAMAS RT 5 RW 3</v>
          </cell>
          <cell r="D694" t="str">
            <v>NGRONGGO</v>
          </cell>
          <cell r="E694"/>
          <cell r="F694"/>
          <cell r="G694" t="str">
            <v>P3</v>
          </cell>
          <cell r="H694">
            <v>900</v>
          </cell>
          <cell r="I694" t="str">
            <v>202505</v>
          </cell>
          <cell r="J694" t="str">
            <v>008529</v>
          </cell>
          <cell r="K694">
            <v>144</v>
          </cell>
          <cell r="L694">
            <v>244732</v>
          </cell>
          <cell r="M694">
            <v>0</v>
          </cell>
          <cell r="N694">
            <v>244732</v>
          </cell>
          <cell r="O694">
            <v>0</v>
          </cell>
          <cell r="P694">
            <v>0</v>
          </cell>
          <cell r="Q694">
            <v>0</v>
          </cell>
          <cell r="R694">
            <v>244732</v>
          </cell>
          <cell r="S694">
            <v>0</v>
          </cell>
          <cell r="T694">
            <v>244732</v>
          </cell>
          <cell r="U694">
            <v>0</v>
          </cell>
          <cell r="V694">
            <v>244732</v>
          </cell>
          <cell r="W694">
            <v>244732</v>
          </cell>
          <cell r="X694">
            <v>0</v>
          </cell>
        </row>
        <row r="695">
          <cell r="B695">
            <v>514101184754</v>
          </cell>
          <cell r="C695" t="str">
            <v>PJU PRODAMAS RT 4 RW 3</v>
          </cell>
          <cell r="D695" t="str">
            <v>KEL NGRONGGO</v>
          </cell>
          <cell r="E695"/>
          <cell r="F695"/>
          <cell r="G695" t="str">
            <v>P3</v>
          </cell>
          <cell r="H695">
            <v>900</v>
          </cell>
          <cell r="I695" t="str">
            <v>202505</v>
          </cell>
          <cell r="J695" t="str">
            <v>021771</v>
          </cell>
          <cell r="K695">
            <v>54</v>
          </cell>
          <cell r="L695">
            <v>91775</v>
          </cell>
          <cell r="M695">
            <v>0</v>
          </cell>
          <cell r="N695">
            <v>91775</v>
          </cell>
          <cell r="O695">
            <v>0</v>
          </cell>
          <cell r="P695">
            <v>0</v>
          </cell>
          <cell r="Q695">
            <v>0</v>
          </cell>
          <cell r="R695">
            <v>91775</v>
          </cell>
          <cell r="S695">
            <v>0</v>
          </cell>
          <cell r="T695">
            <v>91775</v>
          </cell>
          <cell r="U695">
            <v>0</v>
          </cell>
          <cell r="V695">
            <v>91775</v>
          </cell>
          <cell r="W695">
            <v>91775</v>
          </cell>
          <cell r="X695">
            <v>0</v>
          </cell>
        </row>
        <row r="696">
          <cell r="B696">
            <v>514101186080</v>
          </cell>
          <cell r="C696" t="str">
            <v>PJU PRODAMAS RT20 RW07</v>
          </cell>
          <cell r="D696" t="str">
            <v>BLABAK</v>
          </cell>
          <cell r="E696"/>
          <cell r="F696"/>
          <cell r="G696" t="str">
            <v>P3</v>
          </cell>
          <cell r="H696">
            <v>900</v>
          </cell>
          <cell r="I696" t="str">
            <v>202505</v>
          </cell>
          <cell r="J696" t="str">
            <v>065571</v>
          </cell>
          <cell r="K696">
            <v>190</v>
          </cell>
          <cell r="L696">
            <v>322911</v>
          </cell>
          <cell r="M696">
            <v>0</v>
          </cell>
          <cell r="N696">
            <v>322911</v>
          </cell>
          <cell r="O696">
            <v>0</v>
          </cell>
          <cell r="P696">
            <v>0</v>
          </cell>
          <cell r="Q696">
            <v>0</v>
          </cell>
          <cell r="R696">
            <v>322911</v>
          </cell>
          <cell r="S696">
            <v>0</v>
          </cell>
          <cell r="T696">
            <v>322911</v>
          </cell>
          <cell r="U696">
            <v>0</v>
          </cell>
          <cell r="V696">
            <v>322911</v>
          </cell>
          <cell r="W696">
            <v>322911</v>
          </cell>
          <cell r="X696">
            <v>0</v>
          </cell>
        </row>
        <row r="697">
          <cell r="B697">
            <v>514101186098</v>
          </cell>
          <cell r="C697" t="str">
            <v>PJU PRODAMAS RT05 RW02</v>
          </cell>
          <cell r="D697" t="str">
            <v>BLABAK</v>
          </cell>
          <cell r="E697"/>
          <cell r="F697"/>
          <cell r="G697" t="str">
            <v>P3</v>
          </cell>
          <cell r="H697">
            <v>900</v>
          </cell>
          <cell r="I697" t="str">
            <v>202505</v>
          </cell>
          <cell r="J697" t="str">
            <v>023390</v>
          </cell>
          <cell r="K697">
            <v>83</v>
          </cell>
          <cell r="L697">
            <v>141061</v>
          </cell>
          <cell r="M697">
            <v>0</v>
          </cell>
          <cell r="N697">
            <v>141061</v>
          </cell>
          <cell r="O697">
            <v>0</v>
          </cell>
          <cell r="P697">
            <v>0</v>
          </cell>
          <cell r="Q697">
            <v>0</v>
          </cell>
          <cell r="R697">
            <v>141061</v>
          </cell>
          <cell r="S697">
            <v>0</v>
          </cell>
          <cell r="T697">
            <v>141061</v>
          </cell>
          <cell r="U697">
            <v>0</v>
          </cell>
          <cell r="V697">
            <v>141061</v>
          </cell>
          <cell r="W697">
            <v>141061</v>
          </cell>
          <cell r="X697">
            <v>0</v>
          </cell>
        </row>
        <row r="698">
          <cell r="B698">
            <v>514101186102</v>
          </cell>
          <cell r="C698" t="str">
            <v>PJU PRODAMAS RT17 RW06</v>
          </cell>
          <cell r="D698" t="str">
            <v>BLABAK</v>
          </cell>
          <cell r="E698"/>
          <cell r="F698"/>
          <cell r="G698" t="str">
            <v>P3</v>
          </cell>
          <cell r="H698">
            <v>900</v>
          </cell>
          <cell r="I698" t="str">
            <v>202505</v>
          </cell>
          <cell r="J698" t="str">
            <v>051810</v>
          </cell>
          <cell r="K698">
            <v>37</v>
          </cell>
          <cell r="L698">
            <v>62883</v>
          </cell>
          <cell r="M698">
            <v>0</v>
          </cell>
          <cell r="N698">
            <v>62883</v>
          </cell>
          <cell r="O698">
            <v>0</v>
          </cell>
          <cell r="P698">
            <v>0</v>
          </cell>
          <cell r="Q698">
            <v>0</v>
          </cell>
          <cell r="R698">
            <v>62883</v>
          </cell>
          <cell r="S698">
            <v>0</v>
          </cell>
          <cell r="T698">
            <v>62883</v>
          </cell>
          <cell r="U698">
            <v>0</v>
          </cell>
          <cell r="V698">
            <v>62883</v>
          </cell>
          <cell r="W698">
            <v>62883</v>
          </cell>
          <cell r="X698">
            <v>0</v>
          </cell>
        </row>
        <row r="699">
          <cell r="B699">
            <v>514101186110</v>
          </cell>
          <cell r="C699" t="str">
            <v>PJU PRODAMAS RT02 RW01</v>
          </cell>
          <cell r="D699" t="str">
            <v>BLABAK</v>
          </cell>
          <cell r="E699"/>
          <cell r="F699"/>
          <cell r="G699" t="str">
            <v>P3</v>
          </cell>
          <cell r="H699">
            <v>900</v>
          </cell>
          <cell r="I699" t="str">
            <v>202505</v>
          </cell>
          <cell r="J699" t="str">
            <v>014384</v>
          </cell>
          <cell r="K699">
            <v>92</v>
          </cell>
          <cell r="L699">
            <v>156357</v>
          </cell>
          <cell r="M699">
            <v>0</v>
          </cell>
          <cell r="N699">
            <v>156357</v>
          </cell>
          <cell r="O699">
            <v>0</v>
          </cell>
          <cell r="P699">
            <v>0</v>
          </cell>
          <cell r="Q699">
            <v>0</v>
          </cell>
          <cell r="R699">
            <v>156357</v>
          </cell>
          <cell r="S699">
            <v>0</v>
          </cell>
          <cell r="T699">
            <v>156357</v>
          </cell>
          <cell r="U699">
            <v>0</v>
          </cell>
          <cell r="V699">
            <v>156357</v>
          </cell>
          <cell r="W699">
            <v>156357</v>
          </cell>
          <cell r="X699">
            <v>0</v>
          </cell>
        </row>
        <row r="700">
          <cell r="B700">
            <v>514101187338</v>
          </cell>
          <cell r="C700" t="str">
            <v>PJU PRODAMAS RT19 RW04</v>
          </cell>
          <cell r="D700" t="str">
            <v>SINGONEGARAN</v>
          </cell>
          <cell r="E700"/>
          <cell r="F700"/>
          <cell r="G700" t="str">
            <v>P3</v>
          </cell>
          <cell r="H700">
            <v>900</v>
          </cell>
          <cell r="I700" t="str">
            <v>202505</v>
          </cell>
          <cell r="J700" t="str">
            <v>056066</v>
          </cell>
          <cell r="K700">
            <v>287</v>
          </cell>
          <cell r="L700">
            <v>487765</v>
          </cell>
          <cell r="M700">
            <v>0</v>
          </cell>
          <cell r="N700">
            <v>487765</v>
          </cell>
          <cell r="O700">
            <v>0</v>
          </cell>
          <cell r="P700">
            <v>0</v>
          </cell>
          <cell r="Q700">
            <v>0</v>
          </cell>
          <cell r="R700">
            <v>487765</v>
          </cell>
          <cell r="S700">
            <v>0</v>
          </cell>
          <cell r="T700">
            <v>487765</v>
          </cell>
          <cell r="U700">
            <v>0</v>
          </cell>
          <cell r="V700">
            <v>487765</v>
          </cell>
          <cell r="W700">
            <v>487765</v>
          </cell>
          <cell r="X700">
            <v>0</v>
          </cell>
        </row>
        <row r="701">
          <cell r="B701">
            <v>514101187346</v>
          </cell>
          <cell r="C701" t="str">
            <v>PJU PRODAMAS RT14 RW03</v>
          </cell>
          <cell r="D701" t="str">
            <v>SINGNEGARAN</v>
          </cell>
          <cell r="E701"/>
          <cell r="F701"/>
          <cell r="G701" t="str">
            <v>P3</v>
          </cell>
          <cell r="H701">
            <v>900</v>
          </cell>
          <cell r="I701" t="str">
            <v>202505</v>
          </cell>
          <cell r="J701" t="str">
            <v>000593</v>
          </cell>
          <cell r="K701">
            <v>106</v>
          </cell>
          <cell r="L701">
            <v>180150</v>
          </cell>
          <cell r="M701">
            <v>0</v>
          </cell>
          <cell r="N701">
            <v>180150</v>
          </cell>
          <cell r="O701">
            <v>0</v>
          </cell>
          <cell r="P701">
            <v>0</v>
          </cell>
          <cell r="Q701">
            <v>0</v>
          </cell>
          <cell r="R701">
            <v>180150</v>
          </cell>
          <cell r="S701">
            <v>0</v>
          </cell>
          <cell r="T701">
            <v>180150</v>
          </cell>
          <cell r="U701">
            <v>0</v>
          </cell>
          <cell r="V701">
            <v>180150</v>
          </cell>
          <cell r="W701">
            <v>180150</v>
          </cell>
          <cell r="X701">
            <v>0</v>
          </cell>
        </row>
        <row r="702">
          <cell r="B702">
            <v>514101188284</v>
          </cell>
          <cell r="C702" t="str">
            <v>PJU PRODAMAS RT 02 RW 06</v>
          </cell>
          <cell r="D702" t="str">
            <v>GG II BARAT</v>
          </cell>
          <cell r="E702"/>
          <cell r="F702"/>
          <cell r="G702" t="str">
            <v>P3</v>
          </cell>
          <cell r="H702">
            <v>900</v>
          </cell>
          <cell r="I702" t="str">
            <v>202505</v>
          </cell>
          <cell r="J702" t="str">
            <v>012899</v>
          </cell>
          <cell r="K702">
            <v>118</v>
          </cell>
          <cell r="L702">
            <v>200545</v>
          </cell>
          <cell r="M702">
            <v>0</v>
          </cell>
          <cell r="N702">
            <v>200545</v>
          </cell>
          <cell r="O702">
            <v>0</v>
          </cell>
          <cell r="P702">
            <v>0</v>
          </cell>
          <cell r="Q702">
            <v>0</v>
          </cell>
          <cell r="R702">
            <v>200545</v>
          </cell>
          <cell r="S702">
            <v>0</v>
          </cell>
          <cell r="T702">
            <v>200545</v>
          </cell>
          <cell r="U702">
            <v>0</v>
          </cell>
          <cell r="V702">
            <v>200545</v>
          </cell>
          <cell r="W702">
            <v>200545</v>
          </cell>
          <cell r="X702">
            <v>0</v>
          </cell>
        </row>
        <row r="703">
          <cell r="B703">
            <v>514101189245</v>
          </cell>
          <cell r="C703" t="str">
            <v>PJU PRODAMAS RT21 RW06</v>
          </cell>
          <cell r="D703" t="str">
            <v>TEMPUREJO</v>
          </cell>
          <cell r="E703"/>
          <cell r="F703"/>
          <cell r="G703" t="str">
            <v>P3</v>
          </cell>
          <cell r="H703">
            <v>900</v>
          </cell>
          <cell r="I703" t="str">
            <v>202505</v>
          </cell>
          <cell r="J703" t="str">
            <v>058759</v>
          </cell>
          <cell r="K703">
            <v>90</v>
          </cell>
          <cell r="L703">
            <v>152958</v>
          </cell>
          <cell r="M703">
            <v>0</v>
          </cell>
          <cell r="N703">
            <v>152958</v>
          </cell>
          <cell r="O703">
            <v>0</v>
          </cell>
          <cell r="P703">
            <v>0</v>
          </cell>
          <cell r="Q703">
            <v>0</v>
          </cell>
          <cell r="R703">
            <v>152958</v>
          </cell>
          <cell r="S703">
            <v>0</v>
          </cell>
          <cell r="T703">
            <v>152958</v>
          </cell>
          <cell r="U703">
            <v>0</v>
          </cell>
          <cell r="V703">
            <v>152958</v>
          </cell>
          <cell r="W703">
            <v>152958</v>
          </cell>
          <cell r="X703">
            <v>0</v>
          </cell>
        </row>
        <row r="704">
          <cell r="B704">
            <v>514101189252</v>
          </cell>
          <cell r="C704" t="str">
            <v>PJU PRODAMAS RT15 RW05</v>
          </cell>
          <cell r="D704" t="str">
            <v>TEMPUREJO</v>
          </cell>
          <cell r="E704"/>
          <cell r="F704"/>
          <cell r="G704" t="str">
            <v>P3</v>
          </cell>
          <cell r="H704">
            <v>900</v>
          </cell>
          <cell r="I704" t="str">
            <v>202505</v>
          </cell>
          <cell r="J704" t="str">
            <v>014269</v>
          </cell>
          <cell r="K704">
            <v>203</v>
          </cell>
          <cell r="L704">
            <v>345005</v>
          </cell>
          <cell r="M704">
            <v>0</v>
          </cell>
          <cell r="N704">
            <v>345005</v>
          </cell>
          <cell r="O704">
            <v>0</v>
          </cell>
          <cell r="P704">
            <v>0</v>
          </cell>
          <cell r="Q704">
            <v>0</v>
          </cell>
          <cell r="R704">
            <v>345005</v>
          </cell>
          <cell r="S704">
            <v>0</v>
          </cell>
          <cell r="T704">
            <v>345005</v>
          </cell>
          <cell r="U704">
            <v>0</v>
          </cell>
          <cell r="V704">
            <v>345005</v>
          </cell>
          <cell r="W704">
            <v>345005</v>
          </cell>
          <cell r="X704">
            <v>0</v>
          </cell>
        </row>
        <row r="705">
          <cell r="B705">
            <v>514101189278</v>
          </cell>
          <cell r="C705" t="str">
            <v>PJU PRODAMAS RT19 RW05</v>
          </cell>
          <cell r="D705" t="str">
            <v>TEMPUREJO</v>
          </cell>
          <cell r="E705"/>
          <cell r="F705"/>
          <cell r="G705" t="str">
            <v>P3</v>
          </cell>
          <cell r="H705">
            <v>900</v>
          </cell>
          <cell r="I705" t="str">
            <v>202505</v>
          </cell>
          <cell r="J705" t="str">
            <v>064998</v>
          </cell>
          <cell r="K705">
            <v>67</v>
          </cell>
          <cell r="L705">
            <v>113869</v>
          </cell>
          <cell r="M705">
            <v>0</v>
          </cell>
          <cell r="N705">
            <v>113869</v>
          </cell>
          <cell r="O705">
            <v>0</v>
          </cell>
          <cell r="P705">
            <v>0</v>
          </cell>
          <cell r="Q705">
            <v>0</v>
          </cell>
          <cell r="R705">
            <v>113869</v>
          </cell>
          <cell r="S705">
            <v>0</v>
          </cell>
          <cell r="T705">
            <v>113869</v>
          </cell>
          <cell r="U705">
            <v>0</v>
          </cell>
          <cell r="V705">
            <v>113869</v>
          </cell>
          <cell r="W705">
            <v>113869</v>
          </cell>
          <cell r="X705">
            <v>0</v>
          </cell>
        </row>
        <row r="706">
          <cell r="B706">
            <v>514101189684</v>
          </cell>
          <cell r="C706" t="str">
            <v>PJU PRODAMAS RT02 RW01</v>
          </cell>
          <cell r="D706" t="str">
            <v>JAMSAREN GG1</v>
          </cell>
          <cell r="E706"/>
          <cell r="F706"/>
          <cell r="G706" t="str">
            <v>P3</v>
          </cell>
          <cell r="H706">
            <v>900</v>
          </cell>
          <cell r="I706" t="str">
            <v>202505</v>
          </cell>
          <cell r="J706" t="str">
            <v>063095</v>
          </cell>
          <cell r="K706">
            <v>209</v>
          </cell>
          <cell r="L706">
            <v>355202</v>
          </cell>
          <cell r="M706">
            <v>0</v>
          </cell>
          <cell r="N706">
            <v>355202</v>
          </cell>
          <cell r="O706">
            <v>0</v>
          </cell>
          <cell r="P706">
            <v>0</v>
          </cell>
          <cell r="Q706">
            <v>0</v>
          </cell>
          <cell r="R706">
            <v>355202</v>
          </cell>
          <cell r="S706">
            <v>0</v>
          </cell>
          <cell r="T706">
            <v>355202</v>
          </cell>
          <cell r="U706">
            <v>0</v>
          </cell>
          <cell r="V706">
            <v>355202</v>
          </cell>
          <cell r="W706">
            <v>355202</v>
          </cell>
          <cell r="X706">
            <v>0</v>
          </cell>
        </row>
        <row r="707">
          <cell r="B707">
            <v>514101189692</v>
          </cell>
          <cell r="C707" t="str">
            <v>PJU PRODAMAS RT03 RW01</v>
          </cell>
          <cell r="D707" t="str">
            <v>JAMSAREN GG1</v>
          </cell>
          <cell r="E707"/>
          <cell r="F707"/>
          <cell r="G707" t="str">
            <v>P3</v>
          </cell>
          <cell r="H707">
            <v>900</v>
          </cell>
          <cell r="I707" t="str">
            <v>202505</v>
          </cell>
          <cell r="J707" t="str">
            <v>020201</v>
          </cell>
          <cell r="K707">
            <v>36</v>
          </cell>
          <cell r="L707">
            <v>61183</v>
          </cell>
          <cell r="M707">
            <v>0</v>
          </cell>
          <cell r="N707">
            <v>61183</v>
          </cell>
          <cell r="O707">
            <v>0</v>
          </cell>
          <cell r="P707">
            <v>0</v>
          </cell>
          <cell r="Q707">
            <v>0</v>
          </cell>
          <cell r="R707">
            <v>61183</v>
          </cell>
          <cell r="S707">
            <v>0</v>
          </cell>
          <cell r="T707">
            <v>61183</v>
          </cell>
          <cell r="U707">
            <v>0</v>
          </cell>
          <cell r="V707">
            <v>61183</v>
          </cell>
          <cell r="W707">
            <v>61183</v>
          </cell>
          <cell r="X707">
            <v>0</v>
          </cell>
        </row>
        <row r="708">
          <cell r="B708">
            <v>514101189706</v>
          </cell>
          <cell r="C708" t="str">
            <v>PJU PRODAMAS RT01 RW01</v>
          </cell>
          <cell r="D708" t="str">
            <v>JAMSAREN GG1</v>
          </cell>
          <cell r="E708"/>
          <cell r="F708"/>
          <cell r="G708" t="str">
            <v>P3</v>
          </cell>
          <cell r="H708">
            <v>900</v>
          </cell>
          <cell r="I708" t="str">
            <v>202505</v>
          </cell>
          <cell r="J708" t="str">
            <v>058141</v>
          </cell>
          <cell r="K708">
            <v>123</v>
          </cell>
          <cell r="L708">
            <v>209042</v>
          </cell>
          <cell r="M708">
            <v>0</v>
          </cell>
          <cell r="N708">
            <v>209042</v>
          </cell>
          <cell r="O708">
            <v>0</v>
          </cell>
          <cell r="P708">
            <v>0</v>
          </cell>
          <cell r="Q708">
            <v>0</v>
          </cell>
          <cell r="R708">
            <v>209042</v>
          </cell>
          <cell r="S708">
            <v>0</v>
          </cell>
          <cell r="T708">
            <v>209042</v>
          </cell>
          <cell r="U708">
            <v>0</v>
          </cell>
          <cell r="V708">
            <v>209042</v>
          </cell>
          <cell r="W708">
            <v>209042</v>
          </cell>
          <cell r="X708">
            <v>0</v>
          </cell>
        </row>
        <row r="709">
          <cell r="B709">
            <v>514101190002</v>
          </cell>
          <cell r="C709" t="str">
            <v>PJU PRODAMAS RT06 RW01</v>
          </cell>
          <cell r="D709" t="str">
            <v>JAMSAREN</v>
          </cell>
          <cell r="E709"/>
          <cell r="F709"/>
          <cell r="G709" t="str">
            <v>P3</v>
          </cell>
          <cell r="H709">
            <v>900</v>
          </cell>
          <cell r="I709" t="str">
            <v>202505</v>
          </cell>
          <cell r="J709" t="str">
            <v>019066</v>
          </cell>
          <cell r="K709">
            <v>219</v>
          </cell>
          <cell r="L709">
            <v>372197</v>
          </cell>
          <cell r="M709">
            <v>0</v>
          </cell>
          <cell r="N709">
            <v>372197</v>
          </cell>
          <cell r="O709">
            <v>0</v>
          </cell>
          <cell r="P709">
            <v>0</v>
          </cell>
          <cell r="Q709">
            <v>0</v>
          </cell>
          <cell r="R709">
            <v>372197</v>
          </cell>
          <cell r="S709">
            <v>0</v>
          </cell>
          <cell r="T709">
            <v>372197</v>
          </cell>
          <cell r="U709">
            <v>0</v>
          </cell>
          <cell r="V709">
            <v>372197</v>
          </cell>
          <cell r="W709">
            <v>372197</v>
          </cell>
          <cell r="X709">
            <v>0</v>
          </cell>
        </row>
        <row r="710">
          <cell r="B710">
            <v>514101191798</v>
          </cell>
          <cell r="C710" t="str">
            <v>PJU PRODAMAS RT 10 RW 04</v>
          </cell>
          <cell r="D710" t="str">
            <v>TOSAREN</v>
          </cell>
          <cell r="E710"/>
          <cell r="F710"/>
          <cell r="G710" t="str">
            <v>P3</v>
          </cell>
          <cell r="H710">
            <v>900</v>
          </cell>
          <cell r="I710" t="str">
            <v>202505</v>
          </cell>
          <cell r="J710" t="str">
            <v>009121</v>
          </cell>
          <cell r="K710">
            <v>111</v>
          </cell>
          <cell r="L710">
            <v>188648</v>
          </cell>
          <cell r="M710">
            <v>0</v>
          </cell>
          <cell r="N710">
            <v>188648</v>
          </cell>
          <cell r="O710">
            <v>0</v>
          </cell>
          <cell r="P710">
            <v>0</v>
          </cell>
          <cell r="Q710">
            <v>0</v>
          </cell>
          <cell r="R710">
            <v>188648</v>
          </cell>
          <cell r="S710">
            <v>0</v>
          </cell>
          <cell r="T710">
            <v>188648</v>
          </cell>
          <cell r="U710">
            <v>0</v>
          </cell>
          <cell r="V710">
            <v>188648</v>
          </cell>
          <cell r="W710">
            <v>188648</v>
          </cell>
          <cell r="X710">
            <v>0</v>
          </cell>
        </row>
        <row r="711">
          <cell r="B711">
            <v>514101191801</v>
          </cell>
          <cell r="C711" t="str">
            <v>PJU PRODAMAS RT 46 RW 14</v>
          </cell>
          <cell r="D711" t="str">
            <v>TOSAREN</v>
          </cell>
          <cell r="E711"/>
          <cell r="F711"/>
          <cell r="G711" t="str">
            <v>P3</v>
          </cell>
          <cell r="H711">
            <v>900</v>
          </cell>
          <cell r="I711" t="str">
            <v>202505</v>
          </cell>
          <cell r="J711" t="str">
            <v>009059</v>
          </cell>
          <cell r="K711">
            <v>173</v>
          </cell>
          <cell r="L711">
            <v>294019</v>
          </cell>
          <cell r="M711">
            <v>0</v>
          </cell>
          <cell r="N711">
            <v>294019</v>
          </cell>
          <cell r="O711">
            <v>0</v>
          </cell>
          <cell r="P711">
            <v>0</v>
          </cell>
          <cell r="Q711">
            <v>0</v>
          </cell>
          <cell r="R711">
            <v>294019</v>
          </cell>
          <cell r="S711">
            <v>0</v>
          </cell>
          <cell r="T711">
            <v>294019</v>
          </cell>
          <cell r="U711">
            <v>0</v>
          </cell>
          <cell r="V711">
            <v>294019</v>
          </cell>
          <cell r="W711">
            <v>294019</v>
          </cell>
          <cell r="X711">
            <v>0</v>
          </cell>
        </row>
        <row r="712">
          <cell r="B712">
            <v>514101191819</v>
          </cell>
          <cell r="C712" t="str">
            <v>PJU PRODAMAS RT 11 RW 04</v>
          </cell>
          <cell r="D712" t="str">
            <v>TOSAREN</v>
          </cell>
          <cell r="E712"/>
          <cell r="F712"/>
          <cell r="G712" t="str">
            <v>P3</v>
          </cell>
          <cell r="H712">
            <v>900</v>
          </cell>
          <cell r="I712" t="str">
            <v>202505</v>
          </cell>
          <cell r="J712" t="str">
            <v>011482</v>
          </cell>
          <cell r="K712">
            <v>144</v>
          </cell>
          <cell r="L712">
            <v>244732</v>
          </cell>
          <cell r="M712">
            <v>0</v>
          </cell>
          <cell r="N712">
            <v>244732</v>
          </cell>
          <cell r="O712">
            <v>0</v>
          </cell>
          <cell r="P712">
            <v>0</v>
          </cell>
          <cell r="Q712">
            <v>0</v>
          </cell>
          <cell r="R712">
            <v>244732</v>
          </cell>
          <cell r="S712">
            <v>0</v>
          </cell>
          <cell r="T712">
            <v>244732</v>
          </cell>
          <cell r="U712">
            <v>0</v>
          </cell>
          <cell r="V712">
            <v>244732</v>
          </cell>
          <cell r="W712">
            <v>244732</v>
          </cell>
          <cell r="X712">
            <v>0</v>
          </cell>
        </row>
        <row r="713">
          <cell r="B713">
            <v>514101191827</v>
          </cell>
          <cell r="C713" t="str">
            <v>PJU PRODAMAS RT 08 RW 03</v>
          </cell>
          <cell r="D713" t="str">
            <v>TOSAREN</v>
          </cell>
          <cell r="E713"/>
          <cell r="F713"/>
          <cell r="G713" t="str">
            <v>P3</v>
          </cell>
          <cell r="H713">
            <v>900</v>
          </cell>
          <cell r="I713" t="str">
            <v>202505</v>
          </cell>
          <cell r="J713" t="str">
            <v>022486</v>
          </cell>
          <cell r="K713">
            <v>173</v>
          </cell>
          <cell r="L713">
            <v>294019</v>
          </cell>
          <cell r="M713">
            <v>0</v>
          </cell>
          <cell r="N713">
            <v>294019</v>
          </cell>
          <cell r="O713">
            <v>0</v>
          </cell>
          <cell r="P713">
            <v>0</v>
          </cell>
          <cell r="Q713">
            <v>0</v>
          </cell>
          <cell r="R713">
            <v>294019</v>
          </cell>
          <cell r="S713">
            <v>0</v>
          </cell>
          <cell r="T713">
            <v>294019</v>
          </cell>
          <cell r="U713">
            <v>0</v>
          </cell>
          <cell r="V713">
            <v>294019</v>
          </cell>
          <cell r="W713">
            <v>294019</v>
          </cell>
          <cell r="X713">
            <v>0</v>
          </cell>
        </row>
        <row r="714">
          <cell r="B714">
            <v>514101192604</v>
          </cell>
          <cell r="C714" t="str">
            <v>PJU PRODAMAS RT 06 RW 02</v>
          </cell>
          <cell r="D714" t="str">
            <v>BANARAN</v>
          </cell>
          <cell r="E714"/>
          <cell r="F714"/>
          <cell r="G714" t="str">
            <v>P3</v>
          </cell>
          <cell r="H714">
            <v>900</v>
          </cell>
          <cell r="I714" t="str">
            <v>202505</v>
          </cell>
          <cell r="J714" t="str">
            <v>003471</v>
          </cell>
          <cell r="K714">
            <v>194</v>
          </cell>
          <cell r="L714">
            <v>329709</v>
          </cell>
          <cell r="M714">
            <v>0</v>
          </cell>
          <cell r="N714">
            <v>329709</v>
          </cell>
          <cell r="O714">
            <v>0</v>
          </cell>
          <cell r="P714">
            <v>0</v>
          </cell>
          <cell r="Q714">
            <v>0</v>
          </cell>
          <cell r="R714">
            <v>329709</v>
          </cell>
          <cell r="S714">
            <v>0</v>
          </cell>
          <cell r="T714">
            <v>329709</v>
          </cell>
          <cell r="U714">
            <v>0</v>
          </cell>
          <cell r="V714">
            <v>329709</v>
          </cell>
          <cell r="W714">
            <v>329709</v>
          </cell>
          <cell r="X714">
            <v>0</v>
          </cell>
        </row>
        <row r="715">
          <cell r="B715">
            <v>514101192612</v>
          </cell>
          <cell r="C715" t="str">
            <v>PJU PRODAMAS RT 04 RW 02</v>
          </cell>
          <cell r="D715" t="str">
            <v>KALIOMBO</v>
          </cell>
          <cell r="E715"/>
          <cell r="F715"/>
          <cell r="G715" t="str">
            <v>P3</v>
          </cell>
          <cell r="H715">
            <v>900</v>
          </cell>
          <cell r="I715" t="str">
            <v>202505</v>
          </cell>
          <cell r="J715" t="str">
            <v>023605</v>
          </cell>
          <cell r="K715">
            <v>137</v>
          </cell>
          <cell r="L715">
            <v>232836</v>
          </cell>
          <cell r="M715">
            <v>0</v>
          </cell>
          <cell r="N715">
            <v>232836</v>
          </cell>
          <cell r="O715">
            <v>0</v>
          </cell>
          <cell r="P715">
            <v>0</v>
          </cell>
          <cell r="Q715">
            <v>0</v>
          </cell>
          <cell r="R715">
            <v>232836</v>
          </cell>
          <cell r="S715">
            <v>0</v>
          </cell>
          <cell r="T715">
            <v>232836</v>
          </cell>
          <cell r="U715">
            <v>0</v>
          </cell>
          <cell r="V715">
            <v>232836</v>
          </cell>
          <cell r="W715">
            <v>232836</v>
          </cell>
          <cell r="X715">
            <v>0</v>
          </cell>
        </row>
        <row r="716">
          <cell r="B716">
            <v>514101192620</v>
          </cell>
          <cell r="C716" t="str">
            <v>PJU PRODAMAS RT02 RW01</v>
          </cell>
          <cell r="D716" t="str">
            <v>BETET</v>
          </cell>
          <cell r="E716"/>
          <cell r="F716"/>
          <cell r="G716" t="str">
            <v>P3</v>
          </cell>
          <cell r="H716">
            <v>1300</v>
          </cell>
          <cell r="I716" t="str">
            <v>202505</v>
          </cell>
          <cell r="J716" t="str">
            <v>007461</v>
          </cell>
          <cell r="K716">
            <v>280</v>
          </cell>
          <cell r="L716">
            <v>475868</v>
          </cell>
          <cell r="M716">
            <v>0</v>
          </cell>
          <cell r="N716">
            <v>475868</v>
          </cell>
          <cell r="O716">
            <v>0</v>
          </cell>
          <cell r="P716">
            <v>0</v>
          </cell>
          <cell r="Q716">
            <v>0</v>
          </cell>
          <cell r="R716">
            <v>475868</v>
          </cell>
          <cell r="S716">
            <v>0</v>
          </cell>
          <cell r="T716">
            <v>475868</v>
          </cell>
          <cell r="U716">
            <v>0</v>
          </cell>
          <cell r="V716">
            <v>475868</v>
          </cell>
          <cell r="W716">
            <v>475868</v>
          </cell>
          <cell r="X716">
            <v>0</v>
          </cell>
        </row>
        <row r="717">
          <cell r="B717">
            <v>514101192638</v>
          </cell>
          <cell r="C717" t="str">
            <v>PJU PRODAMAS RT2,3,4 RW03</v>
          </cell>
          <cell r="D717" t="str">
            <v>KALIOMBO</v>
          </cell>
          <cell r="E717"/>
          <cell r="F717"/>
          <cell r="G717" t="str">
            <v>P3</v>
          </cell>
          <cell r="H717">
            <v>1300</v>
          </cell>
          <cell r="I717" t="str">
            <v>202505</v>
          </cell>
          <cell r="J717" t="str">
            <v>004886</v>
          </cell>
          <cell r="K717">
            <v>161</v>
          </cell>
          <cell r="L717">
            <v>273624</v>
          </cell>
          <cell r="M717">
            <v>0</v>
          </cell>
          <cell r="N717">
            <v>273624</v>
          </cell>
          <cell r="O717">
            <v>0</v>
          </cell>
          <cell r="P717">
            <v>0</v>
          </cell>
          <cell r="Q717">
            <v>0</v>
          </cell>
          <cell r="R717">
            <v>273624</v>
          </cell>
          <cell r="S717">
            <v>0</v>
          </cell>
          <cell r="T717">
            <v>273624</v>
          </cell>
          <cell r="U717">
            <v>0</v>
          </cell>
          <cell r="V717">
            <v>273624</v>
          </cell>
          <cell r="W717">
            <v>273624</v>
          </cell>
          <cell r="X717">
            <v>0</v>
          </cell>
        </row>
        <row r="718">
          <cell r="B718">
            <v>514101192646</v>
          </cell>
          <cell r="C718" t="str">
            <v>PJU PRODAMAS RT 03 RW 04</v>
          </cell>
          <cell r="D718" t="str">
            <v>KALIOMBO</v>
          </cell>
          <cell r="E718"/>
          <cell r="F718"/>
          <cell r="G718" t="str">
            <v>P3</v>
          </cell>
          <cell r="H718">
            <v>900</v>
          </cell>
          <cell r="I718" t="str">
            <v>202505</v>
          </cell>
          <cell r="J718" t="str">
            <v>003957</v>
          </cell>
          <cell r="K718">
            <v>124</v>
          </cell>
          <cell r="L718">
            <v>210742</v>
          </cell>
          <cell r="M718">
            <v>0</v>
          </cell>
          <cell r="N718">
            <v>210742</v>
          </cell>
          <cell r="O718">
            <v>0</v>
          </cell>
          <cell r="P718">
            <v>0</v>
          </cell>
          <cell r="Q718">
            <v>0</v>
          </cell>
          <cell r="R718">
            <v>210742</v>
          </cell>
          <cell r="S718">
            <v>0</v>
          </cell>
          <cell r="T718">
            <v>210742</v>
          </cell>
          <cell r="U718">
            <v>0</v>
          </cell>
          <cell r="V718">
            <v>210742</v>
          </cell>
          <cell r="W718">
            <v>210742</v>
          </cell>
          <cell r="X718">
            <v>0</v>
          </cell>
        </row>
        <row r="719">
          <cell r="B719">
            <v>514101192653</v>
          </cell>
          <cell r="C719" t="str">
            <v>PJU PRODAMAS RT01.05 RW02</v>
          </cell>
          <cell r="D719" t="str">
            <v>KALIOMBO</v>
          </cell>
          <cell r="E719"/>
          <cell r="F719"/>
          <cell r="G719" t="str">
            <v>P3</v>
          </cell>
          <cell r="H719">
            <v>900</v>
          </cell>
          <cell r="I719" t="str">
            <v>202505</v>
          </cell>
          <cell r="J719" t="str">
            <v>007427</v>
          </cell>
          <cell r="K719">
            <v>168</v>
          </cell>
          <cell r="L719">
            <v>285521</v>
          </cell>
          <cell r="M719">
            <v>0</v>
          </cell>
          <cell r="N719">
            <v>285521</v>
          </cell>
          <cell r="O719">
            <v>0</v>
          </cell>
          <cell r="P719">
            <v>0</v>
          </cell>
          <cell r="Q719">
            <v>0</v>
          </cell>
          <cell r="R719">
            <v>285521</v>
          </cell>
          <cell r="S719">
            <v>0</v>
          </cell>
          <cell r="T719">
            <v>285521</v>
          </cell>
          <cell r="U719">
            <v>0</v>
          </cell>
          <cell r="V719">
            <v>285521</v>
          </cell>
          <cell r="W719">
            <v>285521</v>
          </cell>
          <cell r="X719">
            <v>0</v>
          </cell>
        </row>
        <row r="720">
          <cell r="B720">
            <v>514101192661</v>
          </cell>
          <cell r="C720" t="str">
            <v>PJU PRODAMAS RT08 RW03</v>
          </cell>
          <cell r="D720" t="str">
            <v>KA;IOMBO</v>
          </cell>
          <cell r="E720"/>
          <cell r="F720"/>
          <cell r="G720" t="str">
            <v>P3</v>
          </cell>
          <cell r="H720">
            <v>900</v>
          </cell>
          <cell r="I720" t="str">
            <v>202505</v>
          </cell>
          <cell r="J720" t="str">
            <v>005423</v>
          </cell>
          <cell r="K720">
            <v>77</v>
          </cell>
          <cell r="L720">
            <v>130864</v>
          </cell>
          <cell r="M720">
            <v>0</v>
          </cell>
          <cell r="N720">
            <v>130864</v>
          </cell>
          <cell r="O720">
            <v>0</v>
          </cell>
          <cell r="P720">
            <v>0</v>
          </cell>
          <cell r="Q720">
            <v>0</v>
          </cell>
          <cell r="R720">
            <v>130864</v>
          </cell>
          <cell r="S720">
            <v>0</v>
          </cell>
          <cell r="T720">
            <v>130864</v>
          </cell>
          <cell r="U720">
            <v>0</v>
          </cell>
          <cell r="V720">
            <v>130864</v>
          </cell>
          <cell r="W720">
            <v>130864</v>
          </cell>
          <cell r="X720">
            <v>0</v>
          </cell>
        </row>
        <row r="721">
          <cell r="B721">
            <v>514101192679</v>
          </cell>
          <cell r="C721" t="str">
            <v>PJU PRODAMAS RT09 RW03</v>
          </cell>
          <cell r="D721" t="str">
            <v>BETET</v>
          </cell>
          <cell r="E721"/>
          <cell r="F721"/>
          <cell r="G721" t="str">
            <v>P3</v>
          </cell>
          <cell r="H721">
            <v>1300</v>
          </cell>
          <cell r="I721" t="str">
            <v>202505</v>
          </cell>
          <cell r="J721" t="str">
            <v>067418</v>
          </cell>
          <cell r="K721">
            <v>183</v>
          </cell>
          <cell r="L721">
            <v>311014</v>
          </cell>
          <cell r="M721">
            <v>0</v>
          </cell>
          <cell r="N721">
            <v>311014</v>
          </cell>
          <cell r="O721">
            <v>0</v>
          </cell>
          <cell r="P721">
            <v>0</v>
          </cell>
          <cell r="Q721">
            <v>0</v>
          </cell>
          <cell r="R721">
            <v>311014</v>
          </cell>
          <cell r="S721">
            <v>0</v>
          </cell>
          <cell r="T721">
            <v>311014</v>
          </cell>
          <cell r="U721">
            <v>0</v>
          </cell>
          <cell r="V721">
            <v>311014</v>
          </cell>
          <cell r="W721">
            <v>311014</v>
          </cell>
          <cell r="X721">
            <v>0</v>
          </cell>
        </row>
        <row r="722">
          <cell r="B722">
            <v>514101192687</v>
          </cell>
          <cell r="C722" t="str">
            <v>PJU PRODAMAS RT 01 RW 03</v>
          </cell>
          <cell r="D722" t="str">
            <v>KALIOMBO</v>
          </cell>
          <cell r="E722"/>
          <cell r="F722"/>
          <cell r="G722" t="str">
            <v>P3</v>
          </cell>
          <cell r="H722">
            <v>900</v>
          </cell>
          <cell r="I722" t="str">
            <v>202505</v>
          </cell>
          <cell r="J722" t="str">
            <v>001189</v>
          </cell>
          <cell r="K722">
            <v>119</v>
          </cell>
          <cell r="L722">
            <v>202244</v>
          </cell>
          <cell r="M722">
            <v>0</v>
          </cell>
          <cell r="N722">
            <v>202244</v>
          </cell>
          <cell r="O722">
            <v>0</v>
          </cell>
          <cell r="P722">
            <v>0</v>
          </cell>
          <cell r="Q722">
            <v>0</v>
          </cell>
          <cell r="R722">
            <v>202244</v>
          </cell>
          <cell r="S722">
            <v>0</v>
          </cell>
          <cell r="T722">
            <v>202244</v>
          </cell>
          <cell r="U722">
            <v>0</v>
          </cell>
          <cell r="V722">
            <v>202244</v>
          </cell>
          <cell r="W722">
            <v>202244</v>
          </cell>
          <cell r="X722">
            <v>0</v>
          </cell>
        </row>
        <row r="723">
          <cell r="B723">
            <v>514101194467</v>
          </cell>
          <cell r="C723" t="str">
            <v>PJU PRODAMAS RT01 RW02</v>
          </cell>
          <cell r="D723" t="str">
            <v>SETONO GEDONG</v>
          </cell>
          <cell r="E723"/>
          <cell r="F723"/>
          <cell r="G723" t="str">
            <v>P3</v>
          </cell>
          <cell r="H723">
            <v>900</v>
          </cell>
          <cell r="I723" t="str">
            <v>202505</v>
          </cell>
          <cell r="J723" t="str">
            <v>048808</v>
          </cell>
          <cell r="K723">
            <v>79</v>
          </cell>
          <cell r="L723">
            <v>134263</v>
          </cell>
          <cell r="M723">
            <v>0</v>
          </cell>
          <cell r="N723">
            <v>134263</v>
          </cell>
          <cell r="O723">
            <v>0</v>
          </cell>
          <cell r="P723">
            <v>0</v>
          </cell>
          <cell r="Q723">
            <v>0</v>
          </cell>
          <cell r="R723">
            <v>134263</v>
          </cell>
          <cell r="S723">
            <v>0</v>
          </cell>
          <cell r="T723">
            <v>134263</v>
          </cell>
          <cell r="U723">
            <v>0</v>
          </cell>
          <cell r="V723">
            <v>134263</v>
          </cell>
          <cell r="W723">
            <v>134263</v>
          </cell>
          <cell r="X723">
            <v>0</v>
          </cell>
        </row>
        <row r="724">
          <cell r="B724">
            <v>514101194483</v>
          </cell>
          <cell r="C724" t="str">
            <v>PJU PRODAMAS RT01 RW02</v>
          </cell>
          <cell r="D724" t="str">
            <v>KARANGANYAR</v>
          </cell>
          <cell r="E724"/>
          <cell r="F724"/>
          <cell r="G724" t="str">
            <v>P3</v>
          </cell>
          <cell r="H724">
            <v>900</v>
          </cell>
          <cell r="I724" t="str">
            <v>202505</v>
          </cell>
          <cell r="J724" t="str">
            <v>048788</v>
          </cell>
          <cell r="K724">
            <v>66</v>
          </cell>
          <cell r="L724">
            <v>112169</v>
          </cell>
          <cell r="M724">
            <v>0</v>
          </cell>
          <cell r="N724">
            <v>112169</v>
          </cell>
          <cell r="O724">
            <v>0</v>
          </cell>
          <cell r="P724">
            <v>0</v>
          </cell>
          <cell r="Q724">
            <v>0</v>
          </cell>
          <cell r="R724">
            <v>112169</v>
          </cell>
          <cell r="S724">
            <v>0</v>
          </cell>
          <cell r="T724">
            <v>112169</v>
          </cell>
          <cell r="U724">
            <v>0</v>
          </cell>
          <cell r="V724">
            <v>112169</v>
          </cell>
          <cell r="W724">
            <v>112169</v>
          </cell>
          <cell r="X724">
            <v>0</v>
          </cell>
        </row>
        <row r="725">
          <cell r="B725">
            <v>514101194505</v>
          </cell>
          <cell r="C725" t="str">
            <v>PJU PRODAMAS RT02 RW02</v>
          </cell>
          <cell r="D725" t="str">
            <v>KARANGANYAR</v>
          </cell>
          <cell r="E725"/>
          <cell r="F725"/>
          <cell r="G725" t="str">
            <v>P3</v>
          </cell>
          <cell r="H725">
            <v>900</v>
          </cell>
          <cell r="I725" t="str">
            <v>202505</v>
          </cell>
          <cell r="J725" t="str">
            <v>010452</v>
          </cell>
          <cell r="K725">
            <v>105</v>
          </cell>
          <cell r="L725">
            <v>178451</v>
          </cell>
          <cell r="M725">
            <v>0</v>
          </cell>
          <cell r="N725">
            <v>178451</v>
          </cell>
          <cell r="O725">
            <v>0</v>
          </cell>
          <cell r="P725">
            <v>0</v>
          </cell>
          <cell r="Q725">
            <v>0</v>
          </cell>
          <cell r="R725">
            <v>178451</v>
          </cell>
          <cell r="S725">
            <v>0</v>
          </cell>
          <cell r="T725">
            <v>178451</v>
          </cell>
          <cell r="U725">
            <v>0</v>
          </cell>
          <cell r="V725">
            <v>178451</v>
          </cell>
          <cell r="W725">
            <v>178451</v>
          </cell>
          <cell r="X725">
            <v>0</v>
          </cell>
        </row>
        <row r="726">
          <cell r="B726">
            <v>514101194682</v>
          </cell>
          <cell r="C726" t="str">
            <v>PJU PRODAMAS RT03 RW03</v>
          </cell>
          <cell r="D726" t="str">
            <v>NGRONGGO</v>
          </cell>
          <cell r="E726"/>
          <cell r="F726"/>
          <cell r="G726" t="str">
            <v>P3</v>
          </cell>
          <cell r="H726">
            <v>900</v>
          </cell>
          <cell r="I726" t="str">
            <v>202505</v>
          </cell>
          <cell r="J726" t="str">
            <v>021237</v>
          </cell>
          <cell r="K726">
            <v>170</v>
          </cell>
          <cell r="L726">
            <v>288920</v>
          </cell>
          <cell r="M726">
            <v>0</v>
          </cell>
          <cell r="N726">
            <v>288920</v>
          </cell>
          <cell r="O726">
            <v>0</v>
          </cell>
          <cell r="P726">
            <v>0</v>
          </cell>
          <cell r="Q726">
            <v>0</v>
          </cell>
          <cell r="R726">
            <v>288920</v>
          </cell>
          <cell r="S726">
            <v>0</v>
          </cell>
          <cell r="T726">
            <v>288920</v>
          </cell>
          <cell r="U726">
            <v>0</v>
          </cell>
          <cell r="V726">
            <v>288920</v>
          </cell>
          <cell r="W726">
            <v>288920</v>
          </cell>
          <cell r="X726">
            <v>0</v>
          </cell>
        </row>
        <row r="727">
          <cell r="B727">
            <v>514101194690</v>
          </cell>
          <cell r="C727" t="str">
            <v>PJU PRODAMAS RT08 RW02</v>
          </cell>
          <cell r="D727" t="str">
            <v>BANGSAL</v>
          </cell>
          <cell r="E727"/>
          <cell r="F727"/>
          <cell r="G727" t="str">
            <v>P3</v>
          </cell>
          <cell r="H727">
            <v>900</v>
          </cell>
          <cell r="I727" t="str">
            <v>202505</v>
          </cell>
          <cell r="J727" t="str">
            <v>021151</v>
          </cell>
          <cell r="K727">
            <v>121</v>
          </cell>
          <cell r="L727">
            <v>205643</v>
          </cell>
          <cell r="M727">
            <v>0</v>
          </cell>
          <cell r="N727">
            <v>205643</v>
          </cell>
          <cell r="O727">
            <v>0</v>
          </cell>
          <cell r="P727">
            <v>0</v>
          </cell>
          <cell r="Q727">
            <v>0</v>
          </cell>
          <cell r="R727">
            <v>205643</v>
          </cell>
          <cell r="S727">
            <v>0</v>
          </cell>
          <cell r="T727">
            <v>205643</v>
          </cell>
          <cell r="U727">
            <v>0</v>
          </cell>
          <cell r="V727">
            <v>205643</v>
          </cell>
          <cell r="W727">
            <v>205643</v>
          </cell>
          <cell r="X727">
            <v>0</v>
          </cell>
        </row>
        <row r="728">
          <cell r="B728">
            <v>514101194704</v>
          </cell>
          <cell r="C728" t="str">
            <v>PJU PRODAMAS RT01 RW01</v>
          </cell>
          <cell r="D728" t="str">
            <v>BANGSAL</v>
          </cell>
          <cell r="E728"/>
          <cell r="F728"/>
          <cell r="G728" t="str">
            <v>P3</v>
          </cell>
          <cell r="H728">
            <v>900</v>
          </cell>
          <cell r="I728" t="str">
            <v>202505</v>
          </cell>
          <cell r="J728" t="str">
            <v>019555</v>
          </cell>
          <cell r="K728">
            <v>244</v>
          </cell>
          <cell r="L728">
            <v>414685</v>
          </cell>
          <cell r="M728">
            <v>0</v>
          </cell>
          <cell r="N728">
            <v>414685</v>
          </cell>
          <cell r="O728">
            <v>0</v>
          </cell>
          <cell r="P728">
            <v>0</v>
          </cell>
          <cell r="Q728">
            <v>0</v>
          </cell>
          <cell r="R728">
            <v>414685</v>
          </cell>
          <cell r="S728">
            <v>0</v>
          </cell>
          <cell r="T728">
            <v>414685</v>
          </cell>
          <cell r="U728">
            <v>0</v>
          </cell>
          <cell r="V728">
            <v>414685</v>
          </cell>
          <cell r="W728">
            <v>414685</v>
          </cell>
          <cell r="X728">
            <v>0</v>
          </cell>
        </row>
        <row r="729">
          <cell r="B729">
            <v>514101194881</v>
          </cell>
          <cell r="C729" t="str">
            <v>PJU PRODAMAS RT25 RW05</v>
          </cell>
          <cell r="D729" t="str">
            <v>SINGONEGARAN</v>
          </cell>
          <cell r="E729"/>
          <cell r="F729"/>
          <cell r="G729" t="str">
            <v>P3</v>
          </cell>
          <cell r="H729">
            <v>900</v>
          </cell>
          <cell r="I729" t="str">
            <v>202505</v>
          </cell>
          <cell r="J729" t="str">
            <v>007607</v>
          </cell>
          <cell r="K729">
            <v>136</v>
          </cell>
          <cell r="L729">
            <v>231136</v>
          </cell>
          <cell r="M729">
            <v>0</v>
          </cell>
          <cell r="N729">
            <v>231136</v>
          </cell>
          <cell r="O729">
            <v>0</v>
          </cell>
          <cell r="P729">
            <v>0</v>
          </cell>
          <cell r="Q729">
            <v>0</v>
          </cell>
          <cell r="R729">
            <v>231136</v>
          </cell>
          <cell r="S729">
            <v>0</v>
          </cell>
          <cell r="T729">
            <v>231136</v>
          </cell>
          <cell r="U729">
            <v>0</v>
          </cell>
          <cell r="V729">
            <v>231136</v>
          </cell>
          <cell r="W729">
            <v>231136</v>
          </cell>
          <cell r="X729">
            <v>0</v>
          </cell>
        </row>
        <row r="730">
          <cell r="B730">
            <v>514101194899</v>
          </cell>
          <cell r="C730" t="str">
            <v>PJU PRODAMAS RT36 RW06</v>
          </cell>
          <cell r="D730" t="str">
            <v>SINGONEGARAN</v>
          </cell>
          <cell r="E730"/>
          <cell r="F730"/>
          <cell r="G730" t="str">
            <v>P3</v>
          </cell>
          <cell r="H730">
            <v>900</v>
          </cell>
          <cell r="I730" t="str">
            <v>202505</v>
          </cell>
          <cell r="J730" t="str">
            <v>003221</v>
          </cell>
          <cell r="K730">
            <v>176</v>
          </cell>
          <cell r="L730">
            <v>299117</v>
          </cell>
          <cell r="M730">
            <v>0</v>
          </cell>
          <cell r="N730">
            <v>299117</v>
          </cell>
          <cell r="O730">
            <v>0</v>
          </cell>
          <cell r="P730">
            <v>0</v>
          </cell>
          <cell r="Q730">
            <v>0</v>
          </cell>
          <cell r="R730">
            <v>299117</v>
          </cell>
          <cell r="S730">
            <v>0</v>
          </cell>
          <cell r="T730">
            <v>299117</v>
          </cell>
          <cell r="U730">
            <v>0</v>
          </cell>
          <cell r="V730">
            <v>299117</v>
          </cell>
          <cell r="W730">
            <v>299117</v>
          </cell>
          <cell r="X730">
            <v>0</v>
          </cell>
        </row>
        <row r="731">
          <cell r="B731">
            <v>514101194903</v>
          </cell>
          <cell r="C731" t="str">
            <v>PJU PRODAMAS RT34 RW07</v>
          </cell>
          <cell r="D731" t="str">
            <v>SINGONEGARAN</v>
          </cell>
          <cell r="E731"/>
          <cell r="F731"/>
          <cell r="G731" t="str">
            <v>P3</v>
          </cell>
          <cell r="H731">
            <v>900</v>
          </cell>
          <cell r="I731" t="str">
            <v>202505</v>
          </cell>
          <cell r="J731" t="str">
            <v>018599</v>
          </cell>
          <cell r="K731">
            <v>171</v>
          </cell>
          <cell r="L731">
            <v>290620</v>
          </cell>
          <cell r="M731">
            <v>0</v>
          </cell>
          <cell r="N731">
            <v>290620</v>
          </cell>
          <cell r="O731">
            <v>0</v>
          </cell>
          <cell r="P731">
            <v>0</v>
          </cell>
          <cell r="Q731">
            <v>0</v>
          </cell>
          <cell r="R731">
            <v>290620</v>
          </cell>
          <cell r="S731">
            <v>0</v>
          </cell>
          <cell r="T731">
            <v>290620</v>
          </cell>
          <cell r="U731">
            <v>0</v>
          </cell>
          <cell r="V731">
            <v>290620</v>
          </cell>
          <cell r="W731">
            <v>290620</v>
          </cell>
          <cell r="X731">
            <v>0</v>
          </cell>
        </row>
        <row r="732">
          <cell r="B732">
            <v>514101194911</v>
          </cell>
          <cell r="C732" t="str">
            <v>PJU PRODAMAS RT27 RW06</v>
          </cell>
          <cell r="D732" t="str">
            <v>SINGONEGARAN</v>
          </cell>
          <cell r="E732"/>
          <cell r="F732"/>
          <cell r="G732" t="str">
            <v>P3</v>
          </cell>
          <cell r="H732">
            <v>900</v>
          </cell>
          <cell r="I732" t="str">
            <v>202505</v>
          </cell>
          <cell r="J732" t="str">
            <v>006725</v>
          </cell>
          <cell r="K732">
            <v>90</v>
          </cell>
          <cell r="L732">
            <v>152958</v>
          </cell>
          <cell r="M732">
            <v>0</v>
          </cell>
          <cell r="N732">
            <v>152958</v>
          </cell>
          <cell r="O732">
            <v>0</v>
          </cell>
          <cell r="P732">
            <v>0</v>
          </cell>
          <cell r="Q732">
            <v>0</v>
          </cell>
          <cell r="R732">
            <v>152958</v>
          </cell>
          <cell r="S732">
            <v>0</v>
          </cell>
          <cell r="T732">
            <v>152958</v>
          </cell>
          <cell r="U732">
            <v>0</v>
          </cell>
          <cell r="V732">
            <v>152958</v>
          </cell>
          <cell r="W732">
            <v>152958</v>
          </cell>
          <cell r="X732">
            <v>0</v>
          </cell>
        </row>
        <row r="733">
          <cell r="B733">
            <v>514101194929</v>
          </cell>
          <cell r="C733" t="str">
            <v>PJU PRODAMAS RT32 RW07</v>
          </cell>
          <cell r="D733" t="str">
            <v>SINGONEGARAN</v>
          </cell>
          <cell r="E733"/>
          <cell r="F733"/>
          <cell r="G733" t="str">
            <v>P3</v>
          </cell>
          <cell r="H733">
            <v>900</v>
          </cell>
          <cell r="I733" t="str">
            <v>202505</v>
          </cell>
          <cell r="J733" t="str">
            <v>000668</v>
          </cell>
          <cell r="K733">
            <v>113</v>
          </cell>
          <cell r="L733">
            <v>192047</v>
          </cell>
          <cell r="M733">
            <v>0</v>
          </cell>
          <cell r="N733">
            <v>192047</v>
          </cell>
          <cell r="O733">
            <v>0</v>
          </cell>
          <cell r="P733">
            <v>0</v>
          </cell>
          <cell r="Q733">
            <v>0</v>
          </cell>
          <cell r="R733">
            <v>192047</v>
          </cell>
          <cell r="S733">
            <v>0</v>
          </cell>
          <cell r="T733">
            <v>192047</v>
          </cell>
          <cell r="U733">
            <v>0</v>
          </cell>
          <cell r="V733">
            <v>192047</v>
          </cell>
          <cell r="W733">
            <v>192047</v>
          </cell>
          <cell r="X733">
            <v>0</v>
          </cell>
        </row>
        <row r="734">
          <cell r="B734">
            <v>514101195789</v>
          </cell>
          <cell r="C734" t="str">
            <v>PJU PRODAMAS RT21 RW04</v>
          </cell>
          <cell r="D734" t="str">
            <v>PESANTREN</v>
          </cell>
          <cell r="E734"/>
          <cell r="F734"/>
          <cell r="G734" t="str">
            <v>P3</v>
          </cell>
          <cell r="H734">
            <v>900</v>
          </cell>
          <cell r="I734" t="str">
            <v>202505</v>
          </cell>
          <cell r="J734" t="str">
            <v>053916</v>
          </cell>
          <cell r="K734">
            <v>247</v>
          </cell>
          <cell r="L734">
            <v>419784</v>
          </cell>
          <cell r="M734">
            <v>0</v>
          </cell>
          <cell r="N734">
            <v>419784</v>
          </cell>
          <cell r="O734">
            <v>0</v>
          </cell>
          <cell r="P734">
            <v>0</v>
          </cell>
          <cell r="Q734">
            <v>0</v>
          </cell>
          <cell r="R734">
            <v>419784</v>
          </cell>
          <cell r="S734">
            <v>0</v>
          </cell>
          <cell r="T734">
            <v>419784</v>
          </cell>
          <cell r="U734">
            <v>0</v>
          </cell>
          <cell r="V734">
            <v>419784</v>
          </cell>
          <cell r="W734">
            <v>419784</v>
          </cell>
          <cell r="X734">
            <v>0</v>
          </cell>
        </row>
        <row r="735">
          <cell r="B735">
            <v>514101195797</v>
          </cell>
          <cell r="C735" t="str">
            <v>PJU PRODAMAS RT17 RW3</v>
          </cell>
          <cell r="D735" t="str">
            <v>PESANTREN</v>
          </cell>
          <cell r="E735"/>
          <cell r="F735"/>
          <cell r="G735" t="str">
            <v>P3</v>
          </cell>
          <cell r="H735">
            <v>900</v>
          </cell>
          <cell r="I735" t="str">
            <v>202505</v>
          </cell>
          <cell r="J735" t="str">
            <v>050083</v>
          </cell>
          <cell r="K735">
            <v>217</v>
          </cell>
          <cell r="L735">
            <v>368798</v>
          </cell>
          <cell r="M735">
            <v>0</v>
          </cell>
          <cell r="N735">
            <v>368798</v>
          </cell>
          <cell r="O735">
            <v>0</v>
          </cell>
          <cell r="P735">
            <v>0</v>
          </cell>
          <cell r="Q735">
            <v>0</v>
          </cell>
          <cell r="R735">
            <v>368798</v>
          </cell>
          <cell r="S735">
            <v>0</v>
          </cell>
          <cell r="T735">
            <v>368798</v>
          </cell>
          <cell r="U735">
            <v>0</v>
          </cell>
          <cell r="V735">
            <v>368798</v>
          </cell>
          <cell r="W735">
            <v>368798</v>
          </cell>
          <cell r="X735">
            <v>0</v>
          </cell>
        </row>
        <row r="736">
          <cell r="B736">
            <v>514101197017</v>
          </cell>
          <cell r="C736" t="str">
            <v>PJU RT.04 RW.02</v>
          </cell>
          <cell r="D736" t="str">
            <v>KAMPUNGDALEM</v>
          </cell>
          <cell r="E736"/>
          <cell r="F736"/>
          <cell r="G736" t="str">
            <v>P3</v>
          </cell>
          <cell r="H736">
            <v>900</v>
          </cell>
          <cell r="I736" t="str">
            <v>202505</v>
          </cell>
          <cell r="J736" t="str">
            <v>009756</v>
          </cell>
          <cell r="K736">
            <v>248</v>
          </cell>
          <cell r="L736">
            <v>421483</v>
          </cell>
          <cell r="M736">
            <v>0</v>
          </cell>
          <cell r="N736">
            <v>421483</v>
          </cell>
          <cell r="O736">
            <v>0</v>
          </cell>
          <cell r="P736">
            <v>0</v>
          </cell>
          <cell r="Q736">
            <v>0</v>
          </cell>
          <cell r="R736">
            <v>421483</v>
          </cell>
          <cell r="S736">
            <v>0</v>
          </cell>
          <cell r="T736">
            <v>421483</v>
          </cell>
          <cell r="U736">
            <v>0</v>
          </cell>
          <cell r="V736">
            <v>421483</v>
          </cell>
          <cell r="W736">
            <v>421483</v>
          </cell>
          <cell r="X736">
            <v>0</v>
          </cell>
        </row>
        <row r="737">
          <cell r="B737">
            <v>514101197025</v>
          </cell>
          <cell r="C737" t="str">
            <v>PJU RT 04 RW 04</v>
          </cell>
          <cell r="D737" t="str">
            <v>KAMPUNGDALEM</v>
          </cell>
          <cell r="E737"/>
          <cell r="F737"/>
          <cell r="G737" t="str">
            <v>P3</v>
          </cell>
          <cell r="H737">
            <v>900</v>
          </cell>
          <cell r="I737" t="str">
            <v>202505</v>
          </cell>
          <cell r="J737" t="str">
            <v>013514</v>
          </cell>
          <cell r="K737">
            <v>351</v>
          </cell>
          <cell r="L737">
            <v>596535</v>
          </cell>
          <cell r="M737">
            <v>0</v>
          </cell>
          <cell r="N737">
            <v>596535</v>
          </cell>
          <cell r="O737">
            <v>0</v>
          </cell>
          <cell r="P737">
            <v>0</v>
          </cell>
          <cell r="Q737">
            <v>0</v>
          </cell>
          <cell r="R737">
            <v>596535</v>
          </cell>
          <cell r="S737">
            <v>0</v>
          </cell>
          <cell r="T737">
            <v>596535</v>
          </cell>
          <cell r="U737">
            <v>0</v>
          </cell>
          <cell r="V737">
            <v>596535</v>
          </cell>
          <cell r="W737">
            <v>596535</v>
          </cell>
          <cell r="X737">
            <v>0</v>
          </cell>
        </row>
        <row r="738">
          <cell r="B738">
            <v>514101197033</v>
          </cell>
          <cell r="C738" t="str">
            <v>PJU RT 03 RW 02</v>
          </cell>
          <cell r="D738" t="str">
            <v>KAMPUNGDALEM</v>
          </cell>
          <cell r="E738"/>
          <cell r="F738"/>
          <cell r="G738" t="str">
            <v>P3</v>
          </cell>
          <cell r="H738">
            <v>900</v>
          </cell>
          <cell r="I738" t="str">
            <v>202505</v>
          </cell>
          <cell r="J738" t="str">
            <v>020897</v>
          </cell>
          <cell r="K738">
            <v>235</v>
          </cell>
          <cell r="L738">
            <v>399390</v>
          </cell>
          <cell r="M738">
            <v>0</v>
          </cell>
          <cell r="N738">
            <v>399390</v>
          </cell>
          <cell r="O738">
            <v>0</v>
          </cell>
          <cell r="P738">
            <v>0</v>
          </cell>
          <cell r="Q738">
            <v>0</v>
          </cell>
          <cell r="R738">
            <v>399390</v>
          </cell>
          <cell r="S738">
            <v>0</v>
          </cell>
          <cell r="T738">
            <v>399390</v>
          </cell>
          <cell r="U738">
            <v>0</v>
          </cell>
          <cell r="V738">
            <v>399390</v>
          </cell>
          <cell r="W738">
            <v>399390</v>
          </cell>
          <cell r="X738">
            <v>0</v>
          </cell>
        </row>
        <row r="739">
          <cell r="B739">
            <v>514101197041</v>
          </cell>
          <cell r="C739" t="str">
            <v>PJU RT.02 RW.01</v>
          </cell>
          <cell r="D739" t="str">
            <v>KAMPUNGDALEM</v>
          </cell>
          <cell r="E739"/>
          <cell r="F739"/>
          <cell r="G739" t="str">
            <v>P3</v>
          </cell>
          <cell r="H739">
            <v>900</v>
          </cell>
          <cell r="I739" t="str">
            <v>202505</v>
          </cell>
          <cell r="J739" t="str">
            <v>051646</v>
          </cell>
          <cell r="K739">
            <v>259</v>
          </cell>
          <cell r="L739">
            <v>440178</v>
          </cell>
          <cell r="M739">
            <v>0</v>
          </cell>
          <cell r="N739">
            <v>440178</v>
          </cell>
          <cell r="O739">
            <v>0</v>
          </cell>
          <cell r="P739">
            <v>0</v>
          </cell>
          <cell r="Q739">
            <v>0</v>
          </cell>
          <cell r="R739">
            <v>440178</v>
          </cell>
          <cell r="S739">
            <v>0</v>
          </cell>
          <cell r="T739">
            <v>440178</v>
          </cell>
          <cell r="U739">
            <v>0</v>
          </cell>
          <cell r="V739">
            <v>440178</v>
          </cell>
          <cell r="W739">
            <v>440178</v>
          </cell>
          <cell r="X739">
            <v>0</v>
          </cell>
        </row>
        <row r="740">
          <cell r="B740">
            <v>514101197112</v>
          </cell>
          <cell r="C740" t="str">
            <v>PJU RT04 RW01</v>
          </cell>
          <cell r="D740" t="str">
            <v>KAMPUNGDALEM</v>
          </cell>
          <cell r="E740"/>
          <cell r="F740"/>
          <cell r="G740" t="str">
            <v>P3</v>
          </cell>
          <cell r="H740">
            <v>900</v>
          </cell>
          <cell r="I740" t="str">
            <v>202505</v>
          </cell>
          <cell r="J740" t="str">
            <v>051714</v>
          </cell>
          <cell r="K740">
            <v>211</v>
          </cell>
          <cell r="L740">
            <v>358601</v>
          </cell>
          <cell r="M740">
            <v>0</v>
          </cell>
          <cell r="N740">
            <v>358601</v>
          </cell>
          <cell r="O740">
            <v>0</v>
          </cell>
          <cell r="P740">
            <v>0</v>
          </cell>
          <cell r="Q740">
            <v>0</v>
          </cell>
          <cell r="R740">
            <v>358601</v>
          </cell>
          <cell r="S740">
            <v>0</v>
          </cell>
          <cell r="T740">
            <v>358601</v>
          </cell>
          <cell r="U740">
            <v>0</v>
          </cell>
          <cell r="V740">
            <v>358601</v>
          </cell>
          <cell r="W740">
            <v>358601</v>
          </cell>
          <cell r="X740">
            <v>0</v>
          </cell>
        </row>
        <row r="741">
          <cell r="B741">
            <v>514101197352</v>
          </cell>
          <cell r="C741" t="str">
            <v>PJU PRODAMAS RT19 RW08</v>
          </cell>
          <cell r="D741" t="str">
            <v>BETET</v>
          </cell>
          <cell r="E741"/>
          <cell r="F741"/>
          <cell r="G741" t="str">
            <v>P3</v>
          </cell>
          <cell r="H741">
            <v>2200</v>
          </cell>
          <cell r="I741" t="str">
            <v>202505</v>
          </cell>
          <cell r="J741" t="str">
            <v>048576</v>
          </cell>
          <cell r="K741">
            <v>478</v>
          </cell>
          <cell r="L741">
            <v>812375</v>
          </cell>
          <cell r="M741">
            <v>0</v>
          </cell>
          <cell r="N741">
            <v>812375</v>
          </cell>
          <cell r="O741">
            <v>0</v>
          </cell>
          <cell r="P741">
            <v>0</v>
          </cell>
          <cell r="Q741">
            <v>0</v>
          </cell>
          <cell r="R741">
            <v>812375</v>
          </cell>
          <cell r="S741">
            <v>0</v>
          </cell>
          <cell r="T741">
            <v>812375</v>
          </cell>
          <cell r="U741">
            <v>0</v>
          </cell>
          <cell r="V741">
            <v>812375</v>
          </cell>
          <cell r="W741">
            <v>812375</v>
          </cell>
          <cell r="X741">
            <v>0</v>
          </cell>
        </row>
        <row r="742">
          <cell r="B742">
            <v>514101199037</v>
          </cell>
          <cell r="C742" t="str">
            <v>PJU PRODAMAS RT21 RW05</v>
          </cell>
          <cell r="D742" t="str">
            <v>SINGONEGARAN</v>
          </cell>
          <cell r="E742"/>
          <cell r="F742"/>
          <cell r="G742" t="str">
            <v>P3</v>
          </cell>
          <cell r="H742">
            <v>900</v>
          </cell>
          <cell r="I742" t="str">
            <v>202505</v>
          </cell>
          <cell r="J742" t="str">
            <v>050903</v>
          </cell>
          <cell r="K742">
            <v>187</v>
          </cell>
          <cell r="L742">
            <v>317812</v>
          </cell>
          <cell r="M742">
            <v>0</v>
          </cell>
          <cell r="N742">
            <v>317812</v>
          </cell>
          <cell r="O742">
            <v>0</v>
          </cell>
          <cell r="P742">
            <v>0</v>
          </cell>
          <cell r="Q742">
            <v>0</v>
          </cell>
          <cell r="R742">
            <v>317812</v>
          </cell>
          <cell r="S742">
            <v>0</v>
          </cell>
          <cell r="T742">
            <v>317812</v>
          </cell>
          <cell r="U742">
            <v>0</v>
          </cell>
          <cell r="V742">
            <v>317812</v>
          </cell>
          <cell r="W742">
            <v>317812</v>
          </cell>
          <cell r="X742">
            <v>0</v>
          </cell>
        </row>
        <row r="743">
          <cell r="B743">
            <v>514101199045</v>
          </cell>
          <cell r="C743" t="str">
            <v>PJU PRODAMAS RT06 RW02</v>
          </cell>
          <cell r="D743" t="str">
            <v>SINGONEGARAN</v>
          </cell>
          <cell r="E743"/>
          <cell r="F743"/>
          <cell r="G743" t="str">
            <v>P3</v>
          </cell>
          <cell r="H743">
            <v>900</v>
          </cell>
          <cell r="I743" t="str">
            <v>202505</v>
          </cell>
          <cell r="J743" t="str">
            <v>003888</v>
          </cell>
          <cell r="K743">
            <v>190</v>
          </cell>
          <cell r="L743">
            <v>322911</v>
          </cell>
          <cell r="M743">
            <v>0</v>
          </cell>
          <cell r="N743">
            <v>322911</v>
          </cell>
          <cell r="O743">
            <v>0</v>
          </cell>
          <cell r="P743">
            <v>0</v>
          </cell>
          <cell r="Q743">
            <v>0</v>
          </cell>
          <cell r="R743">
            <v>322911</v>
          </cell>
          <cell r="S743">
            <v>0</v>
          </cell>
          <cell r="T743">
            <v>322911</v>
          </cell>
          <cell r="U743">
            <v>0</v>
          </cell>
          <cell r="V743">
            <v>322911</v>
          </cell>
          <cell r="W743">
            <v>322911</v>
          </cell>
          <cell r="X743">
            <v>0</v>
          </cell>
        </row>
        <row r="744">
          <cell r="B744">
            <v>514101199052</v>
          </cell>
          <cell r="C744" t="str">
            <v>PJU PRODAMAS RT04 RW01</v>
          </cell>
          <cell r="D744" t="str">
            <v>SINGONEGARAN</v>
          </cell>
          <cell r="E744"/>
          <cell r="F744"/>
          <cell r="G744" t="str">
            <v>P3</v>
          </cell>
          <cell r="H744">
            <v>900</v>
          </cell>
          <cell r="I744" t="str">
            <v>202505</v>
          </cell>
          <cell r="J744" t="str">
            <v>009425</v>
          </cell>
          <cell r="K744">
            <v>55</v>
          </cell>
          <cell r="L744">
            <v>93474</v>
          </cell>
          <cell r="M744">
            <v>0</v>
          </cell>
          <cell r="N744">
            <v>93474</v>
          </cell>
          <cell r="O744">
            <v>0</v>
          </cell>
          <cell r="P744">
            <v>0</v>
          </cell>
          <cell r="Q744">
            <v>0</v>
          </cell>
          <cell r="R744">
            <v>93474</v>
          </cell>
          <cell r="S744">
            <v>0</v>
          </cell>
          <cell r="T744">
            <v>93474</v>
          </cell>
          <cell r="U744">
            <v>0</v>
          </cell>
          <cell r="V744">
            <v>93474</v>
          </cell>
          <cell r="W744">
            <v>93474</v>
          </cell>
          <cell r="X744">
            <v>0</v>
          </cell>
        </row>
        <row r="745">
          <cell r="B745">
            <v>514101199060</v>
          </cell>
          <cell r="C745" t="str">
            <v>PJU PRODAMAS RT03 RW01</v>
          </cell>
          <cell r="D745" t="str">
            <v>SINGONEGARAN</v>
          </cell>
          <cell r="E745"/>
          <cell r="F745"/>
          <cell r="G745" t="str">
            <v>P3</v>
          </cell>
          <cell r="H745">
            <v>900</v>
          </cell>
          <cell r="I745" t="str">
            <v>202505</v>
          </cell>
          <cell r="J745" t="str">
            <v>019481</v>
          </cell>
          <cell r="K745">
            <v>206</v>
          </cell>
          <cell r="L745">
            <v>350103</v>
          </cell>
          <cell r="M745">
            <v>0</v>
          </cell>
          <cell r="N745">
            <v>350103</v>
          </cell>
          <cell r="O745">
            <v>0</v>
          </cell>
          <cell r="P745">
            <v>0</v>
          </cell>
          <cell r="Q745">
            <v>0</v>
          </cell>
          <cell r="R745">
            <v>350103</v>
          </cell>
          <cell r="S745">
            <v>0</v>
          </cell>
          <cell r="T745">
            <v>350103</v>
          </cell>
          <cell r="U745">
            <v>0</v>
          </cell>
          <cell r="V745">
            <v>350103</v>
          </cell>
          <cell r="W745">
            <v>350103</v>
          </cell>
          <cell r="X745">
            <v>0</v>
          </cell>
        </row>
        <row r="746">
          <cell r="B746">
            <v>514101199571</v>
          </cell>
          <cell r="C746" t="str">
            <v>PJU PRODAMAS RT 03 RW 01</v>
          </cell>
          <cell r="D746" t="str">
            <v>TOSAREN</v>
          </cell>
          <cell r="E746"/>
          <cell r="F746"/>
          <cell r="G746" t="str">
            <v>P3</v>
          </cell>
          <cell r="H746">
            <v>900</v>
          </cell>
          <cell r="I746" t="str">
            <v>202505</v>
          </cell>
          <cell r="J746" t="str">
            <v>013573</v>
          </cell>
          <cell r="K746">
            <v>229</v>
          </cell>
          <cell r="L746">
            <v>389192</v>
          </cell>
          <cell r="M746">
            <v>0</v>
          </cell>
          <cell r="N746">
            <v>389192</v>
          </cell>
          <cell r="O746">
            <v>0</v>
          </cell>
          <cell r="P746">
            <v>0</v>
          </cell>
          <cell r="Q746">
            <v>0</v>
          </cell>
          <cell r="R746">
            <v>389192</v>
          </cell>
          <cell r="S746">
            <v>0</v>
          </cell>
          <cell r="T746">
            <v>389192</v>
          </cell>
          <cell r="U746">
            <v>0</v>
          </cell>
          <cell r="V746">
            <v>389192</v>
          </cell>
          <cell r="W746">
            <v>389192</v>
          </cell>
          <cell r="X746">
            <v>0</v>
          </cell>
        </row>
        <row r="747">
          <cell r="B747">
            <v>514101199589</v>
          </cell>
          <cell r="C747" t="str">
            <v>PJU PRODAMAS  RT 7 RW 3</v>
          </cell>
          <cell r="D747" t="str">
            <v>TOSAREN</v>
          </cell>
          <cell r="E747"/>
          <cell r="F747"/>
          <cell r="G747" t="str">
            <v>P3</v>
          </cell>
          <cell r="H747">
            <v>900</v>
          </cell>
          <cell r="I747" t="str">
            <v>202505</v>
          </cell>
          <cell r="J747" t="str">
            <v>014342</v>
          </cell>
          <cell r="K747">
            <v>184</v>
          </cell>
          <cell r="L747">
            <v>312714</v>
          </cell>
          <cell r="M747">
            <v>0</v>
          </cell>
          <cell r="N747">
            <v>312714</v>
          </cell>
          <cell r="O747">
            <v>0</v>
          </cell>
          <cell r="P747">
            <v>0</v>
          </cell>
          <cell r="Q747">
            <v>0</v>
          </cell>
          <cell r="R747">
            <v>312714</v>
          </cell>
          <cell r="S747">
            <v>0</v>
          </cell>
          <cell r="T747">
            <v>312714</v>
          </cell>
          <cell r="U747">
            <v>0</v>
          </cell>
          <cell r="V747">
            <v>312714</v>
          </cell>
          <cell r="W747">
            <v>312714</v>
          </cell>
          <cell r="X747">
            <v>0</v>
          </cell>
        </row>
        <row r="748">
          <cell r="B748">
            <v>514101199597</v>
          </cell>
          <cell r="C748" t="str">
            <v>PJU PRODAMAS RT 04 RW 02</v>
          </cell>
          <cell r="D748" t="str">
            <v>TOSAREN</v>
          </cell>
          <cell r="E748"/>
          <cell r="F748"/>
          <cell r="G748" t="str">
            <v>P3</v>
          </cell>
          <cell r="H748">
            <v>900</v>
          </cell>
          <cell r="I748" t="str">
            <v>202505</v>
          </cell>
          <cell r="J748" t="str">
            <v>011656</v>
          </cell>
          <cell r="K748">
            <v>100</v>
          </cell>
          <cell r="L748">
            <v>169953</v>
          </cell>
          <cell r="M748">
            <v>0</v>
          </cell>
          <cell r="N748">
            <v>169953</v>
          </cell>
          <cell r="O748">
            <v>0</v>
          </cell>
          <cell r="P748">
            <v>0</v>
          </cell>
          <cell r="Q748">
            <v>0</v>
          </cell>
          <cell r="R748">
            <v>169953</v>
          </cell>
          <cell r="S748">
            <v>0</v>
          </cell>
          <cell r="T748">
            <v>169953</v>
          </cell>
          <cell r="U748">
            <v>0</v>
          </cell>
          <cell r="V748">
            <v>169953</v>
          </cell>
          <cell r="W748">
            <v>169953</v>
          </cell>
          <cell r="X748">
            <v>0</v>
          </cell>
        </row>
        <row r="749">
          <cell r="B749">
            <v>514101199618</v>
          </cell>
          <cell r="C749" t="str">
            <v>PJU PRODAMAS RT 19 RW 07</v>
          </cell>
          <cell r="D749" t="str">
            <v>TOSAREN</v>
          </cell>
          <cell r="E749"/>
          <cell r="F749"/>
          <cell r="G749" t="str">
            <v>P3</v>
          </cell>
          <cell r="H749">
            <v>900</v>
          </cell>
          <cell r="I749" t="str">
            <v>202505</v>
          </cell>
          <cell r="J749" t="str">
            <v>065732</v>
          </cell>
          <cell r="K749">
            <v>125</v>
          </cell>
          <cell r="L749">
            <v>212441</v>
          </cell>
          <cell r="M749">
            <v>0</v>
          </cell>
          <cell r="N749">
            <v>212441</v>
          </cell>
          <cell r="O749">
            <v>0</v>
          </cell>
          <cell r="P749">
            <v>0</v>
          </cell>
          <cell r="Q749">
            <v>0</v>
          </cell>
          <cell r="R749">
            <v>212441</v>
          </cell>
          <cell r="S749">
            <v>0</v>
          </cell>
          <cell r="T749">
            <v>212441</v>
          </cell>
          <cell r="U749">
            <v>0</v>
          </cell>
          <cell r="V749">
            <v>212441</v>
          </cell>
          <cell r="W749">
            <v>212441</v>
          </cell>
          <cell r="X749">
            <v>0</v>
          </cell>
        </row>
        <row r="750">
          <cell r="B750">
            <v>514101199987</v>
          </cell>
          <cell r="C750" t="str">
            <v>PJU PRODAMAS RT06 RW07</v>
          </cell>
          <cell r="D750" t="str">
            <v>NGRONGGO</v>
          </cell>
          <cell r="E750"/>
          <cell r="F750"/>
          <cell r="G750" t="str">
            <v>P3</v>
          </cell>
          <cell r="H750">
            <v>900</v>
          </cell>
          <cell r="I750" t="str">
            <v>202505</v>
          </cell>
          <cell r="J750" t="str">
            <v>012706</v>
          </cell>
          <cell r="K750">
            <v>182</v>
          </cell>
          <cell r="L750">
            <v>309314</v>
          </cell>
          <cell r="M750">
            <v>0</v>
          </cell>
          <cell r="N750">
            <v>309314</v>
          </cell>
          <cell r="O750">
            <v>0</v>
          </cell>
          <cell r="P750">
            <v>0</v>
          </cell>
          <cell r="Q750">
            <v>0</v>
          </cell>
          <cell r="R750">
            <v>309314</v>
          </cell>
          <cell r="S750">
            <v>0</v>
          </cell>
          <cell r="T750">
            <v>309314</v>
          </cell>
          <cell r="U750">
            <v>0</v>
          </cell>
          <cell r="V750">
            <v>309314</v>
          </cell>
          <cell r="W750">
            <v>309314</v>
          </cell>
          <cell r="X750">
            <v>0</v>
          </cell>
        </row>
        <row r="751">
          <cell r="B751">
            <v>514101200082</v>
          </cell>
          <cell r="C751" t="str">
            <v>PJU PRODAMAS RT06 RW01</v>
          </cell>
          <cell r="D751" t="str">
            <v>PAKUNDEN</v>
          </cell>
          <cell r="E751"/>
          <cell r="F751"/>
          <cell r="G751" t="str">
            <v>P3</v>
          </cell>
          <cell r="H751">
            <v>900</v>
          </cell>
          <cell r="I751" t="str">
            <v>202505</v>
          </cell>
          <cell r="J751" t="str">
            <v>000933</v>
          </cell>
          <cell r="K751">
            <v>173</v>
          </cell>
          <cell r="L751">
            <v>294019</v>
          </cell>
          <cell r="M751">
            <v>0</v>
          </cell>
          <cell r="N751">
            <v>294019</v>
          </cell>
          <cell r="O751">
            <v>0</v>
          </cell>
          <cell r="P751">
            <v>0</v>
          </cell>
          <cell r="Q751">
            <v>0</v>
          </cell>
          <cell r="R751">
            <v>294019</v>
          </cell>
          <cell r="S751">
            <v>0</v>
          </cell>
          <cell r="T751">
            <v>294019</v>
          </cell>
          <cell r="U751">
            <v>0</v>
          </cell>
          <cell r="V751">
            <v>294019</v>
          </cell>
          <cell r="W751">
            <v>294019</v>
          </cell>
          <cell r="X751">
            <v>0</v>
          </cell>
        </row>
        <row r="752">
          <cell r="B752">
            <v>514101200090</v>
          </cell>
          <cell r="C752" t="str">
            <v>PJU PRODAMAS RT01 RW01</v>
          </cell>
          <cell r="D752" t="str">
            <v>PAKUNDEN</v>
          </cell>
          <cell r="E752"/>
          <cell r="F752"/>
          <cell r="G752" t="str">
            <v>P3</v>
          </cell>
          <cell r="H752">
            <v>900</v>
          </cell>
          <cell r="I752" t="str">
            <v>202505</v>
          </cell>
          <cell r="J752" t="str">
            <v>018004</v>
          </cell>
          <cell r="K752">
            <v>254</v>
          </cell>
          <cell r="L752">
            <v>431681</v>
          </cell>
          <cell r="M752">
            <v>0</v>
          </cell>
          <cell r="N752">
            <v>431681</v>
          </cell>
          <cell r="O752">
            <v>0</v>
          </cell>
          <cell r="P752">
            <v>0</v>
          </cell>
          <cell r="Q752">
            <v>0</v>
          </cell>
          <cell r="R752">
            <v>431681</v>
          </cell>
          <cell r="S752">
            <v>0</v>
          </cell>
          <cell r="T752">
            <v>431681</v>
          </cell>
          <cell r="U752">
            <v>0</v>
          </cell>
          <cell r="V752">
            <v>431681</v>
          </cell>
          <cell r="W752">
            <v>431681</v>
          </cell>
          <cell r="X752">
            <v>0</v>
          </cell>
        </row>
        <row r="753">
          <cell r="B753">
            <v>514101200104</v>
          </cell>
          <cell r="C753" t="str">
            <v>PJU PRODAMAS RT06 RW02</v>
          </cell>
          <cell r="D753" t="str">
            <v>PAKELAN</v>
          </cell>
          <cell r="E753"/>
          <cell r="F753"/>
          <cell r="G753" t="str">
            <v>P3</v>
          </cell>
          <cell r="H753">
            <v>900</v>
          </cell>
          <cell r="I753" t="str">
            <v>202505</v>
          </cell>
          <cell r="J753" t="str">
            <v>063883</v>
          </cell>
          <cell r="K753">
            <v>70</v>
          </cell>
          <cell r="L753">
            <v>118967</v>
          </cell>
          <cell r="M753">
            <v>0</v>
          </cell>
          <cell r="N753">
            <v>118967</v>
          </cell>
          <cell r="O753">
            <v>0</v>
          </cell>
          <cell r="P753">
            <v>0</v>
          </cell>
          <cell r="Q753">
            <v>0</v>
          </cell>
          <cell r="R753">
            <v>118967</v>
          </cell>
          <cell r="S753">
            <v>0</v>
          </cell>
          <cell r="T753">
            <v>118967</v>
          </cell>
          <cell r="U753">
            <v>0</v>
          </cell>
          <cell r="V753">
            <v>118967</v>
          </cell>
          <cell r="W753">
            <v>118967</v>
          </cell>
          <cell r="X753">
            <v>0</v>
          </cell>
        </row>
        <row r="754">
          <cell r="B754">
            <v>514101200112</v>
          </cell>
          <cell r="C754" t="str">
            <v>PJU PRODAMAS RT02 RW01</v>
          </cell>
          <cell r="D754" t="str">
            <v>PAKELAN</v>
          </cell>
          <cell r="E754"/>
          <cell r="F754"/>
          <cell r="G754" t="str">
            <v>P3</v>
          </cell>
          <cell r="H754">
            <v>900</v>
          </cell>
          <cell r="I754" t="str">
            <v>202505</v>
          </cell>
          <cell r="J754" t="str">
            <v>056614</v>
          </cell>
          <cell r="K754">
            <v>59</v>
          </cell>
          <cell r="L754">
            <v>100272</v>
          </cell>
          <cell r="M754">
            <v>0</v>
          </cell>
          <cell r="N754">
            <v>100272</v>
          </cell>
          <cell r="O754">
            <v>0</v>
          </cell>
          <cell r="P754">
            <v>0</v>
          </cell>
          <cell r="Q754">
            <v>0</v>
          </cell>
          <cell r="R754">
            <v>100272</v>
          </cell>
          <cell r="S754">
            <v>0</v>
          </cell>
          <cell r="T754">
            <v>100272</v>
          </cell>
          <cell r="U754">
            <v>0</v>
          </cell>
          <cell r="V754">
            <v>100272</v>
          </cell>
          <cell r="W754">
            <v>100272</v>
          </cell>
          <cell r="X754">
            <v>0</v>
          </cell>
        </row>
        <row r="755">
          <cell r="B755">
            <v>514101200120</v>
          </cell>
          <cell r="C755" t="str">
            <v>PJU PRODAMAS RT32 RW06</v>
          </cell>
          <cell r="D755" t="str">
            <v>PAKUNDEN</v>
          </cell>
          <cell r="E755"/>
          <cell r="F755"/>
          <cell r="G755" t="str">
            <v>P3</v>
          </cell>
          <cell r="H755">
            <v>900</v>
          </cell>
          <cell r="I755" t="str">
            <v>202505</v>
          </cell>
          <cell r="J755" t="str">
            <v>000527</v>
          </cell>
          <cell r="K755">
            <v>232</v>
          </cell>
          <cell r="L755">
            <v>394291</v>
          </cell>
          <cell r="M755">
            <v>0</v>
          </cell>
          <cell r="N755">
            <v>394291</v>
          </cell>
          <cell r="O755">
            <v>0</v>
          </cell>
          <cell r="P755">
            <v>0</v>
          </cell>
          <cell r="Q755">
            <v>0</v>
          </cell>
          <cell r="R755">
            <v>394291</v>
          </cell>
          <cell r="S755">
            <v>0</v>
          </cell>
          <cell r="T755">
            <v>394291</v>
          </cell>
          <cell r="U755">
            <v>0</v>
          </cell>
          <cell r="V755">
            <v>394291</v>
          </cell>
          <cell r="W755">
            <v>394291</v>
          </cell>
          <cell r="X755">
            <v>0</v>
          </cell>
        </row>
        <row r="756">
          <cell r="B756">
            <v>514101200138</v>
          </cell>
          <cell r="C756" t="str">
            <v>PJU PRODAMAS RT13 RW03</v>
          </cell>
          <cell r="D756" t="str">
            <v>PAKELAN</v>
          </cell>
          <cell r="E756"/>
          <cell r="F756"/>
          <cell r="G756" t="str">
            <v>P3</v>
          </cell>
          <cell r="H756">
            <v>900</v>
          </cell>
          <cell r="I756" t="str">
            <v>202505</v>
          </cell>
          <cell r="J756" t="str">
            <v>048681</v>
          </cell>
          <cell r="K756">
            <v>36</v>
          </cell>
          <cell r="L756">
            <v>61183</v>
          </cell>
          <cell r="M756">
            <v>0</v>
          </cell>
          <cell r="N756">
            <v>61183</v>
          </cell>
          <cell r="O756">
            <v>0</v>
          </cell>
          <cell r="P756">
            <v>0</v>
          </cell>
          <cell r="Q756">
            <v>0</v>
          </cell>
          <cell r="R756">
            <v>61183</v>
          </cell>
          <cell r="S756">
            <v>0</v>
          </cell>
          <cell r="T756">
            <v>61183</v>
          </cell>
          <cell r="U756">
            <v>0</v>
          </cell>
          <cell r="V756">
            <v>61183</v>
          </cell>
          <cell r="W756">
            <v>61183</v>
          </cell>
          <cell r="X756">
            <v>0</v>
          </cell>
        </row>
        <row r="757">
          <cell r="B757">
            <v>514101200179</v>
          </cell>
          <cell r="C757" t="str">
            <v>PJU PRODAMAS RT05 RW01</v>
          </cell>
          <cell r="D757" t="str">
            <v>KEMASAN</v>
          </cell>
          <cell r="E757"/>
          <cell r="F757"/>
          <cell r="G757" t="str">
            <v>P3</v>
          </cell>
          <cell r="H757">
            <v>900</v>
          </cell>
          <cell r="I757" t="str">
            <v>202505</v>
          </cell>
          <cell r="J757" t="str">
            <v>050424</v>
          </cell>
          <cell r="K757">
            <v>228</v>
          </cell>
          <cell r="L757">
            <v>387493</v>
          </cell>
          <cell r="M757">
            <v>0</v>
          </cell>
          <cell r="N757">
            <v>387493</v>
          </cell>
          <cell r="O757">
            <v>0</v>
          </cell>
          <cell r="P757">
            <v>0</v>
          </cell>
          <cell r="Q757">
            <v>0</v>
          </cell>
          <cell r="R757">
            <v>387493</v>
          </cell>
          <cell r="S757">
            <v>0</v>
          </cell>
          <cell r="T757">
            <v>387493</v>
          </cell>
          <cell r="U757">
            <v>0</v>
          </cell>
          <cell r="V757">
            <v>387493</v>
          </cell>
          <cell r="W757">
            <v>387493</v>
          </cell>
          <cell r="X757">
            <v>0</v>
          </cell>
        </row>
        <row r="758">
          <cell r="B758">
            <v>514101200303</v>
          </cell>
          <cell r="C758" t="str">
            <v>PJU PRODAMAS RT27 RW10</v>
          </cell>
          <cell r="D758" t="str">
            <v>BLABAK</v>
          </cell>
          <cell r="E758"/>
          <cell r="F758"/>
          <cell r="G758" t="str">
            <v>P3</v>
          </cell>
          <cell r="H758">
            <v>900</v>
          </cell>
          <cell r="I758" t="str">
            <v>202505</v>
          </cell>
          <cell r="J758" t="str">
            <v>001839</v>
          </cell>
          <cell r="K758">
            <v>36</v>
          </cell>
          <cell r="L758">
            <v>61183</v>
          </cell>
          <cell r="M758">
            <v>0</v>
          </cell>
          <cell r="N758">
            <v>61183</v>
          </cell>
          <cell r="O758">
            <v>0</v>
          </cell>
          <cell r="P758">
            <v>0</v>
          </cell>
          <cell r="Q758">
            <v>0</v>
          </cell>
          <cell r="R758">
            <v>61183</v>
          </cell>
          <cell r="S758">
            <v>0</v>
          </cell>
          <cell r="T758">
            <v>61183</v>
          </cell>
          <cell r="U758">
            <v>0</v>
          </cell>
          <cell r="V758">
            <v>61183</v>
          </cell>
          <cell r="W758">
            <v>61183</v>
          </cell>
          <cell r="X758">
            <v>0</v>
          </cell>
        </row>
        <row r="759">
          <cell r="B759">
            <v>514101200311</v>
          </cell>
          <cell r="C759" t="str">
            <v>PJU PRODAMAS RT15 RW06</v>
          </cell>
          <cell r="D759" t="str">
            <v>BLABAK</v>
          </cell>
          <cell r="E759"/>
          <cell r="F759"/>
          <cell r="G759" t="str">
            <v>P3</v>
          </cell>
          <cell r="H759">
            <v>900</v>
          </cell>
          <cell r="I759" t="str">
            <v>202505</v>
          </cell>
          <cell r="J759" t="str">
            <v>055771</v>
          </cell>
          <cell r="K759">
            <v>125</v>
          </cell>
          <cell r="L759">
            <v>212441</v>
          </cell>
          <cell r="M759">
            <v>0</v>
          </cell>
          <cell r="N759">
            <v>212441</v>
          </cell>
          <cell r="O759">
            <v>0</v>
          </cell>
          <cell r="P759">
            <v>0</v>
          </cell>
          <cell r="Q759">
            <v>0</v>
          </cell>
          <cell r="R759">
            <v>212441</v>
          </cell>
          <cell r="S759">
            <v>0</v>
          </cell>
          <cell r="T759">
            <v>212441</v>
          </cell>
          <cell r="U759">
            <v>0</v>
          </cell>
          <cell r="V759">
            <v>212441</v>
          </cell>
          <cell r="W759">
            <v>212441</v>
          </cell>
          <cell r="X759">
            <v>0</v>
          </cell>
        </row>
        <row r="760">
          <cell r="B760">
            <v>514101200329</v>
          </cell>
          <cell r="C760" t="str">
            <v>PJU PRODAMAS RT23 RW08</v>
          </cell>
          <cell r="D760" t="str">
            <v>BLABAK</v>
          </cell>
          <cell r="E760"/>
          <cell r="F760"/>
          <cell r="G760" t="str">
            <v>P3</v>
          </cell>
          <cell r="H760">
            <v>900</v>
          </cell>
          <cell r="I760" t="str">
            <v>202505</v>
          </cell>
          <cell r="J760" t="str">
            <v>057252</v>
          </cell>
          <cell r="K760">
            <v>36</v>
          </cell>
          <cell r="L760">
            <v>61183</v>
          </cell>
          <cell r="M760">
            <v>0</v>
          </cell>
          <cell r="N760">
            <v>61183</v>
          </cell>
          <cell r="O760">
            <v>0</v>
          </cell>
          <cell r="P760">
            <v>0</v>
          </cell>
          <cell r="Q760">
            <v>0</v>
          </cell>
          <cell r="R760">
            <v>61183</v>
          </cell>
          <cell r="S760">
            <v>0</v>
          </cell>
          <cell r="T760">
            <v>61183</v>
          </cell>
          <cell r="U760">
            <v>0</v>
          </cell>
          <cell r="V760">
            <v>61183</v>
          </cell>
          <cell r="W760">
            <v>61183</v>
          </cell>
          <cell r="X760">
            <v>0</v>
          </cell>
        </row>
        <row r="761">
          <cell r="B761">
            <v>514101200337</v>
          </cell>
          <cell r="C761" t="str">
            <v>PJU PRODAMAS RT03 RW01</v>
          </cell>
          <cell r="D761" t="str">
            <v>BLABAK</v>
          </cell>
          <cell r="E761"/>
          <cell r="F761"/>
          <cell r="G761" t="str">
            <v>P3</v>
          </cell>
          <cell r="H761">
            <v>900</v>
          </cell>
          <cell r="I761" t="str">
            <v>202505</v>
          </cell>
          <cell r="J761" t="str">
            <v>009112</v>
          </cell>
          <cell r="K761">
            <v>354</v>
          </cell>
          <cell r="L761">
            <v>601634</v>
          </cell>
          <cell r="M761">
            <v>0</v>
          </cell>
          <cell r="N761">
            <v>601634</v>
          </cell>
          <cell r="O761">
            <v>0</v>
          </cell>
          <cell r="P761">
            <v>0</v>
          </cell>
          <cell r="Q761">
            <v>0</v>
          </cell>
          <cell r="R761">
            <v>601634</v>
          </cell>
          <cell r="S761">
            <v>0</v>
          </cell>
          <cell r="T761">
            <v>601634</v>
          </cell>
          <cell r="U761">
            <v>0</v>
          </cell>
          <cell r="V761">
            <v>601634</v>
          </cell>
          <cell r="W761">
            <v>601634</v>
          </cell>
          <cell r="X761">
            <v>0</v>
          </cell>
        </row>
        <row r="762">
          <cell r="B762">
            <v>514101200345</v>
          </cell>
          <cell r="C762" t="str">
            <v>PJU PRODAMAS RT25 RW09</v>
          </cell>
          <cell r="D762" t="str">
            <v>BLABAK</v>
          </cell>
          <cell r="E762"/>
          <cell r="F762"/>
          <cell r="G762" t="str">
            <v>P3</v>
          </cell>
          <cell r="H762">
            <v>900</v>
          </cell>
          <cell r="I762" t="str">
            <v>202505</v>
          </cell>
          <cell r="J762" t="str">
            <v>056498</v>
          </cell>
          <cell r="K762">
            <v>110</v>
          </cell>
          <cell r="L762">
            <v>186948</v>
          </cell>
          <cell r="M762">
            <v>0</v>
          </cell>
          <cell r="N762">
            <v>186948</v>
          </cell>
          <cell r="O762">
            <v>0</v>
          </cell>
          <cell r="P762">
            <v>0</v>
          </cell>
          <cell r="Q762">
            <v>0</v>
          </cell>
          <cell r="R762">
            <v>186948</v>
          </cell>
          <cell r="S762">
            <v>0</v>
          </cell>
          <cell r="T762">
            <v>186948</v>
          </cell>
          <cell r="U762">
            <v>0</v>
          </cell>
          <cell r="V762">
            <v>186948</v>
          </cell>
          <cell r="W762">
            <v>186948</v>
          </cell>
          <cell r="X762">
            <v>0</v>
          </cell>
        </row>
        <row r="763">
          <cell r="B763">
            <v>514101200352</v>
          </cell>
          <cell r="C763" t="str">
            <v>PJU PRODAMAS RT06 RW02</v>
          </cell>
          <cell r="D763" t="str">
            <v>BLABAK</v>
          </cell>
          <cell r="E763"/>
          <cell r="F763"/>
          <cell r="G763" t="str">
            <v>P3</v>
          </cell>
          <cell r="H763">
            <v>900</v>
          </cell>
          <cell r="I763" t="str">
            <v>202505</v>
          </cell>
          <cell r="J763" t="str">
            <v>005969</v>
          </cell>
          <cell r="K763">
            <v>198</v>
          </cell>
          <cell r="L763">
            <v>336507</v>
          </cell>
          <cell r="M763">
            <v>0</v>
          </cell>
          <cell r="N763">
            <v>336507</v>
          </cell>
          <cell r="O763">
            <v>0</v>
          </cell>
          <cell r="P763">
            <v>0</v>
          </cell>
          <cell r="Q763">
            <v>0</v>
          </cell>
          <cell r="R763">
            <v>336507</v>
          </cell>
          <cell r="S763">
            <v>0</v>
          </cell>
          <cell r="T763">
            <v>336507</v>
          </cell>
          <cell r="U763">
            <v>0</v>
          </cell>
          <cell r="V763">
            <v>336507</v>
          </cell>
          <cell r="W763">
            <v>336507</v>
          </cell>
          <cell r="X763">
            <v>0</v>
          </cell>
        </row>
        <row r="764">
          <cell r="B764">
            <v>514101200360</v>
          </cell>
          <cell r="C764" t="str">
            <v>PJU PRODAMAS RT12 RW04</v>
          </cell>
          <cell r="D764" t="str">
            <v>BLABAK</v>
          </cell>
          <cell r="E764"/>
          <cell r="F764"/>
          <cell r="G764" t="str">
            <v>P3</v>
          </cell>
          <cell r="H764">
            <v>900</v>
          </cell>
          <cell r="I764" t="str">
            <v>202505</v>
          </cell>
          <cell r="J764" t="str">
            <v>019105</v>
          </cell>
          <cell r="K764">
            <v>129</v>
          </cell>
          <cell r="L764">
            <v>219239</v>
          </cell>
          <cell r="M764">
            <v>0</v>
          </cell>
          <cell r="N764">
            <v>219239</v>
          </cell>
          <cell r="O764">
            <v>0</v>
          </cell>
          <cell r="P764">
            <v>0</v>
          </cell>
          <cell r="Q764">
            <v>0</v>
          </cell>
          <cell r="R764">
            <v>219239</v>
          </cell>
          <cell r="S764">
            <v>0</v>
          </cell>
          <cell r="T764">
            <v>219239</v>
          </cell>
          <cell r="U764">
            <v>0</v>
          </cell>
          <cell r="V764">
            <v>219239</v>
          </cell>
          <cell r="W764">
            <v>219239</v>
          </cell>
          <cell r="X764">
            <v>0</v>
          </cell>
        </row>
        <row r="765">
          <cell r="B765">
            <v>514101200378</v>
          </cell>
          <cell r="C765" t="str">
            <v>PJU PRODAMAS RT14 RW05</v>
          </cell>
          <cell r="D765" t="str">
            <v>BLABAK</v>
          </cell>
          <cell r="E765"/>
          <cell r="F765"/>
          <cell r="G765" t="str">
            <v>P3</v>
          </cell>
          <cell r="H765">
            <v>900</v>
          </cell>
          <cell r="I765" t="str">
            <v>202505</v>
          </cell>
          <cell r="J765" t="str">
            <v>024034</v>
          </cell>
          <cell r="K765">
            <v>190</v>
          </cell>
          <cell r="L765">
            <v>322911</v>
          </cell>
          <cell r="M765">
            <v>0</v>
          </cell>
          <cell r="N765">
            <v>322911</v>
          </cell>
          <cell r="O765">
            <v>0</v>
          </cell>
          <cell r="P765">
            <v>0</v>
          </cell>
          <cell r="Q765">
            <v>0</v>
          </cell>
          <cell r="R765">
            <v>322911</v>
          </cell>
          <cell r="S765">
            <v>0</v>
          </cell>
          <cell r="T765">
            <v>322911</v>
          </cell>
          <cell r="U765">
            <v>0</v>
          </cell>
          <cell r="V765">
            <v>322911</v>
          </cell>
          <cell r="W765">
            <v>322911</v>
          </cell>
          <cell r="X765">
            <v>0</v>
          </cell>
        </row>
        <row r="766">
          <cell r="B766">
            <v>514101201010</v>
          </cell>
          <cell r="C766" t="str">
            <v>PJU PRODAMAS RT03 RW04</v>
          </cell>
          <cell r="D766" t="str">
            <v>KAMPUNG DALEM</v>
          </cell>
          <cell r="E766"/>
          <cell r="F766"/>
          <cell r="G766" t="str">
            <v>P3</v>
          </cell>
          <cell r="H766">
            <v>900</v>
          </cell>
          <cell r="I766" t="str">
            <v>202505</v>
          </cell>
          <cell r="J766" t="str">
            <v>001288</v>
          </cell>
          <cell r="K766">
            <v>98</v>
          </cell>
          <cell r="L766">
            <v>166554</v>
          </cell>
          <cell r="M766">
            <v>0</v>
          </cell>
          <cell r="N766">
            <v>166554</v>
          </cell>
          <cell r="O766">
            <v>0</v>
          </cell>
          <cell r="P766">
            <v>0</v>
          </cell>
          <cell r="Q766">
            <v>0</v>
          </cell>
          <cell r="R766">
            <v>166554</v>
          </cell>
          <cell r="S766">
            <v>0</v>
          </cell>
          <cell r="T766">
            <v>166554</v>
          </cell>
          <cell r="U766">
            <v>0</v>
          </cell>
          <cell r="V766">
            <v>166554</v>
          </cell>
          <cell r="W766">
            <v>166554</v>
          </cell>
          <cell r="X766">
            <v>0</v>
          </cell>
        </row>
        <row r="767">
          <cell r="B767">
            <v>514101201306</v>
          </cell>
          <cell r="C767" t="str">
            <v>PJU PRODAMAS RT24 RW5</v>
          </cell>
          <cell r="D767" t="str">
            <v>BENCE</v>
          </cell>
          <cell r="E767"/>
          <cell r="F767"/>
          <cell r="G767" t="str">
            <v>P3</v>
          </cell>
          <cell r="H767">
            <v>900</v>
          </cell>
          <cell r="I767" t="str">
            <v>202505</v>
          </cell>
          <cell r="J767" t="str">
            <v>021653</v>
          </cell>
          <cell r="K767">
            <v>133</v>
          </cell>
          <cell r="L767">
            <v>226037</v>
          </cell>
          <cell r="M767">
            <v>0</v>
          </cell>
          <cell r="N767">
            <v>226037</v>
          </cell>
          <cell r="O767">
            <v>0</v>
          </cell>
          <cell r="P767">
            <v>0</v>
          </cell>
          <cell r="Q767">
            <v>0</v>
          </cell>
          <cell r="R767">
            <v>226037</v>
          </cell>
          <cell r="S767">
            <v>0</v>
          </cell>
          <cell r="T767">
            <v>226037</v>
          </cell>
          <cell r="U767">
            <v>0</v>
          </cell>
          <cell r="V767">
            <v>226037</v>
          </cell>
          <cell r="W767">
            <v>226037</v>
          </cell>
          <cell r="X767">
            <v>0</v>
          </cell>
        </row>
        <row r="768">
          <cell r="B768">
            <v>514101201314</v>
          </cell>
          <cell r="C768" t="str">
            <v>PJU PRODAMAS RT31 TW06</v>
          </cell>
          <cell r="D768" t="str">
            <v>PAKUNDEN</v>
          </cell>
          <cell r="E768"/>
          <cell r="F768"/>
          <cell r="G768" t="str">
            <v>P3</v>
          </cell>
          <cell r="H768">
            <v>900</v>
          </cell>
          <cell r="I768" t="str">
            <v>202505</v>
          </cell>
          <cell r="J768" t="str">
            <v>012162</v>
          </cell>
          <cell r="K768">
            <v>169</v>
          </cell>
          <cell r="L768">
            <v>287221</v>
          </cell>
          <cell r="M768">
            <v>0</v>
          </cell>
          <cell r="N768">
            <v>287221</v>
          </cell>
          <cell r="O768">
            <v>0</v>
          </cell>
          <cell r="P768">
            <v>0</v>
          </cell>
          <cell r="Q768">
            <v>0</v>
          </cell>
          <cell r="R768">
            <v>287221</v>
          </cell>
          <cell r="S768">
            <v>0</v>
          </cell>
          <cell r="T768">
            <v>287221</v>
          </cell>
          <cell r="U768">
            <v>0</v>
          </cell>
          <cell r="V768">
            <v>287221</v>
          </cell>
          <cell r="W768">
            <v>287221</v>
          </cell>
          <cell r="X768">
            <v>0</v>
          </cell>
        </row>
        <row r="769">
          <cell r="B769">
            <v>514101201322</v>
          </cell>
          <cell r="C769" t="str">
            <v>PJU PRODAMAS RT34 RW06</v>
          </cell>
          <cell r="D769" t="str">
            <v>BENCE</v>
          </cell>
          <cell r="E769"/>
          <cell r="F769"/>
          <cell r="G769" t="str">
            <v>P3</v>
          </cell>
          <cell r="H769">
            <v>900</v>
          </cell>
          <cell r="I769" t="str">
            <v>202505</v>
          </cell>
          <cell r="J769" t="str">
            <v>012430</v>
          </cell>
          <cell r="K769">
            <v>91</v>
          </cell>
          <cell r="L769">
            <v>154657</v>
          </cell>
          <cell r="M769">
            <v>0</v>
          </cell>
          <cell r="N769">
            <v>154657</v>
          </cell>
          <cell r="O769">
            <v>0</v>
          </cell>
          <cell r="P769">
            <v>0</v>
          </cell>
          <cell r="Q769">
            <v>0</v>
          </cell>
          <cell r="R769">
            <v>154657</v>
          </cell>
          <cell r="S769">
            <v>0</v>
          </cell>
          <cell r="T769">
            <v>154657</v>
          </cell>
          <cell r="U769">
            <v>0</v>
          </cell>
          <cell r="V769">
            <v>154657</v>
          </cell>
          <cell r="W769">
            <v>154657</v>
          </cell>
          <cell r="X769">
            <v>0</v>
          </cell>
        </row>
        <row r="770">
          <cell r="B770">
            <v>514101201330</v>
          </cell>
          <cell r="C770" t="str">
            <v>PJU PRODAMAS RT31 RW06</v>
          </cell>
          <cell r="D770" t="str">
            <v>PAKUNDEN</v>
          </cell>
          <cell r="E770"/>
          <cell r="F770"/>
          <cell r="G770" t="str">
            <v>P3</v>
          </cell>
          <cell r="H770">
            <v>900</v>
          </cell>
          <cell r="I770" t="str">
            <v>202505</v>
          </cell>
          <cell r="J770" t="str">
            <v>008624</v>
          </cell>
          <cell r="K770">
            <v>225</v>
          </cell>
          <cell r="L770">
            <v>382394</v>
          </cell>
          <cell r="M770">
            <v>0</v>
          </cell>
          <cell r="N770">
            <v>382394</v>
          </cell>
          <cell r="O770">
            <v>0</v>
          </cell>
          <cell r="P770">
            <v>0</v>
          </cell>
          <cell r="Q770">
            <v>0</v>
          </cell>
          <cell r="R770">
            <v>382394</v>
          </cell>
          <cell r="S770">
            <v>0</v>
          </cell>
          <cell r="T770">
            <v>382394</v>
          </cell>
          <cell r="U770">
            <v>0</v>
          </cell>
          <cell r="V770">
            <v>382394</v>
          </cell>
          <cell r="W770">
            <v>382394</v>
          </cell>
          <cell r="X770">
            <v>0</v>
          </cell>
        </row>
        <row r="771">
          <cell r="B771">
            <v>514101203558</v>
          </cell>
          <cell r="C771" t="str">
            <v>PJU DESA KAUMAN</v>
          </cell>
          <cell r="D771" t="str">
            <v>KAUMAN</v>
          </cell>
          <cell r="E771"/>
          <cell r="F771"/>
          <cell r="G771" t="str">
            <v>P3</v>
          </cell>
          <cell r="H771">
            <v>900</v>
          </cell>
          <cell r="I771" t="str">
            <v>202505</v>
          </cell>
          <cell r="J771" t="str">
            <v>060549</v>
          </cell>
          <cell r="K771">
            <v>126</v>
          </cell>
          <cell r="L771">
            <v>214141</v>
          </cell>
          <cell r="M771">
            <v>0</v>
          </cell>
          <cell r="N771">
            <v>214141</v>
          </cell>
          <cell r="O771">
            <v>0</v>
          </cell>
          <cell r="P771">
            <v>0</v>
          </cell>
          <cell r="Q771">
            <v>0</v>
          </cell>
          <cell r="R771">
            <v>214141</v>
          </cell>
          <cell r="S771">
            <v>0</v>
          </cell>
          <cell r="T771">
            <v>214141</v>
          </cell>
          <cell r="U771">
            <v>0</v>
          </cell>
          <cell r="V771">
            <v>214141</v>
          </cell>
          <cell r="W771">
            <v>214141</v>
          </cell>
          <cell r="X771">
            <v>0</v>
          </cell>
        </row>
        <row r="772">
          <cell r="B772">
            <v>514101204208</v>
          </cell>
          <cell r="C772" t="str">
            <v>PJU PRODAMAS RT03 RW06</v>
          </cell>
          <cell r="D772" t="str">
            <v>TINALAN GG2 BARAT</v>
          </cell>
          <cell r="E772"/>
          <cell r="F772"/>
          <cell r="G772" t="str">
            <v>P3</v>
          </cell>
          <cell r="H772">
            <v>900</v>
          </cell>
          <cell r="I772" t="str">
            <v>202505</v>
          </cell>
          <cell r="J772" t="str">
            <v>048589</v>
          </cell>
          <cell r="K772">
            <v>36</v>
          </cell>
          <cell r="L772">
            <v>61183</v>
          </cell>
          <cell r="M772">
            <v>0</v>
          </cell>
          <cell r="N772">
            <v>61183</v>
          </cell>
          <cell r="O772">
            <v>0</v>
          </cell>
          <cell r="P772">
            <v>0</v>
          </cell>
          <cell r="Q772">
            <v>0</v>
          </cell>
          <cell r="R772">
            <v>61183</v>
          </cell>
          <cell r="S772">
            <v>0</v>
          </cell>
          <cell r="T772">
            <v>61183</v>
          </cell>
          <cell r="U772">
            <v>0</v>
          </cell>
          <cell r="V772">
            <v>61183</v>
          </cell>
          <cell r="W772">
            <v>61183</v>
          </cell>
          <cell r="X772">
            <v>0</v>
          </cell>
        </row>
        <row r="773">
          <cell r="B773">
            <v>514101204273</v>
          </cell>
          <cell r="C773" t="str">
            <v>PJU PRODAMAS RT03 RW03</v>
          </cell>
          <cell r="D773" t="str">
            <v>BAWANG</v>
          </cell>
          <cell r="E773"/>
          <cell r="F773"/>
          <cell r="G773" t="str">
            <v>P3</v>
          </cell>
          <cell r="H773">
            <v>900</v>
          </cell>
          <cell r="I773" t="str">
            <v>202505</v>
          </cell>
          <cell r="J773" t="str">
            <v>048352</v>
          </cell>
          <cell r="K773">
            <v>228</v>
          </cell>
          <cell r="L773">
            <v>387493</v>
          </cell>
          <cell r="M773">
            <v>0</v>
          </cell>
          <cell r="N773">
            <v>387493</v>
          </cell>
          <cell r="O773">
            <v>0</v>
          </cell>
          <cell r="P773">
            <v>0</v>
          </cell>
          <cell r="Q773">
            <v>0</v>
          </cell>
          <cell r="R773">
            <v>387493</v>
          </cell>
          <cell r="S773">
            <v>0</v>
          </cell>
          <cell r="T773">
            <v>387493</v>
          </cell>
          <cell r="U773">
            <v>0</v>
          </cell>
          <cell r="V773">
            <v>387493</v>
          </cell>
          <cell r="W773">
            <v>387493</v>
          </cell>
          <cell r="X773">
            <v>0</v>
          </cell>
        </row>
        <row r="774">
          <cell r="B774">
            <v>514101204423</v>
          </cell>
          <cell r="C774" t="str">
            <v>PJU PRODAMAS RT06 RW01</v>
          </cell>
          <cell r="D774" t="str">
            <v>NGRONGGO</v>
          </cell>
          <cell r="E774"/>
          <cell r="F774"/>
          <cell r="G774" t="str">
            <v>P3</v>
          </cell>
          <cell r="H774">
            <v>900</v>
          </cell>
          <cell r="I774" t="str">
            <v>202505</v>
          </cell>
          <cell r="J774" t="str">
            <v>048283</v>
          </cell>
          <cell r="K774">
            <v>36</v>
          </cell>
          <cell r="L774">
            <v>61183</v>
          </cell>
          <cell r="M774">
            <v>0</v>
          </cell>
          <cell r="N774">
            <v>61183</v>
          </cell>
          <cell r="O774">
            <v>0</v>
          </cell>
          <cell r="P774">
            <v>0</v>
          </cell>
          <cell r="Q774">
            <v>0</v>
          </cell>
          <cell r="R774">
            <v>61183</v>
          </cell>
          <cell r="S774">
            <v>0</v>
          </cell>
          <cell r="T774">
            <v>61183</v>
          </cell>
          <cell r="U774">
            <v>0</v>
          </cell>
          <cell r="V774">
            <v>61183</v>
          </cell>
          <cell r="W774">
            <v>61183</v>
          </cell>
          <cell r="X774">
            <v>0</v>
          </cell>
        </row>
        <row r="775">
          <cell r="B775">
            <v>514101204431</v>
          </cell>
          <cell r="C775" t="str">
            <v>PJU PRODAMAS RT05 RW01</v>
          </cell>
          <cell r="D775" t="str">
            <v>NGRONGGO</v>
          </cell>
          <cell r="E775"/>
          <cell r="F775"/>
          <cell r="G775" t="str">
            <v>P3</v>
          </cell>
          <cell r="H775">
            <v>900</v>
          </cell>
          <cell r="I775" t="str">
            <v>202505</v>
          </cell>
          <cell r="J775" t="str">
            <v>048550</v>
          </cell>
          <cell r="K775">
            <v>402</v>
          </cell>
          <cell r="L775">
            <v>683211</v>
          </cell>
          <cell r="M775">
            <v>0</v>
          </cell>
          <cell r="N775">
            <v>683211</v>
          </cell>
          <cell r="O775">
            <v>0</v>
          </cell>
          <cell r="P775">
            <v>0</v>
          </cell>
          <cell r="Q775">
            <v>0</v>
          </cell>
          <cell r="R775">
            <v>683211</v>
          </cell>
          <cell r="S775">
            <v>0</v>
          </cell>
          <cell r="T775">
            <v>683211</v>
          </cell>
          <cell r="U775">
            <v>0</v>
          </cell>
          <cell r="V775">
            <v>683211</v>
          </cell>
          <cell r="W775">
            <v>683211</v>
          </cell>
          <cell r="X775">
            <v>0</v>
          </cell>
        </row>
        <row r="776">
          <cell r="B776">
            <v>514101204449</v>
          </cell>
          <cell r="C776" t="str">
            <v>PJU PRODAMAS RT01 RW05</v>
          </cell>
          <cell r="D776" t="str">
            <v>NGRONGGO</v>
          </cell>
          <cell r="E776"/>
          <cell r="F776"/>
          <cell r="G776" t="str">
            <v>P3</v>
          </cell>
          <cell r="H776">
            <v>900</v>
          </cell>
          <cell r="I776" t="str">
            <v>202505</v>
          </cell>
          <cell r="J776" t="str">
            <v>048789</v>
          </cell>
          <cell r="K776">
            <v>60</v>
          </cell>
          <cell r="L776">
            <v>101972</v>
          </cell>
          <cell r="M776">
            <v>0</v>
          </cell>
          <cell r="N776">
            <v>101972</v>
          </cell>
          <cell r="O776">
            <v>0</v>
          </cell>
          <cell r="P776">
            <v>0</v>
          </cell>
          <cell r="Q776">
            <v>0</v>
          </cell>
          <cell r="R776">
            <v>101972</v>
          </cell>
          <cell r="S776">
            <v>0</v>
          </cell>
          <cell r="T776">
            <v>101972</v>
          </cell>
          <cell r="U776">
            <v>0</v>
          </cell>
          <cell r="V776">
            <v>101972</v>
          </cell>
          <cell r="W776">
            <v>101972</v>
          </cell>
          <cell r="X776">
            <v>0</v>
          </cell>
        </row>
        <row r="777">
          <cell r="B777">
            <v>514101204456</v>
          </cell>
          <cell r="C777" t="str">
            <v>PJU PRODAMAS RT09 RW7</v>
          </cell>
          <cell r="D777" t="str">
            <v>NGRONGGO</v>
          </cell>
          <cell r="E777"/>
          <cell r="F777"/>
          <cell r="G777" t="str">
            <v>P3</v>
          </cell>
          <cell r="H777">
            <v>900</v>
          </cell>
          <cell r="I777" t="str">
            <v>202505</v>
          </cell>
          <cell r="J777" t="str">
            <v>048725</v>
          </cell>
          <cell r="K777">
            <v>36</v>
          </cell>
          <cell r="L777">
            <v>61183</v>
          </cell>
          <cell r="M777">
            <v>0</v>
          </cell>
          <cell r="N777">
            <v>61183</v>
          </cell>
          <cell r="O777">
            <v>0</v>
          </cell>
          <cell r="P777">
            <v>0</v>
          </cell>
          <cell r="Q777">
            <v>0</v>
          </cell>
          <cell r="R777">
            <v>61183</v>
          </cell>
          <cell r="S777">
            <v>0</v>
          </cell>
          <cell r="T777">
            <v>61183</v>
          </cell>
          <cell r="U777">
            <v>0</v>
          </cell>
          <cell r="V777">
            <v>61183</v>
          </cell>
          <cell r="W777">
            <v>61183</v>
          </cell>
          <cell r="X777">
            <v>0</v>
          </cell>
        </row>
        <row r="778">
          <cell r="B778">
            <v>514101204577</v>
          </cell>
          <cell r="C778" t="str">
            <v>PJU PRODAMAS RT 2 RW 1</v>
          </cell>
          <cell r="D778" t="str">
            <v>KALIOMBO</v>
          </cell>
          <cell r="E778"/>
          <cell r="F778"/>
          <cell r="G778" t="str">
            <v>P3</v>
          </cell>
          <cell r="H778">
            <v>900</v>
          </cell>
          <cell r="I778" t="str">
            <v>202505</v>
          </cell>
          <cell r="J778" t="str">
            <v>048698</v>
          </cell>
          <cell r="K778">
            <v>36</v>
          </cell>
          <cell r="L778">
            <v>61183</v>
          </cell>
          <cell r="M778">
            <v>0</v>
          </cell>
          <cell r="N778">
            <v>61183</v>
          </cell>
          <cell r="O778">
            <v>0</v>
          </cell>
          <cell r="P778">
            <v>0</v>
          </cell>
          <cell r="Q778">
            <v>0</v>
          </cell>
          <cell r="R778">
            <v>61183</v>
          </cell>
          <cell r="S778">
            <v>0</v>
          </cell>
          <cell r="T778">
            <v>61183</v>
          </cell>
          <cell r="U778">
            <v>0</v>
          </cell>
          <cell r="V778">
            <v>61183</v>
          </cell>
          <cell r="W778">
            <v>61183</v>
          </cell>
          <cell r="X778">
            <v>0</v>
          </cell>
        </row>
        <row r="779">
          <cell r="B779">
            <v>514101204585</v>
          </cell>
          <cell r="C779" t="str">
            <v>PJU PRODAMAS RT 5 RW 1</v>
          </cell>
          <cell r="D779" t="str">
            <v>KALIOMBO</v>
          </cell>
          <cell r="E779"/>
          <cell r="F779"/>
          <cell r="G779" t="str">
            <v>P3</v>
          </cell>
          <cell r="H779">
            <v>900</v>
          </cell>
          <cell r="I779" t="str">
            <v>202505</v>
          </cell>
          <cell r="J779" t="str">
            <v>048597</v>
          </cell>
          <cell r="K779">
            <v>77</v>
          </cell>
          <cell r="L779">
            <v>130864</v>
          </cell>
          <cell r="M779">
            <v>0</v>
          </cell>
          <cell r="N779">
            <v>130864</v>
          </cell>
          <cell r="O779">
            <v>0</v>
          </cell>
          <cell r="P779">
            <v>0</v>
          </cell>
          <cell r="Q779">
            <v>0</v>
          </cell>
          <cell r="R779">
            <v>130864</v>
          </cell>
          <cell r="S779">
            <v>0</v>
          </cell>
          <cell r="T779">
            <v>130864</v>
          </cell>
          <cell r="U779">
            <v>0</v>
          </cell>
          <cell r="V779">
            <v>130864</v>
          </cell>
          <cell r="W779">
            <v>130864</v>
          </cell>
          <cell r="X779">
            <v>0</v>
          </cell>
        </row>
        <row r="780">
          <cell r="B780">
            <v>514101204593</v>
          </cell>
          <cell r="C780" t="str">
            <v>PJU PRODAMAS RT 5 RW 4</v>
          </cell>
          <cell r="D780" t="str">
            <v>KALIOMBO</v>
          </cell>
          <cell r="E780"/>
          <cell r="F780"/>
          <cell r="G780" t="str">
            <v>P3</v>
          </cell>
          <cell r="H780">
            <v>900</v>
          </cell>
          <cell r="I780" t="str">
            <v>202505</v>
          </cell>
          <cell r="J780" t="str">
            <v>048298</v>
          </cell>
          <cell r="K780">
            <v>187</v>
          </cell>
          <cell r="L780">
            <v>317812</v>
          </cell>
          <cell r="M780">
            <v>0</v>
          </cell>
          <cell r="N780">
            <v>317812</v>
          </cell>
          <cell r="O780">
            <v>0</v>
          </cell>
          <cell r="P780">
            <v>0</v>
          </cell>
          <cell r="Q780">
            <v>0</v>
          </cell>
          <cell r="R780">
            <v>317812</v>
          </cell>
          <cell r="S780">
            <v>0</v>
          </cell>
          <cell r="T780">
            <v>317812</v>
          </cell>
          <cell r="U780">
            <v>0</v>
          </cell>
          <cell r="V780">
            <v>317812</v>
          </cell>
          <cell r="W780">
            <v>317812</v>
          </cell>
          <cell r="X780">
            <v>0</v>
          </cell>
        </row>
        <row r="781">
          <cell r="B781">
            <v>514101204606</v>
          </cell>
          <cell r="C781" t="str">
            <v>PJU PRODAMAS RT 1 RW 4</v>
          </cell>
          <cell r="D781" t="str">
            <v>KALIOMBO</v>
          </cell>
          <cell r="E781"/>
          <cell r="F781"/>
          <cell r="G781" t="str">
            <v>P3</v>
          </cell>
          <cell r="H781">
            <v>900</v>
          </cell>
          <cell r="I781" t="str">
            <v>202505</v>
          </cell>
          <cell r="J781" t="str">
            <v>048430</v>
          </cell>
          <cell r="K781">
            <v>147</v>
          </cell>
          <cell r="L781">
            <v>249831</v>
          </cell>
          <cell r="M781">
            <v>0</v>
          </cell>
          <cell r="N781">
            <v>249831</v>
          </cell>
          <cell r="O781">
            <v>0</v>
          </cell>
          <cell r="P781">
            <v>0</v>
          </cell>
          <cell r="Q781">
            <v>0</v>
          </cell>
          <cell r="R781">
            <v>249831</v>
          </cell>
          <cell r="S781">
            <v>0</v>
          </cell>
          <cell r="T781">
            <v>249831</v>
          </cell>
          <cell r="U781">
            <v>0</v>
          </cell>
          <cell r="V781">
            <v>249831</v>
          </cell>
          <cell r="W781">
            <v>249831</v>
          </cell>
          <cell r="X781">
            <v>0</v>
          </cell>
        </row>
        <row r="782">
          <cell r="B782">
            <v>514101204614</v>
          </cell>
          <cell r="C782" t="str">
            <v>PJU PRODAMAS RT 1 RW 1</v>
          </cell>
          <cell r="D782" t="str">
            <v>KALIOMBO</v>
          </cell>
          <cell r="E782"/>
          <cell r="F782"/>
          <cell r="G782" t="str">
            <v>P3</v>
          </cell>
          <cell r="H782">
            <v>900</v>
          </cell>
          <cell r="I782" t="str">
            <v>202505</v>
          </cell>
          <cell r="J782" t="str">
            <v>048450</v>
          </cell>
          <cell r="K782">
            <v>81</v>
          </cell>
          <cell r="L782">
            <v>137662</v>
          </cell>
          <cell r="M782">
            <v>0</v>
          </cell>
          <cell r="N782">
            <v>137662</v>
          </cell>
          <cell r="O782">
            <v>0</v>
          </cell>
          <cell r="P782">
            <v>0</v>
          </cell>
          <cell r="Q782">
            <v>0</v>
          </cell>
          <cell r="R782">
            <v>137662</v>
          </cell>
          <cell r="S782">
            <v>0</v>
          </cell>
          <cell r="T782">
            <v>137662</v>
          </cell>
          <cell r="U782">
            <v>0</v>
          </cell>
          <cell r="V782">
            <v>137662</v>
          </cell>
          <cell r="W782">
            <v>137662</v>
          </cell>
          <cell r="X782">
            <v>0</v>
          </cell>
        </row>
        <row r="783">
          <cell r="B783">
            <v>514101205339</v>
          </cell>
          <cell r="C783" t="str">
            <v>PJU PRODAMAS RT12 RW05</v>
          </cell>
          <cell r="D783" t="str">
            <v>BETET</v>
          </cell>
          <cell r="E783"/>
          <cell r="F783"/>
          <cell r="G783" t="str">
            <v>P3</v>
          </cell>
          <cell r="H783">
            <v>900</v>
          </cell>
          <cell r="I783" t="str">
            <v>202505</v>
          </cell>
          <cell r="J783" t="str">
            <v>048598</v>
          </cell>
          <cell r="K783">
            <v>103</v>
          </cell>
          <cell r="L783">
            <v>175052</v>
          </cell>
          <cell r="M783">
            <v>0</v>
          </cell>
          <cell r="N783">
            <v>175052</v>
          </cell>
          <cell r="O783">
            <v>0</v>
          </cell>
          <cell r="P783">
            <v>0</v>
          </cell>
          <cell r="Q783">
            <v>0</v>
          </cell>
          <cell r="R783">
            <v>175052</v>
          </cell>
          <cell r="S783">
            <v>0</v>
          </cell>
          <cell r="T783">
            <v>175052</v>
          </cell>
          <cell r="U783">
            <v>0</v>
          </cell>
          <cell r="V783">
            <v>175052</v>
          </cell>
          <cell r="W783">
            <v>175052</v>
          </cell>
          <cell r="X783">
            <v>0</v>
          </cell>
        </row>
        <row r="784">
          <cell r="B784">
            <v>514101205347</v>
          </cell>
          <cell r="C784" t="str">
            <v>PJU PRODAMAS RT05 RW02</v>
          </cell>
          <cell r="D784" t="str">
            <v>BETET</v>
          </cell>
          <cell r="E784"/>
          <cell r="F784"/>
          <cell r="G784" t="str">
            <v>P3</v>
          </cell>
          <cell r="H784">
            <v>2200</v>
          </cell>
          <cell r="I784" t="str">
            <v>202505</v>
          </cell>
          <cell r="J784" t="str">
            <v>048321</v>
          </cell>
          <cell r="K784">
            <v>390</v>
          </cell>
          <cell r="L784">
            <v>662817</v>
          </cell>
          <cell r="M784">
            <v>0</v>
          </cell>
          <cell r="N784">
            <v>662817</v>
          </cell>
          <cell r="O784">
            <v>0</v>
          </cell>
          <cell r="P784">
            <v>0</v>
          </cell>
          <cell r="Q784">
            <v>0</v>
          </cell>
          <cell r="R784">
            <v>662817</v>
          </cell>
          <cell r="S784">
            <v>0</v>
          </cell>
          <cell r="T784">
            <v>662817</v>
          </cell>
          <cell r="U784">
            <v>0</v>
          </cell>
          <cell r="V784">
            <v>662817</v>
          </cell>
          <cell r="W784">
            <v>662817</v>
          </cell>
          <cell r="X784">
            <v>0</v>
          </cell>
        </row>
        <row r="785">
          <cell r="B785">
            <v>514101205354</v>
          </cell>
          <cell r="C785" t="str">
            <v>PJU PRODAMAS  RT10 RW04</v>
          </cell>
          <cell r="D785" t="str">
            <v>BETET</v>
          </cell>
          <cell r="E785"/>
          <cell r="F785"/>
          <cell r="G785" t="str">
            <v>P3</v>
          </cell>
          <cell r="H785">
            <v>900</v>
          </cell>
          <cell r="I785" t="str">
            <v>202505</v>
          </cell>
          <cell r="J785" t="str">
            <v>048373</v>
          </cell>
          <cell r="K785">
            <v>109</v>
          </cell>
          <cell r="L785">
            <v>185249</v>
          </cell>
          <cell r="M785">
            <v>0</v>
          </cell>
          <cell r="N785">
            <v>185249</v>
          </cell>
          <cell r="O785">
            <v>0</v>
          </cell>
          <cell r="P785">
            <v>0</v>
          </cell>
          <cell r="Q785">
            <v>0</v>
          </cell>
          <cell r="R785">
            <v>185249</v>
          </cell>
          <cell r="S785">
            <v>0</v>
          </cell>
          <cell r="T785">
            <v>185249</v>
          </cell>
          <cell r="U785">
            <v>0</v>
          </cell>
          <cell r="V785">
            <v>185249</v>
          </cell>
          <cell r="W785">
            <v>185249</v>
          </cell>
          <cell r="X785">
            <v>0</v>
          </cell>
        </row>
        <row r="786">
          <cell r="B786">
            <v>514101205362</v>
          </cell>
          <cell r="C786" t="str">
            <v>PJU PRODAMAS RT25 RW09</v>
          </cell>
          <cell r="D786" t="str">
            <v>BANARAN</v>
          </cell>
          <cell r="E786"/>
          <cell r="F786"/>
          <cell r="G786" t="str">
            <v>P3</v>
          </cell>
          <cell r="H786">
            <v>900</v>
          </cell>
          <cell r="I786" t="str">
            <v>202505</v>
          </cell>
          <cell r="J786" t="str">
            <v>048310</v>
          </cell>
          <cell r="K786">
            <v>190</v>
          </cell>
          <cell r="L786">
            <v>322911</v>
          </cell>
          <cell r="M786">
            <v>0</v>
          </cell>
          <cell r="N786">
            <v>322911</v>
          </cell>
          <cell r="O786">
            <v>0</v>
          </cell>
          <cell r="P786">
            <v>0</v>
          </cell>
          <cell r="Q786">
            <v>0</v>
          </cell>
          <cell r="R786">
            <v>322911</v>
          </cell>
          <cell r="S786">
            <v>0</v>
          </cell>
          <cell r="T786">
            <v>322911</v>
          </cell>
          <cell r="U786">
            <v>0</v>
          </cell>
          <cell r="V786">
            <v>322911</v>
          </cell>
          <cell r="W786">
            <v>322911</v>
          </cell>
          <cell r="X786">
            <v>0</v>
          </cell>
        </row>
        <row r="787">
          <cell r="B787">
            <v>514101205370</v>
          </cell>
          <cell r="C787" t="str">
            <v>PJU PRODAMAS RT14 RW06</v>
          </cell>
          <cell r="D787" t="str">
            <v>BETET</v>
          </cell>
          <cell r="E787"/>
          <cell r="F787"/>
          <cell r="G787" t="str">
            <v>P3</v>
          </cell>
          <cell r="H787">
            <v>900</v>
          </cell>
          <cell r="I787" t="str">
            <v>202505</v>
          </cell>
          <cell r="J787" t="str">
            <v>048328</v>
          </cell>
          <cell r="K787">
            <v>184</v>
          </cell>
          <cell r="L787">
            <v>312714</v>
          </cell>
          <cell r="M787">
            <v>0</v>
          </cell>
          <cell r="N787">
            <v>312714</v>
          </cell>
          <cell r="O787">
            <v>0</v>
          </cell>
          <cell r="P787">
            <v>0</v>
          </cell>
          <cell r="Q787">
            <v>0</v>
          </cell>
          <cell r="R787">
            <v>312714</v>
          </cell>
          <cell r="S787">
            <v>0</v>
          </cell>
          <cell r="T787">
            <v>312714</v>
          </cell>
          <cell r="U787">
            <v>0</v>
          </cell>
          <cell r="V787">
            <v>312714</v>
          </cell>
          <cell r="W787">
            <v>312714</v>
          </cell>
          <cell r="X787">
            <v>0</v>
          </cell>
        </row>
        <row r="788">
          <cell r="B788">
            <v>514101205388</v>
          </cell>
          <cell r="C788" t="str">
            <v>PJU PRODAMAS RT21 RW08</v>
          </cell>
          <cell r="D788" t="str">
            <v>BANARAN</v>
          </cell>
          <cell r="E788"/>
          <cell r="F788"/>
          <cell r="G788" t="str">
            <v>P3</v>
          </cell>
          <cell r="H788">
            <v>900</v>
          </cell>
          <cell r="I788" t="str">
            <v>202505</v>
          </cell>
          <cell r="J788" t="str">
            <v>048752</v>
          </cell>
          <cell r="K788">
            <v>136</v>
          </cell>
          <cell r="L788">
            <v>231136</v>
          </cell>
          <cell r="M788">
            <v>0</v>
          </cell>
          <cell r="N788">
            <v>231136</v>
          </cell>
          <cell r="O788">
            <v>0</v>
          </cell>
          <cell r="P788">
            <v>0</v>
          </cell>
          <cell r="Q788">
            <v>0</v>
          </cell>
          <cell r="R788">
            <v>231136</v>
          </cell>
          <cell r="S788">
            <v>0</v>
          </cell>
          <cell r="T788">
            <v>231136</v>
          </cell>
          <cell r="U788">
            <v>0</v>
          </cell>
          <cell r="V788">
            <v>231136</v>
          </cell>
          <cell r="W788">
            <v>231136</v>
          </cell>
          <cell r="X788">
            <v>0</v>
          </cell>
        </row>
        <row r="789">
          <cell r="B789">
            <v>514101205396</v>
          </cell>
          <cell r="C789" t="str">
            <v>PJU PRODAMAS RT05 RW02</v>
          </cell>
          <cell r="D789" t="str">
            <v>BANARAN</v>
          </cell>
          <cell r="E789"/>
          <cell r="F789"/>
          <cell r="G789" t="str">
            <v>P3</v>
          </cell>
          <cell r="H789">
            <v>900</v>
          </cell>
          <cell r="I789" t="str">
            <v>202505</v>
          </cell>
          <cell r="J789" t="str">
            <v>048508</v>
          </cell>
          <cell r="K789">
            <v>183</v>
          </cell>
          <cell r="L789">
            <v>311014</v>
          </cell>
          <cell r="M789">
            <v>0</v>
          </cell>
          <cell r="N789">
            <v>311014</v>
          </cell>
          <cell r="O789">
            <v>0</v>
          </cell>
          <cell r="P789">
            <v>0</v>
          </cell>
          <cell r="Q789">
            <v>0</v>
          </cell>
          <cell r="R789">
            <v>311014</v>
          </cell>
          <cell r="S789">
            <v>0</v>
          </cell>
          <cell r="T789">
            <v>311014</v>
          </cell>
          <cell r="U789">
            <v>0</v>
          </cell>
          <cell r="V789">
            <v>311014</v>
          </cell>
          <cell r="W789">
            <v>311014</v>
          </cell>
          <cell r="X789">
            <v>0</v>
          </cell>
        </row>
        <row r="790">
          <cell r="B790">
            <v>514101210103</v>
          </cell>
          <cell r="C790" t="str">
            <v>PJU PRODAMAS RT17 RW04</v>
          </cell>
          <cell r="D790" t="str">
            <v>JAMSAREN</v>
          </cell>
          <cell r="E790"/>
          <cell r="F790"/>
          <cell r="G790" t="str">
            <v>P3</v>
          </cell>
          <cell r="H790">
            <v>900</v>
          </cell>
          <cell r="I790" t="str">
            <v>202505</v>
          </cell>
          <cell r="J790" t="str">
            <v>066494</v>
          </cell>
          <cell r="K790">
            <v>36</v>
          </cell>
          <cell r="L790">
            <v>61183</v>
          </cell>
          <cell r="M790">
            <v>0</v>
          </cell>
          <cell r="N790">
            <v>61183</v>
          </cell>
          <cell r="O790">
            <v>0</v>
          </cell>
          <cell r="P790">
            <v>0</v>
          </cell>
          <cell r="Q790">
            <v>0</v>
          </cell>
          <cell r="R790">
            <v>61183</v>
          </cell>
          <cell r="S790">
            <v>0</v>
          </cell>
          <cell r="T790">
            <v>61183</v>
          </cell>
          <cell r="U790">
            <v>0</v>
          </cell>
          <cell r="V790">
            <v>61183</v>
          </cell>
          <cell r="W790">
            <v>61183</v>
          </cell>
          <cell r="X790">
            <v>0</v>
          </cell>
        </row>
        <row r="791">
          <cell r="B791">
            <v>514101210861</v>
          </cell>
          <cell r="C791" t="str">
            <v>PJU PRODAMAS RT05 RW04</v>
          </cell>
          <cell r="D791" t="str">
            <v>NGRONGGO</v>
          </cell>
          <cell r="E791"/>
          <cell r="F791"/>
          <cell r="G791" t="str">
            <v>P3</v>
          </cell>
          <cell r="H791">
            <v>900</v>
          </cell>
          <cell r="I791" t="str">
            <v>202505</v>
          </cell>
          <cell r="J791" t="str">
            <v>048297</v>
          </cell>
          <cell r="K791">
            <v>258</v>
          </cell>
          <cell r="L791">
            <v>438479</v>
          </cell>
          <cell r="M791">
            <v>0</v>
          </cell>
          <cell r="N791">
            <v>438479</v>
          </cell>
          <cell r="O791">
            <v>0</v>
          </cell>
          <cell r="P791">
            <v>0</v>
          </cell>
          <cell r="Q791">
            <v>0</v>
          </cell>
          <cell r="R791">
            <v>438479</v>
          </cell>
          <cell r="S791">
            <v>0</v>
          </cell>
          <cell r="T791">
            <v>438479</v>
          </cell>
          <cell r="U791">
            <v>0</v>
          </cell>
          <cell r="V791">
            <v>438479</v>
          </cell>
          <cell r="W791">
            <v>438479</v>
          </cell>
          <cell r="X791">
            <v>0</v>
          </cell>
        </row>
        <row r="792">
          <cell r="B792">
            <v>514101244191</v>
          </cell>
          <cell r="C792" t="str">
            <v>PJU POKMAS JL MAKAM</v>
          </cell>
          <cell r="D792" t="str">
            <v>BANARAN</v>
          </cell>
          <cell r="E792"/>
          <cell r="F792"/>
          <cell r="G792" t="str">
            <v>P3</v>
          </cell>
          <cell r="H792">
            <v>900</v>
          </cell>
          <cell r="I792" t="str">
            <v>202505</v>
          </cell>
          <cell r="J792" t="str">
            <v>048688</v>
          </cell>
          <cell r="K792">
            <v>36</v>
          </cell>
          <cell r="L792">
            <v>61183</v>
          </cell>
          <cell r="M792">
            <v>0</v>
          </cell>
          <cell r="N792">
            <v>61183</v>
          </cell>
          <cell r="O792">
            <v>0</v>
          </cell>
          <cell r="P792">
            <v>0</v>
          </cell>
          <cell r="Q792">
            <v>0</v>
          </cell>
          <cell r="R792">
            <v>61183</v>
          </cell>
          <cell r="S792">
            <v>0</v>
          </cell>
          <cell r="T792">
            <v>61183</v>
          </cell>
          <cell r="U792">
            <v>0</v>
          </cell>
          <cell r="V792">
            <v>61183</v>
          </cell>
          <cell r="W792">
            <v>61183</v>
          </cell>
          <cell r="X792">
            <v>0</v>
          </cell>
        </row>
        <row r="793">
          <cell r="B793">
            <v>514101259693</v>
          </cell>
          <cell r="C793" t="str">
            <v>PJU PRODAMAS RT 23 RW 5</v>
          </cell>
          <cell r="D793" t="str">
            <v>JAMSAREN</v>
          </cell>
          <cell r="E793"/>
          <cell r="F793"/>
          <cell r="G793" t="str">
            <v>P3</v>
          </cell>
          <cell r="H793">
            <v>900</v>
          </cell>
          <cell r="I793" t="str">
            <v>202505</v>
          </cell>
          <cell r="J793" t="str">
            <v>064917</v>
          </cell>
          <cell r="K793">
            <v>304</v>
          </cell>
          <cell r="L793">
            <v>516657</v>
          </cell>
          <cell r="M793">
            <v>0</v>
          </cell>
          <cell r="N793">
            <v>516657</v>
          </cell>
          <cell r="O793">
            <v>0</v>
          </cell>
          <cell r="P793">
            <v>0</v>
          </cell>
          <cell r="Q793">
            <v>0</v>
          </cell>
          <cell r="R793">
            <v>516657</v>
          </cell>
          <cell r="S793">
            <v>0</v>
          </cell>
          <cell r="T793">
            <v>516657</v>
          </cell>
          <cell r="U793">
            <v>0</v>
          </cell>
          <cell r="V793">
            <v>516657</v>
          </cell>
          <cell r="W793">
            <v>516657</v>
          </cell>
          <cell r="X793">
            <v>0</v>
          </cell>
        </row>
        <row r="794">
          <cell r="B794">
            <v>514101260858</v>
          </cell>
          <cell r="C794" t="str">
            <v>PJU MELATI 5 PRODAMAS RT4</v>
          </cell>
          <cell r="D794" t="str">
            <v>MELATI</v>
          </cell>
          <cell r="E794"/>
          <cell r="F794"/>
          <cell r="G794" t="str">
            <v>P3</v>
          </cell>
          <cell r="H794">
            <v>900</v>
          </cell>
          <cell r="I794" t="str">
            <v>202505</v>
          </cell>
          <cell r="J794" t="str">
            <v>052488</v>
          </cell>
          <cell r="K794">
            <v>84</v>
          </cell>
          <cell r="L794">
            <v>142761</v>
          </cell>
          <cell r="M794">
            <v>0</v>
          </cell>
          <cell r="N794">
            <v>142761</v>
          </cell>
          <cell r="O794">
            <v>0</v>
          </cell>
          <cell r="P794">
            <v>0</v>
          </cell>
          <cell r="Q794">
            <v>0</v>
          </cell>
          <cell r="R794">
            <v>142761</v>
          </cell>
          <cell r="S794">
            <v>0</v>
          </cell>
          <cell r="T794">
            <v>142761</v>
          </cell>
          <cell r="U794">
            <v>0</v>
          </cell>
          <cell r="V794">
            <v>142761</v>
          </cell>
          <cell r="W794">
            <v>142761</v>
          </cell>
          <cell r="X794">
            <v>0</v>
          </cell>
        </row>
        <row r="795">
          <cell r="B795">
            <v>514101262129</v>
          </cell>
          <cell r="C795" t="str">
            <v>PJU SAWAH BESAR</v>
          </cell>
          <cell r="D795" t="str">
            <v>SAWAH BESAR NGRONGGO</v>
          </cell>
          <cell r="E795"/>
          <cell r="F795"/>
          <cell r="G795" t="str">
            <v>P3</v>
          </cell>
          <cell r="H795">
            <v>2200</v>
          </cell>
          <cell r="I795" t="str">
            <v>202505</v>
          </cell>
          <cell r="J795" t="str">
            <v>051001</v>
          </cell>
          <cell r="K795">
            <v>540</v>
          </cell>
          <cell r="L795">
            <v>917746</v>
          </cell>
          <cell r="M795">
            <v>0</v>
          </cell>
          <cell r="N795">
            <v>917746</v>
          </cell>
          <cell r="O795">
            <v>0</v>
          </cell>
          <cell r="P795">
            <v>0</v>
          </cell>
          <cell r="Q795">
            <v>0</v>
          </cell>
          <cell r="R795">
            <v>917746</v>
          </cell>
          <cell r="S795">
            <v>0</v>
          </cell>
          <cell r="T795">
            <v>917746</v>
          </cell>
          <cell r="U795">
            <v>0</v>
          </cell>
          <cell r="V795">
            <v>917746</v>
          </cell>
          <cell r="W795">
            <v>917746</v>
          </cell>
          <cell r="X795">
            <v>0</v>
          </cell>
        </row>
        <row r="796">
          <cell r="B796">
            <v>514101263578</v>
          </cell>
          <cell r="C796" t="str">
            <v>PJU PRODAMAS RT 01 RW 01</v>
          </cell>
          <cell r="D796" t="str">
            <v>KAMPUNG DALEM</v>
          </cell>
          <cell r="E796"/>
          <cell r="F796"/>
          <cell r="G796" t="str">
            <v>P3</v>
          </cell>
          <cell r="H796">
            <v>900</v>
          </cell>
          <cell r="I796" t="str">
            <v>202505</v>
          </cell>
          <cell r="J796" t="str">
            <v>063934</v>
          </cell>
          <cell r="K796">
            <v>62</v>
          </cell>
          <cell r="L796">
            <v>105371</v>
          </cell>
          <cell r="M796">
            <v>0</v>
          </cell>
          <cell r="N796">
            <v>105371</v>
          </cell>
          <cell r="O796">
            <v>0</v>
          </cell>
          <cell r="P796">
            <v>0</v>
          </cell>
          <cell r="Q796">
            <v>0</v>
          </cell>
          <cell r="R796">
            <v>105371</v>
          </cell>
          <cell r="S796">
            <v>0</v>
          </cell>
          <cell r="T796">
            <v>105371</v>
          </cell>
          <cell r="U796">
            <v>0</v>
          </cell>
          <cell r="V796">
            <v>105371</v>
          </cell>
          <cell r="W796">
            <v>105371</v>
          </cell>
          <cell r="X796">
            <v>0</v>
          </cell>
        </row>
        <row r="797">
          <cell r="B797">
            <v>514101264788</v>
          </cell>
          <cell r="C797" t="str">
            <v>PJU PRODAMAS RT 5 RW 2</v>
          </cell>
          <cell r="D797" t="str">
            <v>KAMPUNGDALEM</v>
          </cell>
          <cell r="E797"/>
          <cell r="F797"/>
          <cell r="G797" t="str">
            <v>P3</v>
          </cell>
          <cell r="H797">
            <v>900</v>
          </cell>
          <cell r="I797" t="str">
            <v>202505</v>
          </cell>
          <cell r="J797" t="str">
            <v>058674</v>
          </cell>
          <cell r="K797">
            <v>84</v>
          </cell>
          <cell r="L797">
            <v>142761</v>
          </cell>
          <cell r="M797">
            <v>0</v>
          </cell>
          <cell r="N797">
            <v>142761</v>
          </cell>
          <cell r="O797">
            <v>0</v>
          </cell>
          <cell r="P797">
            <v>0</v>
          </cell>
          <cell r="Q797">
            <v>0</v>
          </cell>
          <cell r="R797">
            <v>142761</v>
          </cell>
          <cell r="S797">
            <v>0</v>
          </cell>
          <cell r="T797">
            <v>142761</v>
          </cell>
          <cell r="U797">
            <v>0</v>
          </cell>
          <cell r="V797">
            <v>142761</v>
          </cell>
          <cell r="W797">
            <v>142761</v>
          </cell>
          <cell r="X797">
            <v>0</v>
          </cell>
        </row>
        <row r="798">
          <cell r="B798">
            <v>514101265159</v>
          </cell>
          <cell r="C798" t="str">
            <v>PJU PRODAMAS RT 36 RW 8</v>
          </cell>
          <cell r="D798" t="str">
            <v>KLECO JAMSAREN</v>
          </cell>
          <cell r="E798"/>
          <cell r="F798"/>
          <cell r="G798" t="str">
            <v>P3</v>
          </cell>
          <cell r="H798">
            <v>900</v>
          </cell>
          <cell r="I798" t="str">
            <v>202505</v>
          </cell>
          <cell r="J798" t="str">
            <v>049156</v>
          </cell>
          <cell r="K798">
            <v>174</v>
          </cell>
          <cell r="L798">
            <v>295718</v>
          </cell>
          <cell r="M798">
            <v>0</v>
          </cell>
          <cell r="N798">
            <v>295718</v>
          </cell>
          <cell r="O798">
            <v>0</v>
          </cell>
          <cell r="P798">
            <v>0</v>
          </cell>
          <cell r="Q798">
            <v>0</v>
          </cell>
          <cell r="R798">
            <v>295718</v>
          </cell>
          <cell r="S798">
            <v>0</v>
          </cell>
          <cell r="T798">
            <v>295718</v>
          </cell>
          <cell r="U798">
            <v>0</v>
          </cell>
          <cell r="V798">
            <v>295718</v>
          </cell>
          <cell r="W798">
            <v>295718</v>
          </cell>
          <cell r="X798">
            <v>0</v>
          </cell>
        </row>
        <row r="799">
          <cell r="B799">
            <v>514101265325</v>
          </cell>
          <cell r="C799" t="str">
            <v>PJU PRODAMAS RT 2 RW 4</v>
          </cell>
          <cell r="D799" t="str">
            <v>NGRONGGO</v>
          </cell>
          <cell r="E799"/>
          <cell r="F799"/>
          <cell r="G799" t="str">
            <v>P3</v>
          </cell>
          <cell r="H799">
            <v>900</v>
          </cell>
          <cell r="I799" t="str">
            <v>202505</v>
          </cell>
          <cell r="J799" t="str">
            <v>048266</v>
          </cell>
          <cell r="K799">
            <v>320</v>
          </cell>
          <cell r="L799">
            <v>543850</v>
          </cell>
          <cell r="M799">
            <v>0</v>
          </cell>
          <cell r="N799">
            <v>543850</v>
          </cell>
          <cell r="O799">
            <v>0</v>
          </cell>
          <cell r="P799">
            <v>0</v>
          </cell>
          <cell r="Q799">
            <v>0</v>
          </cell>
          <cell r="R799">
            <v>543850</v>
          </cell>
          <cell r="S799">
            <v>0</v>
          </cell>
          <cell r="T799">
            <v>543850</v>
          </cell>
          <cell r="U799">
            <v>0</v>
          </cell>
          <cell r="V799">
            <v>543850</v>
          </cell>
          <cell r="W799">
            <v>543850</v>
          </cell>
          <cell r="X799">
            <v>0</v>
          </cell>
        </row>
        <row r="800">
          <cell r="B800">
            <v>514101265411</v>
          </cell>
          <cell r="C800" t="str">
            <v>PJU PRODAMAS RT 3 RW 4</v>
          </cell>
          <cell r="D800" t="str">
            <v>NGRONGGO</v>
          </cell>
          <cell r="E800"/>
          <cell r="F800"/>
          <cell r="G800" t="str">
            <v>P3</v>
          </cell>
          <cell r="H800">
            <v>900</v>
          </cell>
          <cell r="I800" t="str">
            <v>202505</v>
          </cell>
          <cell r="J800" t="str">
            <v>048317</v>
          </cell>
          <cell r="K800">
            <v>168</v>
          </cell>
          <cell r="L800">
            <v>285521</v>
          </cell>
          <cell r="M800">
            <v>0</v>
          </cell>
          <cell r="N800">
            <v>285521</v>
          </cell>
          <cell r="O800">
            <v>0</v>
          </cell>
          <cell r="P800">
            <v>0</v>
          </cell>
          <cell r="Q800">
            <v>0</v>
          </cell>
          <cell r="R800">
            <v>285521</v>
          </cell>
          <cell r="S800">
            <v>0</v>
          </cell>
          <cell r="T800">
            <v>285521</v>
          </cell>
          <cell r="U800">
            <v>0</v>
          </cell>
          <cell r="V800">
            <v>285521</v>
          </cell>
          <cell r="W800">
            <v>285521</v>
          </cell>
          <cell r="X800">
            <v>0</v>
          </cell>
        </row>
        <row r="801">
          <cell r="B801">
            <v>514101266612</v>
          </cell>
          <cell r="C801" t="str">
            <v>PJU PRODAMAS RT 23 RW 04</v>
          </cell>
          <cell r="D801" t="str">
            <v>PESANTREN</v>
          </cell>
          <cell r="E801"/>
          <cell r="F801"/>
          <cell r="G801" t="str">
            <v>P3</v>
          </cell>
          <cell r="H801">
            <v>900</v>
          </cell>
          <cell r="I801" t="str">
            <v>202505</v>
          </cell>
          <cell r="J801" t="str">
            <v>048415</v>
          </cell>
          <cell r="K801">
            <v>174</v>
          </cell>
          <cell r="L801">
            <v>295718</v>
          </cell>
          <cell r="M801">
            <v>0</v>
          </cell>
          <cell r="N801">
            <v>295718</v>
          </cell>
          <cell r="O801">
            <v>0</v>
          </cell>
          <cell r="P801">
            <v>0</v>
          </cell>
          <cell r="Q801">
            <v>0</v>
          </cell>
          <cell r="R801">
            <v>295718</v>
          </cell>
          <cell r="S801">
            <v>0</v>
          </cell>
          <cell r="T801">
            <v>295718</v>
          </cell>
          <cell r="U801">
            <v>0</v>
          </cell>
          <cell r="V801">
            <v>295718</v>
          </cell>
          <cell r="W801">
            <v>295718</v>
          </cell>
          <cell r="X801">
            <v>0</v>
          </cell>
        </row>
        <row r="802">
          <cell r="B802">
            <v>514101266620</v>
          </cell>
          <cell r="C802" t="str">
            <v>PJU PRODAMAS RT 25 RW 5</v>
          </cell>
          <cell r="D802" t="str">
            <v>PESANTREN</v>
          </cell>
          <cell r="E802"/>
          <cell r="F802"/>
          <cell r="G802" t="str">
            <v>P3</v>
          </cell>
          <cell r="H802">
            <v>900</v>
          </cell>
          <cell r="I802" t="str">
            <v>202505</v>
          </cell>
          <cell r="J802" t="str">
            <v>048605</v>
          </cell>
          <cell r="K802">
            <v>119</v>
          </cell>
          <cell r="L802">
            <v>202244</v>
          </cell>
          <cell r="M802">
            <v>0</v>
          </cell>
          <cell r="N802">
            <v>202244</v>
          </cell>
          <cell r="O802">
            <v>0</v>
          </cell>
          <cell r="P802">
            <v>0</v>
          </cell>
          <cell r="Q802">
            <v>0</v>
          </cell>
          <cell r="R802">
            <v>202244</v>
          </cell>
          <cell r="S802">
            <v>0</v>
          </cell>
          <cell r="T802">
            <v>202244</v>
          </cell>
          <cell r="U802">
            <v>0</v>
          </cell>
          <cell r="V802">
            <v>202244</v>
          </cell>
          <cell r="W802">
            <v>202244</v>
          </cell>
          <cell r="X802">
            <v>0</v>
          </cell>
        </row>
        <row r="803">
          <cell r="B803">
            <v>514101267728</v>
          </cell>
          <cell r="C803" t="str">
            <v>PJU PRODAMAS RT 20 RW 7</v>
          </cell>
          <cell r="D803" t="str">
            <v>TOSAREN</v>
          </cell>
          <cell r="E803"/>
          <cell r="F803"/>
          <cell r="G803" t="str">
            <v>P3</v>
          </cell>
          <cell r="H803">
            <v>900</v>
          </cell>
          <cell r="I803" t="str">
            <v>202505</v>
          </cell>
          <cell r="J803" t="str">
            <v>048308</v>
          </cell>
          <cell r="K803">
            <v>138</v>
          </cell>
          <cell r="L803">
            <v>234535</v>
          </cell>
          <cell r="M803">
            <v>0</v>
          </cell>
          <cell r="N803">
            <v>234535</v>
          </cell>
          <cell r="O803">
            <v>0</v>
          </cell>
          <cell r="P803">
            <v>0</v>
          </cell>
          <cell r="Q803">
            <v>0</v>
          </cell>
          <cell r="R803">
            <v>234535</v>
          </cell>
          <cell r="S803">
            <v>0</v>
          </cell>
          <cell r="T803">
            <v>234535</v>
          </cell>
          <cell r="U803">
            <v>0</v>
          </cell>
          <cell r="V803">
            <v>234535</v>
          </cell>
          <cell r="W803">
            <v>234535</v>
          </cell>
          <cell r="X803">
            <v>0</v>
          </cell>
        </row>
        <row r="804">
          <cell r="B804">
            <v>514101267736</v>
          </cell>
          <cell r="C804" t="str">
            <v>PJU PRODAMAS RT 6 RW 2</v>
          </cell>
          <cell r="D804" t="str">
            <v>TOSAREN</v>
          </cell>
          <cell r="E804"/>
          <cell r="F804"/>
          <cell r="G804" t="str">
            <v>P3</v>
          </cell>
          <cell r="H804">
            <v>900</v>
          </cell>
          <cell r="I804" t="str">
            <v>202505</v>
          </cell>
          <cell r="J804" t="str">
            <v>048757</v>
          </cell>
          <cell r="K804">
            <v>236</v>
          </cell>
          <cell r="L804">
            <v>401089</v>
          </cell>
          <cell r="M804">
            <v>0</v>
          </cell>
          <cell r="N804">
            <v>401089</v>
          </cell>
          <cell r="O804">
            <v>0</v>
          </cell>
          <cell r="P804">
            <v>0</v>
          </cell>
          <cell r="Q804">
            <v>0</v>
          </cell>
          <cell r="R804">
            <v>401089</v>
          </cell>
          <cell r="S804">
            <v>0</v>
          </cell>
          <cell r="T804">
            <v>401089</v>
          </cell>
          <cell r="U804">
            <v>0</v>
          </cell>
          <cell r="V804">
            <v>401089</v>
          </cell>
          <cell r="W804">
            <v>401089</v>
          </cell>
          <cell r="X804">
            <v>0</v>
          </cell>
        </row>
        <row r="805">
          <cell r="B805">
            <v>514101267950</v>
          </cell>
          <cell r="C805" t="str">
            <v>PJU PRODAMAS RT 2 RW 5</v>
          </cell>
          <cell r="D805" t="str">
            <v>URIP SUMOHARJO NGRONGGO</v>
          </cell>
          <cell r="E805"/>
          <cell r="F805"/>
          <cell r="G805" t="str">
            <v>P3</v>
          </cell>
          <cell r="H805">
            <v>900</v>
          </cell>
          <cell r="I805" t="str">
            <v>202505</v>
          </cell>
          <cell r="J805" t="str">
            <v>048649</v>
          </cell>
          <cell r="K805">
            <v>239</v>
          </cell>
          <cell r="L805">
            <v>406188</v>
          </cell>
          <cell r="M805">
            <v>0</v>
          </cell>
          <cell r="N805">
            <v>406188</v>
          </cell>
          <cell r="O805">
            <v>0</v>
          </cell>
          <cell r="P805">
            <v>0</v>
          </cell>
          <cell r="Q805">
            <v>0</v>
          </cell>
          <cell r="R805">
            <v>406188</v>
          </cell>
          <cell r="S805">
            <v>0</v>
          </cell>
          <cell r="T805">
            <v>406188</v>
          </cell>
          <cell r="U805">
            <v>0</v>
          </cell>
          <cell r="V805">
            <v>406188</v>
          </cell>
          <cell r="W805">
            <v>406188</v>
          </cell>
          <cell r="X805">
            <v>0</v>
          </cell>
        </row>
        <row r="806">
          <cell r="B806">
            <v>514101267968</v>
          </cell>
          <cell r="C806" t="str">
            <v>PJU PRODAMAS RT 4 RW 5</v>
          </cell>
          <cell r="D806" t="str">
            <v>URIP SUMOHARJO NGRONGGO</v>
          </cell>
          <cell r="E806"/>
          <cell r="F806"/>
          <cell r="G806" t="str">
            <v>P3</v>
          </cell>
          <cell r="H806">
            <v>900</v>
          </cell>
          <cell r="I806" t="str">
            <v>202505</v>
          </cell>
          <cell r="J806" t="str">
            <v>048769</v>
          </cell>
          <cell r="K806">
            <v>114</v>
          </cell>
          <cell r="L806">
            <v>193746</v>
          </cell>
          <cell r="M806">
            <v>0</v>
          </cell>
          <cell r="N806">
            <v>193746</v>
          </cell>
          <cell r="O806">
            <v>0</v>
          </cell>
          <cell r="P806">
            <v>0</v>
          </cell>
          <cell r="Q806">
            <v>0</v>
          </cell>
          <cell r="R806">
            <v>193746</v>
          </cell>
          <cell r="S806">
            <v>0</v>
          </cell>
          <cell r="T806">
            <v>193746</v>
          </cell>
          <cell r="U806">
            <v>0</v>
          </cell>
          <cell r="V806">
            <v>193746</v>
          </cell>
          <cell r="W806">
            <v>193746</v>
          </cell>
          <cell r="X806">
            <v>0</v>
          </cell>
        </row>
        <row r="807">
          <cell r="B807">
            <v>514101270093</v>
          </cell>
          <cell r="C807" t="str">
            <v>PJU PRODAMAS RT7 RW3</v>
          </cell>
          <cell r="D807" t="str">
            <v>KALIOMBO</v>
          </cell>
          <cell r="E807"/>
          <cell r="F807"/>
          <cell r="G807" t="str">
            <v>P3</v>
          </cell>
          <cell r="H807">
            <v>900</v>
          </cell>
          <cell r="I807" t="str">
            <v>202505</v>
          </cell>
          <cell r="J807" t="str">
            <v>004822</v>
          </cell>
          <cell r="K807">
            <v>36</v>
          </cell>
          <cell r="L807">
            <v>61183</v>
          </cell>
          <cell r="M807">
            <v>0</v>
          </cell>
          <cell r="N807">
            <v>61183</v>
          </cell>
          <cell r="O807">
            <v>0</v>
          </cell>
          <cell r="P807">
            <v>0</v>
          </cell>
          <cell r="Q807">
            <v>0</v>
          </cell>
          <cell r="R807">
            <v>61183</v>
          </cell>
          <cell r="S807">
            <v>0</v>
          </cell>
          <cell r="T807">
            <v>61183</v>
          </cell>
          <cell r="U807">
            <v>0</v>
          </cell>
          <cell r="V807">
            <v>61183</v>
          </cell>
          <cell r="W807">
            <v>61183</v>
          </cell>
          <cell r="X807">
            <v>0</v>
          </cell>
        </row>
        <row r="808">
          <cell r="B808">
            <v>514101270107</v>
          </cell>
          <cell r="C808" t="str">
            <v>PJU PRODAMAS RT02 RW02</v>
          </cell>
          <cell r="D808" t="str">
            <v>RINGINANOM</v>
          </cell>
          <cell r="E808"/>
          <cell r="F808"/>
          <cell r="G808" t="str">
            <v>P3</v>
          </cell>
          <cell r="H808">
            <v>900</v>
          </cell>
          <cell r="I808" t="str">
            <v>202505</v>
          </cell>
          <cell r="J808" t="str">
            <v>011608</v>
          </cell>
          <cell r="K808">
            <v>129</v>
          </cell>
          <cell r="L808">
            <v>219239</v>
          </cell>
          <cell r="M808">
            <v>0</v>
          </cell>
          <cell r="N808">
            <v>219239</v>
          </cell>
          <cell r="O808">
            <v>0</v>
          </cell>
          <cell r="P808">
            <v>0</v>
          </cell>
          <cell r="Q808">
            <v>0</v>
          </cell>
          <cell r="R808">
            <v>219239</v>
          </cell>
          <cell r="S808">
            <v>0</v>
          </cell>
          <cell r="T808">
            <v>219239</v>
          </cell>
          <cell r="U808">
            <v>0</v>
          </cell>
          <cell r="V808">
            <v>219239</v>
          </cell>
          <cell r="W808">
            <v>219239</v>
          </cell>
          <cell r="X808">
            <v>0</v>
          </cell>
        </row>
        <row r="809">
          <cell r="B809">
            <v>514101270115</v>
          </cell>
          <cell r="C809" t="str">
            <v>PJU PRODAMAS RT2 RW1</v>
          </cell>
          <cell r="D809" t="str">
            <v>RINGINANOM</v>
          </cell>
          <cell r="E809"/>
          <cell r="F809"/>
          <cell r="G809" t="str">
            <v>P3</v>
          </cell>
          <cell r="H809">
            <v>900</v>
          </cell>
          <cell r="I809" t="str">
            <v>202505</v>
          </cell>
          <cell r="J809" t="str">
            <v>022420</v>
          </cell>
          <cell r="K809">
            <v>62</v>
          </cell>
          <cell r="L809">
            <v>105371</v>
          </cell>
          <cell r="M809">
            <v>0</v>
          </cell>
          <cell r="N809">
            <v>105371</v>
          </cell>
          <cell r="O809">
            <v>0</v>
          </cell>
          <cell r="P809">
            <v>0</v>
          </cell>
          <cell r="Q809">
            <v>0</v>
          </cell>
          <cell r="R809">
            <v>105371</v>
          </cell>
          <cell r="S809">
            <v>0</v>
          </cell>
          <cell r="T809">
            <v>105371</v>
          </cell>
          <cell r="U809">
            <v>0</v>
          </cell>
          <cell r="V809">
            <v>105371</v>
          </cell>
          <cell r="W809">
            <v>105371</v>
          </cell>
          <cell r="X809">
            <v>0</v>
          </cell>
        </row>
        <row r="810">
          <cell r="B810">
            <v>514101270123</v>
          </cell>
          <cell r="C810" t="str">
            <v>PJUPRODAMAS RT3 RW2</v>
          </cell>
          <cell r="D810" t="str">
            <v>RINGINANOM</v>
          </cell>
          <cell r="E810"/>
          <cell r="F810"/>
          <cell r="G810" t="str">
            <v>P3</v>
          </cell>
          <cell r="H810">
            <v>900</v>
          </cell>
          <cell r="I810" t="str">
            <v>202505</v>
          </cell>
          <cell r="J810" t="str">
            <v>065415</v>
          </cell>
          <cell r="K810">
            <v>101</v>
          </cell>
          <cell r="L810">
            <v>171653</v>
          </cell>
          <cell r="M810">
            <v>0</v>
          </cell>
          <cell r="N810">
            <v>171653</v>
          </cell>
          <cell r="O810">
            <v>0</v>
          </cell>
          <cell r="P810">
            <v>0</v>
          </cell>
          <cell r="Q810">
            <v>0</v>
          </cell>
          <cell r="R810">
            <v>171653</v>
          </cell>
          <cell r="S810">
            <v>0</v>
          </cell>
          <cell r="T810">
            <v>171653</v>
          </cell>
          <cell r="U810">
            <v>0</v>
          </cell>
          <cell r="V810">
            <v>171653</v>
          </cell>
          <cell r="W810">
            <v>171653</v>
          </cell>
          <cell r="X810">
            <v>0</v>
          </cell>
        </row>
        <row r="811">
          <cell r="B811">
            <v>514101270131</v>
          </cell>
          <cell r="C811" t="str">
            <v>PJU PRODAMAS RT5 RW3</v>
          </cell>
          <cell r="D811" t="str">
            <v>KALIOMBO</v>
          </cell>
          <cell r="E811"/>
          <cell r="F811"/>
          <cell r="G811" t="str">
            <v>P3</v>
          </cell>
          <cell r="H811">
            <v>900</v>
          </cell>
          <cell r="I811" t="str">
            <v>202505</v>
          </cell>
          <cell r="J811" t="str">
            <v>050884</v>
          </cell>
          <cell r="K811">
            <v>119</v>
          </cell>
          <cell r="L811">
            <v>202244</v>
          </cell>
          <cell r="M811">
            <v>0</v>
          </cell>
          <cell r="N811">
            <v>202244</v>
          </cell>
          <cell r="O811">
            <v>0</v>
          </cell>
          <cell r="P811">
            <v>0</v>
          </cell>
          <cell r="Q811">
            <v>0</v>
          </cell>
          <cell r="R811">
            <v>202244</v>
          </cell>
          <cell r="S811">
            <v>0</v>
          </cell>
          <cell r="T811">
            <v>202244</v>
          </cell>
          <cell r="U811">
            <v>0</v>
          </cell>
          <cell r="V811">
            <v>202244</v>
          </cell>
          <cell r="W811">
            <v>202244</v>
          </cell>
          <cell r="X811">
            <v>0</v>
          </cell>
        </row>
        <row r="812">
          <cell r="B812">
            <v>514101270314</v>
          </cell>
          <cell r="C812" t="str">
            <v>PJU KAMPUNG DALEM RT1 RW4</v>
          </cell>
          <cell r="D812" t="str">
            <v>KAMPUNG DALEM</v>
          </cell>
          <cell r="E812"/>
          <cell r="F812"/>
          <cell r="G812" t="str">
            <v>P3</v>
          </cell>
          <cell r="H812">
            <v>900</v>
          </cell>
          <cell r="I812" t="str">
            <v>202505</v>
          </cell>
          <cell r="J812" t="str">
            <v>059863</v>
          </cell>
          <cell r="K812">
            <v>130</v>
          </cell>
          <cell r="L812">
            <v>220939</v>
          </cell>
          <cell r="M812">
            <v>0</v>
          </cell>
          <cell r="N812">
            <v>220939</v>
          </cell>
          <cell r="O812">
            <v>0</v>
          </cell>
          <cell r="P812">
            <v>0</v>
          </cell>
          <cell r="Q812">
            <v>0</v>
          </cell>
          <cell r="R812">
            <v>220939</v>
          </cell>
          <cell r="S812">
            <v>0</v>
          </cell>
          <cell r="T812">
            <v>220939</v>
          </cell>
          <cell r="U812">
            <v>0</v>
          </cell>
          <cell r="V812">
            <v>220939</v>
          </cell>
          <cell r="W812">
            <v>220939</v>
          </cell>
          <cell r="X812">
            <v>0</v>
          </cell>
        </row>
        <row r="813">
          <cell r="B813">
            <v>514101270322</v>
          </cell>
          <cell r="C813" t="str">
            <v>PJU KAMPUNG DALEM RT3 RW3</v>
          </cell>
          <cell r="D813" t="str">
            <v>KAMPUNG DALEM</v>
          </cell>
          <cell r="E813"/>
          <cell r="F813"/>
          <cell r="G813" t="str">
            <v>P3</v>
          </cell>
          <cell r="H813">
            <v>900</v>
          </cell>
          <cell r="I813" t="str">
            <v>202505</v>
          </cell>
          <cell r="J813" t="str">
            <v>015248</v>
          </cell>
          <cell r="K813">
            <v>112</v>
          </cell>
          <cell r="L813">
            <v>190347</v>
          </cell>
          <cell r="M813">
            <v>0</v>
          </cell>
          <cell r="N813">
            <v>190347</v>
          </cell>
          <cell r="O813">
            <v>0</v>
          </cell>
          <cell r="P813">
            <v>0</v>
          </cell>
          <cell r="Q813">
            <v>0</v>
          </cell>
          <cell r="R813">
            <v>190347</v>
          </cell>
          <cell r="S813">
            <v>0</v>
          </cell>
          <cell r="T813">
            <v>190347</v>
          </cell>
          <cell r="U813">
            <v>0</v>
          </cell>
          <cell r="V813">
            <v>190347</v>
          </cell>
          <cell r="W813">
            <v>190347</v>
          </cell>
          <cell r="X813">
            <v>0</v>
          </cell>
        </row>
        <row r="814">
          <cell r="B814">
            <v>514101270547</v>
          </cell>
          <cell r="C814" t="str">
            <v>PJU PRODAMAS RT1 RW1</v>
          </cell>
          <cell r="D814" t="str">
            <v>NGRONGGO</v>
          </cell>
          <cell r="E814"/>
          <cell r="F814"/>
          <cell r="G814" t="str">
            <v>P3</v>
          </cell>
          <cell r="H814">
            <v>900</v>
          </cell>
          <cell r="I814" t="str">
            <v>202505</v>
          </cell>
          <cell r="J814" t="str">
            <v>048520</v>
          </cell>
          <cell r="K814">
            <v>92</v>
          </cell>
          <cell r="L814">
            <v>156357</v>
          </cell>
          <cell r="M814">
            <v>0</v>
          </cell>
          <cell r="N814">
            <v>156357</v>
          </cell>
          <cell r="O814">
            <v>0</v>
          </cell>
          <cell r="P814">
            <v>0</v>
          </cell>
          <cell r="Q814">
            <v>0</v>
          </cell>
          <cell r="R814">
            <v>156357</v>
          </cell>
          <cell r="S814">
            <v>0</v>
          </cell>
          <cell r="T814">
            <v>156357</v>
          </cell>
          <cell r="U814">
            <v>0</v>
          </cell>
          <cell r="V814">
            <v>156357</v>
          </cell>
          <cell r="W814">
            <v>156357</v>
          </cell>
          <cell r="X814">
            <v>0</v>
          </cell>
        </row>
        <row r="815">
          <cell r="B815">
            <v>514101270666</v>
          </cell>
          <cell r="C815" t="str">
            <v>PJU PRODAMAS RT38 RW8</v>
          </cell>
          <cell r="D815" t="str">
            <v>SINGONEGARAN</v>
          </cell>
          <cell r="E815"/>
          <cell r="F815"/>
          <cell r="G815" t="str">
            <v>P3</v>
          </cell>
          <cell r="H815">
            <v>900</v>
          </cell>
          <cell r="I815" t="str">
            <v>202505</v>
          </cell>
          <cell r="J815" t="str">
            <v>055388</v>
          </cell>
          <cell r="K815">
            <v>79</v>
          </cell>
          <cell r="L815">
            <v>134263</v>
          </cell>
          <cell r="M815">
            <v>0</v>
          </cell>
          <cell r="N815">
            <v>134263</v>
          </cell>
          <cell r="O815">
            <v>0</v>
          </cell>
          <cell r="P815">
            <v>0</v>
          </cell>
          <cell r="Q815">
            <v>0</v>
          </cell>
          <cell r="R815">
            <v>134263</v>
          </cell>
          <cell r="S815">
            <v>0</v>
          </cell>
          <cell r="T815">
            <v>134263</v>
          </cell>
          <cell r="U815">
            <v>0</v>
          </cell>
          <cell r="V815">
            <v>134263</v>
          </cell>
          <cell r="W815">
            <v>134263</v>
          </cell>
          <cell r="X815">
            <v>0</v>
          </cell>
        </row>
        <row r="816">
          <cell r="B816">
            <v>514101270712</v>
          </cell>
          <cell r="C816" t="str">
            <v>PJU SINGONEGARAN RT20 RW4</v>
          </cell>
          <cell r="D816" t="str">
            <v>SINGONEGARAN</v>
          </cell>
          <cell r="E816"/>
          <cell r="F816"/>
          <cell r="G816" t="str">
            <v>P3</v>
          </cell>
          <cell r="H816">
            <v>900</v>
          </cell>
          <cell r="I816" t="str">
            <v>202505</v>
          </cell>
          <cell r="J816" t="str">
            <v>048389</v>
          </cell>
          <cell r="K816">
            <v>65</v>
          </cell>
          <cell r="L816">
            <v>110469</v>
          </cell>
          <cell r="M816">
            <v>0</v>
          </cell>
          <cell r="N816">
            <v>110469</v>
          </cell>
          <cell r="O816">
            <v>0</v>
          </cell>
          <cell r="P816">
            <v>0</v>
          </cell>
          <cell r="Q816">
            <v>0</v>
          </cell>
          <cell r="R816">
            <v>110469</v>
          </cell>
          <cell r="S816">
            <v>0</v>
          </cell>
          <cell r="T816">
            <v>110469</v>
          </cell>
          <cell r="U816">
            <v>0</v>
          </cell>
          <cell r="V816">
            <v>110469</v>
          </cell>
          <cell r="W816">
            <v>110469</v>
          </cell>
          <cell r="X816">
            <v>0</v>
          </cell>
        </row>
        <row r="817">
          <cell r="B817">
            <v>514101271118</v>
          </cell>
          <cell r="C817" t="str">
            <v>PJU PRODAMAS RT09 RW02</v>
          </cell>
          <cell r="D817" t="str">
            <v>SINGONEGARAN</v>
          </cell>
          <cell r="E817"/>
          <cell r="F817"/>
          <cell r="G817" t="str">
            <v>P3</v>
          </cell>
          <cell r="H817">
            <v>900</v>
          </cell>
          <cell r="I817" t="str">
            <v>202505</v>
          </cell>
          <cell r="J817" t="str">
            <v>048758</v>
          </cell>
          <cell r="K817">
            <v>178</v>
          </cell>
          <cell r="L817">
            <v>302516</v>
          </cell>
          <cell r="M817">
            <v>0</v>
          </cell>
          <cell r="N817">
            <v>302516</v>
          </cell>
          <cell r="O817">
            <v>0</v>
          </cell>
          <cell r="P817">
            <v>0</v>
          </cell>
          <cell r="Q817">
            <v>0</v>
          </cell>
          <cell r="R817">
            <v>302516</v>
          </cell>
          <cell r="S817">
            <v>0</v>
          </cell>
          <cell r="T817">
            <v>302516</v>
          </cell>
          <cell r="U817">
            <v>0</v>
          </cell>
          <cell r="V817">
            <v>302516</v>
          </cell>
          <cell r="W817">
            <v>302516</v>
          </cell>
          <cell r="X817">
            <v>0</v>
          </cell>
        </row>
        <row r="818">
          <cell r="B818">
            <v>514101271126</v>
          </cell>
          <cell r="C818" t="str">
            <v>PJU PRODAMAS RT8 RW2</v>
          </cell>
          <cell r="D818" t="str">
            <v>SINGONEGARAN</v>
          </cell>
          <cell r="E818"/>
          <cell r="F818"/>
          <cell r="G818" t="str">
            <v>P3</v>
          </cell>
          <cell r="H818">
            <v>900</v>
          </cell>
          <cell r="I818" t="str">
            <v>202505</v>
          </cell>
          <cell r="J818" t="str">
            <v>048475</v>
          </cell>
          <cell r="K818">
            <v>145</v>
          </cell>
          <cell r="L818">
            <v>246432</v>
          </cell>
          <cell r="M818">
            <v>0</v>
          </cell>
          <cell r="N818">
            <v>246432</v>
          </cell>
          <cell r="O818">
            <v>0</v>
          </cell>
          <cell r="P818">
            <v>0</v>
          </cell>
          <cell r="Q818">
            <v>0</v>
          </cell>
          <cell r="R818">
            <v>246432</v>
          </cell>
          <cell r="S818">
            <v>0</v>
          </cell>
          <cell r="T818">
            <v>246432</v>
          </cell>
          <cell r="U818">
            <v>0</v>
          </cell>
          <cell r="V818">
            <v>246432</v>
          </cell>
          <cell r="W818">
            <v>246432</v>
          </cell>
          <cell r="X818">
            <v>0</v>
          </cell>
        </row>
        <row r="819">
          <cell r="B819">
            <v>514101271134</v>
          </cell>
          <cell r="C819" t="str">
            <v>PJU PRODAMAS RT12 RW3</v>
          </cell>
          <cell r="D819" t="str">
            <v>SINGONEGARAN</v>
          </cell>
          <cell r="E819"/>
          <cell r="F819"/>
          <cell r="G819" t="str">
            <v>P3</v>
          </cell>
          <cell r="H819">
            <v>900</v>
          </cell>
          <cell r="I819" t="str">
            <v>202505</v>
          </cell>
          <cell r="J819" t="str">
            <v>048635</v>
          </cell>
          <cell r="K819">
            <v>148</v>
          </cell>
          <cell r="L819">
            <v>251530</v>
          </cell>
          <cell r="M819">
            <v>0</v>
          </cell>
          <cell r="N819">
            <v>251530</v>
          </cell>
          <cell r="O819">
            <v>0</v>
          </cell>
          <cell r="P819">
            <v>0</v>
          </cell>
          <cell r="Q819">
            <v>0</v>
          </cell>
          <cell r="R819">
            <v>251530</v>
          </cell>
          <cell r="S819">
            <v>0</v>
          </cell>
          <cell r="T819">
            <v>251530</v>
          </cell>
          <cell r="U819">
            <v>0</v>
          </cell>
          <cell r="V819">
            <v>251530</v>
          </cell>
          <cell r="W819">
            <v>251530</v>
          </cell>
          <cell r="X819">
            <v>0</v>
          </cell>
        </row>
        <row r="820">
          <cell r="B820">
            <v>514101271142</v>
          </cell>
          <cell r="C820" t="str">
            <v>PJU PRODAMAS RT11 RW3</v>
          </cell>
          <cell r="D820" t="str">
            <v>SINGONEGARAN</v>
          </cell>
          <cell r="E820"/>
          <cell r="F820"/>
          <cell r="G820" t="str">
            <v>P3</v>
          </cell>
          <cell r="H820">
            <v>900</v>
          </cell>
          <cell r="I820" t="str">
            <v>202505</v>
          </cell>
          <cell r="J820" t="str">
            <v>048739</v>
          </cell>
          <cell r="K820">
            <v>136</v>
          </cell>
          <cell r="L820">
            <v>231136</v>
          </cell>
          <cell r="M820">
            <v>0</v>
          </cell>
          <cell r="N820">
            <v>231136</v>
          </cell>
          <cell r="O820">
            <v>0</v>
          </cell>
          <cell r="P820">
            <v>0</v>
          </cell>
          <cell r="Q820">
            <v>0</v>
          </cell>
          <cell r="R820">
            <v>231136</v>
          </cell>
          <cell r="S820">
            <v>0</v>
          </cell>
          <cell r="T820">
            <v>231136</v>
          </cell>
          <cell r="U820">
            <v>0</v>
          </cell>
          <cell r="V820">
            <v>231136</v>
          </cell>
          <cell r="W820">
            <v>231136</v>
          </cell>
          <cell r="X820">
            <v>0</v>
          </cell>
        </row>
        <row r="821">
          <cell r="B821">
            <v>514101271159</v>
          </cell>
          <cell r="C821" t="str">
            <v>PJU PRODAMAS RT7 RW2</v>
          </cell>
          <cell r="D821" t="str">
            <v>SINGONEGARAN</v>
          </cell>
          <cell r="E821"/>
          <cell r="F821"/>
          <cell r="G821" t="str">
            <v>P3</v>
          </cell>
          <cell r="H821">
            <v>900</v>
          </cell>
          <cell r="I821" t="str">
            <v>202505</v>
          </cell>
          <cell r="J821" t="str">
            <v>048365</v>
          </cell>
          <cell r="K821">
            <v>90</v>
          </cell>
          <cell r="L821">
            <v>152958</v>
          </cell>
          <cell r="M821">
            <v>0</v>
          </cell>
          <cell r="N821">
            <v>152958</v>
          </cell>
          <cell r="O821">
            <v>0</v>
          </cell>
          <cell r="P821">
            <v>0</v>
          </cell>
          <cell r="Q821">
            <v>0</v>
          </cell>
          <cell r="R821">
            <v>152958</v>
          </cell>
          <cell r="S821">
            <v>0</v>
          </cell>
          <cell r="T821">
            <v>152958</v>
          </cell>
          <cell r="U821">
            <v>0</v>
          </cell>
          <cell r="V821">
            <v>152958</v>
          </cell>
          <cell r="W821">
            <v>152958</v>
          </cell>
          <cell r="X821">
            <v>0</v>
          </cell>
        </row>
        <row r="822">
          <cell r="B822">
            <v>514101271191</v>
          </cell>
          <cell r="C822" t="str">
            <v>PJU PRODAMAS RT1 RW1</v>
          </cell>
          <cell r="D822" t="str">
            <v>BLABAK</v>
          </cell>
          <cell r="E822"/>
          <cell r="F822"/>
          <cell r="G822" t="str">
            <v>P3</v>
          </cell>
          <cell r="H822">
            <v>900</v>
          </cell>
          <cell r="I822" t="str">
            <v>202505</v>
          </cell>
          <cell r="J822" t="str">
            <v>048335</v>
          </cell>
          <cell r="K822">
            <v>42</v>
          </cell>
          <cell r="L822">
            <v>71380</v>
          </cell>
          <cell r="M822">
            <v>0</v>
          </cell>
          <cell r="N822">
            <v>71380</v>
          </cell>
          <cell r="O822">
            <v>0</v>
          </cell>
          <cell r="P822">
            <v>0</v>
          </cell>
          <cell r="Q822">
            <v>0</v>
          </cell>
          <cell r="R822">
            <v>71380</v>
          </cell>
          <cell r="S822">
            <v>0</v>
          </cell>
          <cell r="T822">
            <v>71380</v>
          </cell>
          <cell r="U822">
            <v>0</v>
          </cell>
          <cell r="V822">
            <v>71380</v>
          </cell>
          <cell r="W822">
            <v>71380</v>
          </cell>
          <cell r="X822">
            <v>0</v>
          </cell>
        </row>
        <row r="823">
          <cell r="B823">
            <v>514101271437</v>
          </cell>
          <cell r="C823" t="str">
            <v>PJU PRODAMAS RT23 RW8</v>
          </cell>
          <cell r="D823" t="str">
            <v>TOSAREN</v>
          </cell>
          <cell r="E823"/>
          <cell r="F823"/>
          <cell r="G823" t="str">
            <v>P3</v>
          </cell>
          <cell r="H823">
            <v>900</v>
          </cell>
          <cell r="I823" t="str">
            <v>202505</v>
          </cell>
          <cell r="J823" t="str">
            <v>048753</v>
          </cell>
          <cell r="K823">
            <v>71</v>
          </cell>
          <cell r="L823">
            <v>120667</v>
          </cell>
          <cell r="M823">
            <v>0</v>
          </cell>
          <cell r="N823">
            <v>120667</v>
          </cell>
          <cell r="O823">
            <v>0</v>
          </cell>
          <cell r="P823">
            <v>0</v>
          </cell>
          <cell r="Q823">
            <v>0</v>
          </cell>
          <cell r="R823">
            <v>120667</v>
          </cell>
          <cell r="S823">
            <v>0</v>
          </cell>
          <cell r="T823">
            <v>120667</v>
          </cell>
          <cell r="U823">
            <v>0</v>
          </cell>
          <cell r="V823">
            <v>120667</v>
          </cell>
          <cell r="W823">
            <v>120667</v>
          </cell>
          <cell r="X823">
            <v>0</v>
          </cell>
        </row>
        <row r="824">
          <cell r="B824">
            <v>514101271445</v>
          </cell>
          <cell r="C824" t="str">
            <v>PJU RT14  RW05</v>
          </cell>
          <cell r="D824" t="str">
            <v>TOSAREN</v>
          </cell>
          <cell r="E824"/>
          <cell r="F824"/>
          <cell r="G824" t="str">
            <v>P3</v>
          </cell>
          <cell r="H824">
            <v>900</v>
          </cell>
          <cell r="I824" t="str">
            <v>202505</v>
          </cell>
          <cell r="J824" t="str">
            <v>048721</v>
          </cell>
          <cell r="K824">
            <v>62</v>
          </cell>
          <cell r="L824">
            <v>105371</v>
          </cell>
          <cell r="M824">
            <v>0</v>
          </cell>
          <cell r="N824">
            <v>105371</v>
          </cell>
          <cell r="O824">
            <v>0</v>
          </cell>
          <cell r="P824">
            <v>0</v>
          </cell>
          <cell r="Q824">
            <v>0</v>
          </cell>
          <cell r="R824">
            <v>105371</v>
          </cell>
          <cell r="S824">
            <v>0</v>
          </cell>
          <cell r="T824">
            <v>105371</v>
          </cell>
          <cell r="U824">
            <v>0</v>
          </cell>
          <cell r="V824">
            <v>105371</v>
          </cell>
          <cell r="W824">
            <v>105371</v>
          </cell>
          <cell r="X824">
            <v>0</v>
          </cell>
        </row>
        <row r="825">
          <cell r="B825">
            <v>514101271772</v>
          </cell>
          <cell r="C825" t="str">
            <v>PJU PRODAMAS RT4 RW5</v>
          </cell>
          <cell r="D825" t="str">
            <v>TINALAN</v>
          </cell>
          <cell r="E825"/>
          <cell r="F825"/>
          <cell r="G825" t="str">
            <v>P3</v>
          </cell>
          <cell r="H825">
            <v>900</v>
          </cell>
          <cell r="I825" t="str">
            <v>202505</v>
          </cell>
          <cell r="J825" t="str">
            <v>048547</v>
          </cell>
          <cell r="K825">
            <v>214</v>
          </cell>
          <cell r="L825">
            <v>363699</v>
          </cell>
          <cell r="M825">
            <v>0</v>
          </cell>
          <cell r="N825">
            <v>363699</v>
          </cell>
          <cell r="O825">
            <v>0</v>
          </cell>
          <cell r="P825">
            <v>0</v>
          </cell>
          <cell r="Q825">
            <v>0</v>
          </cell>
          <cell r="R825">
            <v>363699</v>
          </cell>
          <cell r="S825">
            <v>0</v>
          </cell>
          <cell r="T825">
            <v>363699</v>
          </cell>
          <cell r="U825">
            <v>0</v>
          </cell>
          <cell r="V825">
            <v>363699</v>
          </cell>
          <cell r="W825">
            <v>363699</v>
          </cell>
          <cell r="X825">
            <v>0</v>
          </cell>
        </row>
        <row r="826">
          <cell r="B826">
            <v>514101271780</v>
          </cell>
          <cell r="C826" t="str">
            <v>PJU PRODAMAS RT2 RW6</v>
          </cell>
          <cell r="D826" t="str">
            <v>TINALAN</v>
          </cell>
          <cell r="E826"/>
          <cell r="F826"/>
          <cell r="G826" t="str">
            <v>P3</v>
          </cell>
          <cell r="H826">
            <v>900</v>
          </cell>
          <cell r="I826" t="str">
            <v>202505</v>
          </cell>
          <cell r="J826" t="str">
            <v>048394</v>
          </cell>
          <cell r="K826">
            <v>490</v>
          </cell>
          <cell r="L826">
            <v>832770</v>
          </cell>
          <cell r="M826">
            <v>0</v>
          </cell>
          <cell r="N826">
            <v>832770</v>
          </cell>
          <cell r="O826">
            <v>0</v>
          </cell>
          <cell r="P826">
            <v>0</v>
          </cell>
          <cell r="Q826">
            <v>0</v>
          </cell>
          <cell r="R826">
            <v>832770</v>
          </cell>
          <cell r="S826">
            <v>0</v>
          </cell>
          <cell r="T826">
            <v>832770</v>
          </cell>
          <cell r="U826">
            <v>0</v>
          </cell>
          <cell r="V826">
            <v>832770</v>
          </cell>
          <cell r="W826">
            <v>832770</v>
          </cell>
          <cell r="X826">
            <v>0</v>
          </cell>
        </row>
        <row r="827">
          <cell r="B827">
            <v>514101272214</v>
          </cell>
          <cell r="C827" t="str">
            <v>PJU BAWANG RT1 RW6</v>
          </cell>
          <cell r="D827" t="str">
            <v>BAWANG</v>
          </cell>
          <cell r="E827"/>
          <cell r="F827"/>
          <cell r="G827" t="str">
            <v>P3</v>
          </cell>
          <cell r="H827">
            <v>900</v>
          </cell>
          <cell r="I827" t="str">
            <v>202505</v>
          </cell>
          <cell r="J827" t="str">
            <v>048539</v>
          </cell>
          <cell r="K827">
            <v>209</v>
          </cell>
          <cell r="L827">
            <v>355202</v>
          </cell>
          <cell r="M827">
            <v>0</v>
          </cell>
          <cell r="N827">
            <v>355202</v>
          </cell>
          <cell r="O827">
            <v>0</v>
          </cell>
          <cell r="P827">
            <v>0</v>
          </cell>
          <cell r="Q827">
            <v>0</v>
          </cell>
          <cell r="R827">
            <v>355202</v>
          </cell>
          <cell r="S827">
            <v>0</v>
          </cell>
          <cell r="T827">
            <v>355202</v>
          </cell>
          <cell r="U827">
            <v>0</v>
          </cell>
          <cell r="V827">
            <v>355202</v>
          </cell>
          <cell r="W827">
            <v>355202</v>
          </cell>
          <cell r="X827">
            <v>0</v>
          </cell>
        </row>
        <row r="828">
          <cell r="B828">
            <v>514101272289</v>
          </cell>
          <cell r="C828" t="str">
            <v>PJU PRODAMAS RT6 RW2</v>
          </cell>
          <cell r="D828" t="str">
            <v>NGRONGGO</v>
          </cell>
          <cell r="E828"/>
          <cell r="F828"/>
          <cell r="G828" t="str">
            <v>P3</v>
          </cell>
          <cell r="H828">
            <v>900</v>
          </cell>
          <cell r="I828" t="str">
            <v>202505</v>
          </cell>
          <cell r="J828" t="str">
            <v>048804</v>
          </cell>
          <cell r="K828">
            <v>179</v>
          </cell>
          <cell r="L828">
            <v>304216</v>
          </cell>
          <cell r="M828">
            <v>0</v>
          </cell>
          <cell r="N828">
            <v>304216</v>
          </cell>
          <cell r="O828">
            <v>0</v>
          </cell>
          <cell r="P828">
            <v>0</v>
          </cell>
          <cell r="Q828">
            <v>0</v>
          </cell>
          <cell r="R828">
            <v>304216</v>
          </cell>
          <cell r="S828">
            <v>0</v>
          </cell>
          <cell r="T828">
            <v>304216</v>
          </cell>
          <cell r="U828">
            <v>0</v>
          </cell>
          <cell r="V828">
            <v>304216</v>
          </cell>
          <cell r="W828">
            <v>304216</v>
          </cell>
          <cell r="X828">
            <v>0</v>
          </cell>
        </row>
        <row r="829">
          <cell r="B829">
            <v>514101272368</v>
          </cell>
          <cell r="C829" t="str">
            <v>PJU DS BAWANG</v>
          </cell>
          <cell r="D829" t="str">
            <v>BAWANG</v>
          </cell>
          <cell r="E829"/>
          <cell r="F829"/>
          <cell r="G829" t="str">
            <v>P3</v>
          </cell>
          <cell r="H829">
            <v>900</v>
          </cell>
          <cell r="I829" t="str">
            <v>202505</v>
          </cell>
          <cell r="J829" t="str">
            <v>048756</v>
          </cell>
          <cell r="K829">
            <v>142</v>
          </cell>
          <cell r="L829">
            <v>241333</v>
          </cell>
          <cell r="M829">
            <v>0</v>
          </cell>
          <cell r="N829">
            <v>241333</v>
          </cell>
          <cell r="O829">
            <v>0</v>
          </cell>
          <cell r="P829">
            <v>0</v>
          </cell>
          <cell r="Q829">
            <v>0</v>
          </cell>
          <cell r="R829">
            <v>241333</v>
          </cell>
          <cell r="S829">
            <v>0</v>
          </cell>
          <cell r="T829">
            <v>241333</v>
          </cell>
          <cell r="U829">
            <v>0</v>
          </cell>
          <cell r="V829">
            <v>241333</v>
          </cell>
          <cell r="W829">
            <v>241333</v>
          </cell>
          <cell r="X829">
            <v>0</v>
          </cell>
        </row>
        <row r="830">
          <cell r="B830">
            <v>514101272886</v>
          </cell>
          <cell r="C830" t="str">
            <v>PJU PERUM GREEN ASHOKA</v>
          </cell>
          <cell r="D830" t="str">
            <v>SAWAH BESAR NGRONGGO</v>
          </cell>
          <cell r="E830"/>
          <cell r="F830"/>
          <cell r="G830" t="str">
            <v>P3</v>
          </cell>
          <cell r="H830">
            <v>1300</v>
          </cell>
          <cell r="I830" t="str">
            <v>202505</v>
          </cell>
          <cell r="J830" t="str">
            <v>048727</v>
          </cell>
          <cell r="K830">
            <v>171</v>
          </cell>
          <cell r="L830">
            <v>290620</v>
          </cell>
          <cell r="M830">
            <v>0</v>
          </cell>
          <cell r="N830">
            <v>290620</v>
          </cell>
          <cell r="O830">
            <v>0</v>
          </cell>
          <cell r="P830">
            <v>0</v>
          </cell>
          <cell r="Q830">
            <v>0</v>
          </cell>
          <cell r="R830">
            <v>290620</v>
          </cell>
          <cell r="S830">
            <v>0</v>
          </cell>
          <cell r="T830">
            <v>290620</v>
          </cell>
          <cell r="U830">
            <v>0</v>
          </cell>
          <cell r="V830">
            <v>290620</v>
          </cell>
          <cell r="W830">
            <v>290620</v>
          </cell>
          <cell r="X830">
            <v>0</v>
          </cell>
        </row>
        <row r="831">
          <cell r="B831">
            <v>514101273025</v>
          </cell>
          <cell r="C831" t="str">
            <v>PJU PRODAMAS RT3 RW2</v>
          </cell>
          <cell r="D831" t="str">
            <v>KALIOMBO</v>
          </cell>
          <cell r="E831"/>
          <cell r="F831"/>
          <cell r="G831" t="str">
            <v>P3</v>
          </cell>
          <cell r="H831">
            <v>900</v>
          </cell>
          <cell r="I831" t="str">
            <v>202505</v>
          </cell>
          <cell r="J831" t="str">
            <v>048760</v>
          </cell>
          <cell r="K831">
            <v>198</v>
          </cell>
          <cell r="L831">
            <v>336507</v>
          </cell>
          <cell r="M831">
            <v>0</v>
          </cell>
          <cell r="N831">
            <v>336507</v>
          </cell>
          <cell r="O831">
            <v>0</v>
          </cell>
          <cell r="P831">
            <v>0</v>
          </cell>
          <cell r="Q831">
            <v>0</v>
          </cell>
          <cell r="R831">
            <v>336507</v>
          </cell>
          <cell r="S831">
            <v>0</v>
          </cell>
          <cell r="T831">
            <v>336507</v>
          </cell>
          <cell r="U831">
            <v>0</v>
          </cell>
          <cell r="V831">
            <v>336507</v>
          </cell>
          <cell r="W831">
            <v>336507</v>
          </cell>
          <cell r="X831">
            <v>0</v>
          </cell>
        </row>
        <row r="832">
          <cell r="B832">
            <v>514101273033</v>
          </cell>
          <cell r="C832" t="str">
            <v>PJU PRODAMAS RT4 RW1</v>
          </cell>
          <cell r="D832" t="str">
            <v>KALIOMBO</v>
          </cell>
          <cell r="E832"/>
          <cell r="F832"/>
          <cell r="G832" t="str">
            <v>P3</v>
          </cell>
          <cell r="H832">
            <v>900</v>
          </cell>
          <cell r="I832" t="str">
            <v>202505</v>
          </cell>
          <cell r="J832" t="str">
            <v>048714</v>
          </cell>
          <cell r="K832">
            <v>137</v>
          </cell>
          <cell r="L832">
            <v>232836</v>
          </cell>
          <cell r="M832">
            <v>0</v>
          </cell>
          <cell r="N832">
            <v>232836</v>
          </cell>
          <cell r="O832">
            <v>0</v>
          </cell>
          <cell r="P832">
            <v>0</v>
          </cell>
          <cell r="Q832">
            <v>0</v>
          </cell>
          <cell r="R832">
            <v>232836</v>
          </cell>
          <cell r="S832">
            <v>0</v>
          </cell>
          <cell r="T832">
            <v>232836</v>
          </cell>
          <cell r="U832">
            <v>0</v>
          </cell>
          <cell r="V832">
            <v>232836</v>
          </cell>
          <cell r="W832">
            <v>232836</v>
          </cell>
          <cell r="X832">
            <v>0</v>
          </cell>
        </row>
        <row r="833">
          <cell r="B833">
            <v>514101273187</v>
          </cell>
          <cell r="C833" t="str">
            <v>PJU DS BAWANG</v>
          </cell>
          <cell r="D833" t="str">
            <v>BAWANG</v>
          </cell>
          <cell r="E833"/>
          <cell r="F833"/>
          <cell r="G833" t="str">
            <v>P3</v>
          </cell>
          <cell r="H833">
            <v>900</v>
          </cell>
          <cell r="I833" t="str">
            <v>202505</v>
          </cell>
          <cell r="J833" t="str">
            <v>048330</v>
          </cell>
          <cell r="K833">
            <v>241</v>
          </cell>
          <cell r="L833">
            <v>409587</v>
          </cell>
          <cell r="M833">
            <v>0</v>
          </cell>
          <cell r="N833">
            <v>409587</v>
          </cell>
          <cell r="O833">
            <v>0</v>
          </cell>
          <cell r="P833">
            <v>0</v>
          </cell>
          <cell r="Q833">
            <v>0</v>
          </cell>
          <cell r="R833">
            <v>409587</v>
          </cell>
          <cell r="S833">
            <v>0</v>
          </cell>
          <cell r="T833">
            <v>409587</v>
          </cell>
          <cell r="U833">
            <v>0</v>
          </cell>
          <cell r="V833">
            <v>409587</v>
          </cell>
          <cell r="W833">
            <v>409587</v>
          </cell>
          <cell r="X833">
            <v>0</v>
          </cell>
        </row>
        <row r="834">
          <cell r="B834">
            <v>514101273195</v>
          </cell>
          <cell r="C834" t="str">
            <v>PJU CENTONG</v>
          </cell>
          <cell r="D834" t="str">
            <v>CENTONG</v>
          </cell>
          <cell r="E834"/>
          <cell r="F834"/>
          <cell r="G834" t="str">
            <v>P3</v>
          </cell>
          <cell r="H834">
            <v>2200</v>
          </cell>
          <cell r="I834" t="str">
            <v>202505</v>
          </cell>
          <cell r="J834" t="str">
            <v>048678</v>
          </cell>
          <cell r="K834">
            <v>185</v>
          </cell>
          <cell r="L834">
            <v>314413</v>
          </cell>
          <cell r="M834">
            <v>0</v>
          </cell>
          <cell r="N834">
            <v>314413</v>
          </cell>
          <cell r="O834">
            <v>0</v>
          </cell>
          <cell r="P834">
            <v>0</v>
          </cell>
          <cell r="Q834">
            <v>0</v>
          </cell>
          <cell r="R834">
            <v>314413</v>
          </cell>
          <cell r="S834">
            <v>0</v>
          </cell>
          <cell r="T834">
            <v>314413</v>
          </cell>
          <cell r="U834">
            <v>0</v>
          </cell>
          <cell r="V834">
            <v>314413</v>
          </cell>
          <cell r="W834">
            <v>314413</v>
          </cell>
          <cell r="X834">
            <v>0</v>
          </cell>
        </row>
        <row r="835">
          <cell r="B835">
            <v>514101273208</v>
          </cell>
          <cell r="C835" t="str">
            <v>PJU DS BAWANG</v>
          </cell>
          <cell r="D835" t="str">
            <v>BAWANG</v>
          </cell>
          <cell r="E835"/>
          <cell r="F835"/>
          <cell r="G835" t="str">
            <v>P3</v>
          </cell>
          <cell r="H835">
            <v>900</v>
          </cell>
          <cell r="I835" t="str">
            <v>202505</v>
          </cell>
          <cell r="J835" t="str">
            <v>048634</v>
          </cell>
          <cell r="K835">
            <v>160</v>
          </cell>
          <cell r="L835">
            <v>271925</v>
          </cell>
          <cell r="M835">
            <v>0</v>
          </cell>
          <cell r="N835">
            <v>271925</v>
          </cell>
          <cell r="O835">
            <v>0</v>
          </cell>
          <cell r="P835">
            <v>0</v>
          </cell>
          <cell r="Q835">
            <v>0</v>
          </cell>
          <cell r="R835">
            <v>271925</v>
          </cell>
          <cell r="S835">
            <v>0</v>
          </cell>
          <cell r="T835">
            <v>271925</v>
          </cell>
          <cell r="U835">
            <v>0</v>
          </cell>
          <cell r="V835">
            <v>271925</v>
          </cell>
          <cell r="W835">
            <v>271925</v>
          </cell>
          <cell r="X835">
            <v>0</v>
          </cell>
        </row>
        <row r="836">
          <cell r="B836">
            <v>514101273329</v>
          </cell>
          <cell r="C836" t="str">
            <v>PJU PRODAMAS RT1 RW5</v>
          </cell>
          <cell r="D836" t="str">
            <v>JL SERSAN SUHARMAJI</v>
          </cell>
          <cell r="E836"/>
          <cell r="F836"/>
          <cell r="G836" t="str">
            <v>P3</v>
          </cell>
          <cell r="H836">
            <v>1300</v>
          </cell>
          <cell r="I836" t="str">
            <v>202505</v>
          </cell>
          <cell r="J836" t="str">
            <v>048378</v>
          </cell>
          <cell r="K836">
            <v>52</v>
          </cell>
          <cell r="L836">
            <v>88376</v>
          </cell>
          <cell r="M836">
            <v>0</v>
          </cell>
          <cell r="N836">
            <v>88376</v>
          </cell>
          <cell r="O836">
            <v>0</v>
          </cell>
          <cell r="P836">
            <v>0</v>
          </cell>
          <cell r="Q836">
            <v>0</v>
          </cell>
          <cell r="R836">
            <v>88376</v>
          </cell>
          <cell r="S836">
            <v>0</v>
          </cell>
          <cell r="T836">
            <v>88376</v>
          </cell>
          <cell r="U836">
            <v>0</v>
          </cell>
          <cell r="V836">
            <v>88376</v>
          </cell>
          <cell r="W836">
            <v>88376</v>
          </cell>
          <cell r="X836">
            <v>0</v>
          </cell>
        </row>
        <row r="837">
          <cell r="B837">
            <v>514101296061</v>
          </cell>
          <cell r="C837" t="str">
            <v>PJU PRODAMAS RT4 RW 1</v>
          </cell>
          <cell r="D837" t="str">
            <v>KEL PAKUNDEN KEC.PESANTREN</v>
          </cell>
          <cell r="E837"/>
          <cell r="F837"/>
          <cell r="G837" t="str">
            <v>P3</v>
          </cell>
          <cell r="H837">
            <v>900</v>
          </cell>
          <cell r="I837" t="str">
            <v>202505</v>
          </cell>
          <cell r="J837" t="str">
            <v>048280</v>
          </cell>
          <cell r="K837">
            <v>79</v>
          </cell>
          <cell r="L837">
            <v>134263</v>
          </cell>
          <cell r="M837">
            <v>0</v>
          </cell>
          <cell r="N837">
            <v>134263</v>
          </cell>
          <cell r="O837">
            <v>0</v>
          </cell>
          <cell r="P837">
            <v>0</v>
          </cell>
          <cell r="Q837">
            <v>0</v>
          </cell>
          <cell r="R837">
            <v>134263</v>
          </cell>
          <cell r="S837">
            <v>0</v>
          </cell>
          <cell r="T837">
            <v>134263</v>
          </cell>
          <cell r="U837">
            <v>0</v>
          </cell>
          <cell r="V837">
            <v>134263</v>
          </cell>
          <cell r="W837">
            <v>134263</v>
          </cell>
          <cell r="X837">
            <v>0</v>
          </cell>
        </row>
        <row r="838">
          <cell r="B838">
            <v>514101296079</v>
          </cell>
          <cell r="C838" t="str">
            <v>PJU PRODAMAS RT3 RW 1</v>
          </cell>
          <cell r="D838" t="str">
            <v>KEL.PAKUNDEN KEC.PESANTREN</v>
          </cell>
          <cell r="E838"/>
          <cell r="F838"/>
          <cell r="G838" t="str">
            <v>P3</v>
          </cell>
          <cell r="H838">
            <v>900</v>
          </cell>
          <cell r="I838" t="str">
            <v>202505</v>
          </cell>
          <cell r="J838" t="str">
            <v>048525</v>
          </cell>
          <cell r="K838">
            <v>67</v>
          </cell>
          <cell r="L838">
            <v>113869</v>
          </cell>
          <cell r="M838">
            <v>0</v>
          </cell>
          <cell r="N838">
            <v>113869</v>
          </cell>
          <cell r="O838">
            <v>0</v>
          </cell>
          <cell r="P838">
            <v>0</v>
          </cell>
          <cell r="Q838">
            <v>0</v>
          </cell>
          <cell r="R838">
            <v>113869</v>
          </cell>
          <cell r="S838">
            <v>0</v>
          </cell>
          <cell r="T838">
            <v>113869</v>
          </cell>
          <cell r="U838">
            <v>0</v>
          </cell>
          <cell r="V838">
            <v>113869</v>
          </cell>
          <cell r="W838">
            <v>113869</v>
          </cell>
          <cell r="X838">
            <v>0</v>
          </cell>
        </row>
        <row r="839">
          <cell r="B839">
            <v>514101298942</v>
          </cell>
          <cell r="C839" t="str">
            <v>PJU RT16 RW3 JAMSAREN</v>
          </cell>
          <cell r="D839" t="str">
            <v>JAMSAREN</v>
          </cell>
          <cell r="E839"/>
          <cell r="F839"/>
          <cell r="G839" t="str">
            <v>P3</v>
          </cell>
          <cell r="H839">
            <v>900</v>
          </cell>
          <cell r="I839" t="str">
            <v>202505</v>
          </cell>
          <cell r="J839" t="str">
            <v>048630</v>
          </cell>
          <cell r="K839">
            <v>134</v>
          </cell>
          <cell r="L839">
            <v>227737</v>
          </cell>
          <cell r="M839">
            <v>0</v>
          </cell>
          <cell r="N839">
            <v>227737</v>
          </cell>
          <cell r="O839">
            <v>0</v>
          </cell>
          <cell r="P839">
            <v>0</v>
          </cell>
          <cell r="Q839">
            <v>0</v>
          </cell>
          <cell r="R839">
            <v>227737</v>
          </cell>
          <cell r="S839">
            <v>0</v>
          </cell>
          <cell r="T839">
            <v>227737</v>
          </cell>
          <cell r="U839">
            <v>0</v>
          </cell>
          <cell r="V839">
            <v>227737</v>
          </cell>
          <cell r="W839">
            <v>227737</v>
          </cell>
          <cell r="X839">
            <v>0</v>
          </cell>
        </row>
        <row r="840">
          <cell r="B840">
            <v>514101299050</v>
          </cell>
          <cell r="C840" t="str">
            <v>PJU PRODAMAS RT5 RW2</v>
          </cell>
          <cell r="D840" t="str">
            <v>SINGONEGARAN</v>
          </cell>
          <cell r="E840"/>
          <cell r="F840"/>
          <cell r="G840" t="str">
            <v>P3</v>
          </cell>
          <cell r="H840">
            <v>900</v>
          </cell>
          <cell r="I840" t="str">
            <v>202505</v>
          </cell>
          <cell r="J840" t="str">
            <v>048309</v>
          </cell>
          <cell r="K840">
            <v>36</v>
          </cell>
          <cell r="L840">
            <v>61183</v>
          </cell>
          <cell r="M840">
            <v>0</v>
          </cell>
          <cell r="N840">
            <v>61183</v>
          </cell>
          <cell r="O840">
            <v>0</v>
          </cell>
          <cell r="P840">
            <v>0</v>
          </cell>
          <cell r="Q840">
            <v>0</v>
          </cell>
          <cell r="R840">
            <v>61183</v>
          </cell>
          <cell r="S840">
            <v>0</v>
          </cell>
          <cell r="T840">
            <v>61183</v>
          </cell>
          <cell r="U840">
            <v>0</v>
          </cell>
          <cell r="V840">
            <v>61183</v>
          </cell>
          <cell r="W840">
            <v>61183</v>
          </cell>
          <cell r="X840">
            <v>0</v>
          </cell>
        </row>
        <row r="841">
          <cell r="B841">
            <v>514101299068</v>
          </cell>
          <cell r="C841" t="str">
            <v>PJU PRODAMAS RT 1 RW1</v>
          </cell>
          <cell r="D841" t="str">
            <v>SINGONEGARAN</v>
          </cell>
          <cell r="E841"/>
          <cell r="F841"/>
          <cell r="G841" t="str">
            <v>P3</v>
          </cell>
          <cell r="H841">
            <v>1300</v>
          </cell>
          <cell r="I841" t="str">
            <v>202505</v>
          </cell>
          <cell r="J841" t="str">
            <v>023550</v>
          </cell>
          <cell r="K841">
            <v>52</v>
          </cell>
          <cell r="L841">
            <v>88376</v>
          </cell>
          <cell r="M841">
            <v>0</v>
          </cell>
          <cell r="N841">
            <v>88376</v>
          </cell>
          <cell r="O841">
            <v>0</v>
          </cell>
          <cell r="P841">
            <v>0</v>
          </cell>
          <cell r="Q841">
            <v>0</v>
          </cell>
          <cell r="R841">
            <v>88376</v>
          </cell>
          <cell r="S841">
            <v>0</v>
          </cell>
          <cell r="T841">
            <v>88376</v>
          </cell>
          <cell r="U841">
            <v>0</v>
          </cell>
          <cell r="V841">
            <v>88376</v>
          </cell>
          <cell r="W841">
            <v>88376</v>
          </cell>
          <cell r="X841">
            <v>0</v>
          </cell>
        </row>
        <row r="842">
          <cell r="B842">
            <v>514101301481</v>
          </cell>
          <cell r="C842" t="str">
            <v>PJU JL SUMBER REMPI</v>
          </cell>
          <cell r="D842" t="str">
            <v>BETET</v>
          </cell>
          <cell r="E842"/>
          <cell r="F842"/>
          <cell r="G842" t="str">
            <v>P3</v>
          </cell>
          <cell r="H842">
            <v>900</v>
          </cell>
          <cell r="I842" t="str">
            <v>202505</v>
          </cell>
          <cell r="J842" t="str">
            <v>048811</v>
          </cell>
          <cell r="K842">
            <v>254</v>
          </cell>
          <cell r="L842">
            <v>431681</v>
          </cell>
          <cell r="M842">
            <v>0</v>
          </cell>
          <cell r="N842">
            <v>431681</v>
          </cell>
          <cell r="O842">
            <v>0</v>
          </cell>
          <cell r="P842">
            <v>0</v>
          </cell>
          <cell r="Q842">
            <v>0</v>
          </cell>
          <cell r="R842">
            <v>431681</v>
          </cell>
          <cell r="S842">
            <v>0</v>
          </cell>
          <cell r="T842">
            <v>431681</v>
          </cell>
          <cell r="U842">
            <v>0</v>
          </cell>
          <cell r="V842">
            <v>431681</v>
          </cell>
          <cell r="W842">
            <v>431681</v>
          </cell>
          <cell r="X842">
            <v>0</v>
          </cell>
        </row>
        <row r="843">
          <cell r="B843">
            <v>514101301499</v>
          </cell>
          <cell r="C843" t="str">
            <v>PJU JL GARDU INDUK</v>
          </cell>
          <cell r="D843" t="str">
            <v>PAKUNDEN</v>
          </cell>
          <cell r="E843"/>
          <cell r="F843"/>
          <cell r="G843" t="str">
            <v>P3</v>
          </cell>
          <cell r="H843">
            <v>2200</v>
          </cell>
          <cell r="I843" t="str">
            <v>202505</v>
          </cell>
          <cell r="J843" t="str">
            <v>048375</v>
          </cell>
          <cell r="K843">
            <v>534</v>
          </cell>
          <cell r="L843">
            <v>907549</v>
          </cell>
          <cell r="M843">
            <v>0</v>
          </cell>
          <cell r="N843">
            <v>907549</v>
          </cell>
          <cell r="O843">
            <v>0</v>
          </cell>
          <cell r="P843">
            <v>0</v>
          </cell>
          <cell r="Q843">
            <v>0</v>
          </cell>
          <cell r="R843">
            <v>907549</v>
          </cell>
          <cell r="S843">
            <v>0</v>
          </cell>
          <cell r="T843">
            <v>907549</v>
          </cell>
          <cell r="U843">
            <v>0</v>
          </cell>
          <cell r="V843">
            <v>907549</v>
          </cell>
          <cell r="W843">
            <v>907549</v>
          </cell>
          <cell r="X843">
            <v>0</v>
          </cell>
        </row>
        <row r="844">
          <cell r="B844">
            <v>514101302795</v>
          </cell>
          <cell r="C844" t="str">
            <v>PJU PRODAMAS RT12 RW4</v>
          </cell>
          <cell r="D844" t="str">
            <v>TOSAREN</v>
          </cell>
          <cell r="E844"/>
          <cell r="F844"/>
          <cell r="G844" t="str">
            <v>P3</v>
          </cell>
          <cell r="H844">
            <v>900</v>
          </cell>
          <cell r="I844" t="str">
            <v>202505</v>
          </cell>
          <cell r="J844" t="str">
            <v>048460</v>
          </cell>
          <cell r="K844">
            <v>36</v>
          </cell>
          <cell r="L844">
            <v>61183</v>
          </cell>
          <cell r="M844">
            <v>0</v>
          </cell>
          <cell r="N844">
            <v>61183</v>
          </cell>
          <cell r="O844">
            <v>0</v>
          </cell>
          <cell r="P844">
            <v>0</v>
          </cell>
          <cell r="Q844">
            <v>0</v>
          </cell>
          <cell r="R844">
            <v>61183</v>
          </cell>
          <cell r="S844">
            <v>0</v>
          </cell>
          <cell r="T844">
            <v>61183</v>
          </cell>
          <cell r="U844">
            <v>0</v>
          </cell>
          <cell r="V844">
            <v>61183</v>
          </cell>
          <cell r="W844">
            <v>61183</v>
          </cell>
          <cell r="X844">
            <v>0</v>
          </cell>
        </row>
        <row r="845">
          <cell r="B845">
            <v>514101302808</v>
          </cell>
          <cell r="C845" t="str">
            <v>PJU PRODAMAS RT15 RW5</v>
          </cell>
          <cell r="D845" t="str">
            <v>TOSAREN</v>
          </cell>
          <cell r="E845"/>
          <cell r="F845"/>
          <cell r="G845" t="str">
            <v>P3</v>
          </cell>
          <cell r="H845">
            <v>900</v>
          </cell>
          <cell r="I845" t="str">
            <v>202505</v>
          </cell>
          <cell r="J845" t="str">
            <v>048704</v>
          </cell>
          <cell r="K845">
            <v>100</v>
          </cell>
          <cell r="L845">
            <v>169953</v>
          </cell>
          <cell r="M845">
            <v>0</v>
          </cell>
          <cell r="N845">
            <v>169953</v>
          </cell>
          <cell r="O845">
            <v>0</v>
          </cell>
          <cell r="P845">
            <v>0</v>
          </cell>
          <cell r="Q845">
            <v>0</v>
          </cell>
          <cell r="R845">
            <v>169953</v>
          </cell>
          <cell r="S845">
            <v>0</v>
          </cell>
          <cell r="T845">
            <v>169953</v>
          </cell>
          <cell r="U845">
            <v>0</v>
          </cell>
          <cell r="V845">
            <v>169953</v>
          </cell>
          <cell r="W845">
            <v>169953</v>
          </cell>
          <cell r="X845">
            <v>0</v>
          </cell>
        </row>
        <row r="846">
          <cell r="B846">
            <v>514101303643</v>
          </cell>
          <cell r="C846" t="str">
            <v>PJU RT3 RW1 KAMPUNG DALEM</v>
          </cell>
          <cell r="D846" t="str">
            <v>KAMPUNG DALEM</v>
          </cell>
          <cell r="E846"/>
          <cell r="F846"/>
          <cell r="G846" t="str">
            <v>P3</v>
          </cell>
          <cell r="H846">
            <v>900</v>
          </cell>
          <cell r="I846" t="str">
            <v>202505</v>
          </cell>
          <cell r="J846" t="str">
            <v>048618</v>
          </cell>
          <cell r="K846">
            <v>136</v>
          </cell>
          <cell r="L846">
            <v>231136</v>
          </cell>
          <cell r="M846">
            <v>0</v>
          </cell>
          <cell r="N846">
            <v>231136</v>
          </cell>
          <cell r="O846">
            <v>0</v>
          </cell>
          <cell r="P846">
            <v>0</v>
          </cell>
          <cell r="Q846">
            <v>0</v>
          </cell>
          <cell r="R846">
            <v>231136</v>
          </cell>
          <cell r="S846">
            <v>0</v>
          </cell>
          <cell r="T846">
            <v>231136</v>
          </cell>
          <cell r="U846">
            <v>0</v>
          </cell>
          <cell r="V846">
            <v>231136</v>
          </cell>
          <cell r="W846">
            <v>231136</v>
          </cell>
          <cell r="X846">
            <v>0</v>
          </cell>
        </row>
        <row r="847">
          <cell r="B847">
            <v>514101303905</v>
          </cell>
          <cell r="C847" t="str">
            <v>PJU PRODAMAS RT4 RW3</v>
          </cell>
          <cell r="D847" t="str">
            <v>KAMPUNG DALEM</v>
          </cell>
          <cell r="E847"/>
          <cell r="F847"/>
          <cell r="G847" t="str">
            <v>P3</v>
          </cell>
          <cell r="H847">
            <v>900</v>
          </cell>
          <cell r="I847" t="str">
            <v>202505</v>
          </cell>
          <cell r="J847" t="str">
            <v>048726</v>
          </cell>
          <cell r="K847">
            <v>37</v>
          </cell>
          <cell r="L847">
            <v>62883</v>
          </cell>
          <cell r="M847">
            <v>0</v>
          </cell>
          <cell r="N847">
            <v>62883</v>
          </cell>
          <cell r="O847">
            <v>0</v>
          </cell>
          <cell r="P847">
            <v>0</v>
          </cell>
          <cell r="Q847">
            <v>0</v>
          </cell>
          <cell r="R847">
            <v>62883</v>
          </cell>
          <cell r="S847">
            <v>0</v>
          </cell>
          <cell r="T847">
            <v>62883</v>
          </cell>
          <cell r="U847">
            <v>0</v>
          </cell>
          <cell r="V847">
            <v>62883</v>
          </cell>
          <cell r="W847">
            <v>62883</v>
          </cell>
          <cell r="X847">
            <v>0</v>
          </cell>
        </row>
        <row r="848">
          <cell r="B848">
            <v>514101303939</v>
          </cell>
          <cell r="C848" t="str">
            <v>PJU RT 2 RW 3 DN CENTONG</v>
          </cell>
          <cell r="D848" t="str">
            <v>CENTONG</v>
          </cell>
          <cell r="E848"/>
          <cell r="F848"/>
          <cell r="G848" t="str">
            <v>P3</v>
          </cell>
          <cell r="H848">
            <v>900</v>
          </cell>
          <cell r="I848" t="str">
            <v>202505</v>
          </cell>
          <cell r="J848" t="str">
            <v>048641</v>
          </cell>
          <cell r="K848">
            <v>87</v>
          </cell>
          <cell r="L848">
            <v>147859</v>
          </cell>
          <cell r="M848">
            <v>0</v>
          </cell>
          <cell r="N848">
            <v>147859</v>
          </cell>
          <cell r="O848">
            <v>0</v>
          </cell>
          <cell r="P848">
            <v>0</v>
          </cell>
          <cell r="Q848">
            <v>0</v>
          </cell>
          <cell r="R848">
            <v>147859</v>
          </cell>
          <cell r="S848">
            <v>0</v>
          </cell>
          <cell r="T848">
            <v>147859</v>
          </cell>
          <cell r="U848">
            <v>0</v>
          </cell>
          <cell r="V848">
            <v>147859</v>
          </cell>
          <cell r="W848">
            <v>147859</v>
          </cell>
          <cell r="X848">
            <v>0</v>
          </cell>
        </row>
        <row r="849">
          <cell r="B849">
            <v>514101305082</v>
          </cell>
          <cell r="C849" t="str">
            <v>PJU PRODAMAS RT24 RW5</v>
          </cell>
          <cell r="D849" t="str">
            <v>SINGONEGARAN</v>
          </cell>
          <cell r="E849"/>
          <cell r="F849"/>
          <cell r="G849" t="str">
            <v>P3</v>
          </cell>
          <cell r="H849">
            <v>900</v>
          </cell>
          <cell r="I849" t="str">
            <v>202505</v>
          </cell>
          <cell r="J849" t="str">
            <v>048774</v>
          </cell>
          <cell r="K849">
            <v>131</v>
          </cell>
          <cell r="L849">
            <v>222638</v>
          </cell>
          <cell r="M849">
            <v>0</v>
          </cell>
          <cell r="N849">
            <v>222638</v>
          </cell>
          <cell r="O849">
            <v>0</v>
          </cell>
          <cell r="P849">
            <v>0</v>
          </cell>
          <cell r="Q849">
            <v>0</v>
          </cell>
          <cell r="R849">
            <v>222638</v>
          </cell>
          <cell r="S849">
            <v>0</v>
          </cell>
          <cell r="T849">
            <v>222638</v>
          </cell>
          <cell r="U849">
            <v>0</v>
          </cell>
          <cell r="V849">
            <v>222638</v>
          </cell>
          <cell r="W849">
            <v>222638</v>
          </cell>
          <cell r="X849">
            <v>0</v>
          </cell>
        </row>
        <row r="850">
          <cell r="B850">
            <v>514101305090</v>
          </cell>
          <cell r="C850" t="str">
            <v>PJU PRODAMAS RT29 RW6</v>
          </cell>
          <cell r="D850" t="str">
            <v>SINGONEGARAN</v>
          </cell>
          <cell r="E850"/>
          <cell r="F850"/>
          <cell r="G850" t="str">
            <v>P3</v>
          </cell>
          <cell r="H850">
            <v>900</v>
          </cell>
          <cell r="I850" t="str">
            <v>202505</v>
          </cell>
          <cell r="J850" t="str">
            <v>048731</v>
          </cell>
          <cell r="K850">
            <v>54</v>
          </cell>
          <cell r="L850">
            <v>91775</v>
          </cell>
          <cell r="M850">
            <v>0</v>
          </cell>
          <cell r="N850">
            <v>91775</v>
          </cell>
          <cell r="O850">
            <v>0</v>
          </cell>
          <cell r="P850">
            <v>0</v>
          </cell>
          <cell r="Q850">
            <v>0</v>
          </cell>
          <cell r="R850">
            <v>91775</v>
          </cell>
          <cell r="S850">
            <v>0</v>
          </cell>
          <cell r="T850">
            <v>91775</v>
          </cell>
          <cell r="U850">
            <v>0</v>
          </cell>
          <cell r="V850">
            <v>91775</v>
          </cell>
          <cell r="W850">
            <v>91775</v>
          </cell>
          <cell r="X850">
            <v>0</v>
          </cell>
        </row>
        <row r="851">
          <cell r="B851">
            <v>514101306752</v>
          </cell>
          <cell r="C851" t="str">
            <v>PJU PRODAMAS RT3 RW6</v>
          </cell>
          <cell r="D851" t="str">
            <v>BANGSAL</v>
          </cell>
          <cell r="E851"/>
          <cell r="F851"/>
          <cell r="G851" t="str">
            <v>P3</v>
          </cell>
          <cell r="H851">
            <v>900</v>
          </cell>
          <cell r="I851" t="str">
            <v>202505</v>
          </cell>
          <cell r="J851" t="str">
            <v>029300</v>
          </cell>
          <cell r="K851">
            <v>211</v>
          </cell>
          <cell r="L851">
            <v>358601</v>
          </cell>
          <cell r="M851">
            <v>0</v>
          </cell>
          <cell r="N851">
            <v>358601</v>
          </cell>
          <cell r="O851">
            <v>0</v>
          </cell>
          <cell r="P851">
            <v>0</v>
          </cell>
          <cell r="Q851">
            <v>0</v>
          </cell>
          <cell r="R851">
            <v>358601</v>
          </cell>
          <cell r="S851">
            <v>0</v>
          </cell>
          <cell r="T851">
            <v>358601</v>
          </cell>
          <cell r="U851">
            <v>0</v>
          </cell>
          <cell r="V851">
            <v>358601</v>
          </cell>
          <cell r="W851">
            <v>358601</v>
          </cell>
          <cell r="X851">
            <v>0</v>
          </cell>
        </row>
        <row r="852">
          <cell r="B852">
            <v>514101306760</v>
          </cell>
          <cell r="C852" t="str">
            <v>PJU PRODAMAS RT2 RW1</v>
          </cell>
          <cell r="D852" t="str">
            <v>BANGSAL</v>
          </cell>
          <cell r="E852"/>
          <cell r="F852"/>
          <cell r="G852" t="str">
            <v>P3</v>
          </cell>
          <cell r="H852">
            <v>900</v>
          </cell>
          <cell r="I852" t="str">
            <v>202505</v>
          </cell>
          <cell r="J852" t="str">
            <v>056446</v>
          </cell>
          <cell r="K852">
            <v>79</v>
          </cell>
          <cell r="L852">
            <v>134263</v>
          </cell>
          <cell r="M852">
            <v>0</v>
          </cell>
          <cell r="N852">
            <v>134263</v>
          </cell>
          <cell r="O852">
            <v>0</v>
          </cell>
          <cell r="P852">
            <v>0</v>
          </cell>
          <cell r="Q852">
            <v>0</v>
          </cell>
          <cell r="R852">
            <v>134263</v>
          </cell>
          <cell r="S852">
            <v>0</v>
          </cell>
          <cell r="T852">
            <v>134263</v>
          </cell>
          <cell r="U852">
            <v>0</v>
          </cell>
          <cell r="V852">
            <v>134263</v>
          </cell>
          <cell r="W852">
            <v>134263</v>
          </cell>
          <cell r="X852">
            <v>0</v>
          </cell>
        </row>
        <row r="853">
          <cell r="B853">
            <v>514101306778</v>
          </cell>
          <cell r="C853" t="str">
            <v>PJU PRODAMAS RT3 RW2</v>
          </cell>
          <cell r="D853" t="str">
            <v>BANGSAL</v>
          </cell>
          <cell r="E853"/>
          <cell r="F853"/>
          <cell r="G853" t="str">
            <v>P3</v>
          </cell>
          <cell r="H853">
            <v>900</v>
          </cell>
          <cell r="I853" t="str">
            <v>202505</v>
          </cell>
          <cell r="J853" t="str">
            <v>008671</v>
          </cell>
          <cell r="K853">
            <v>168</v>
          </cell>
          <cell r="L853">
            <v>285521</v>
          </cell>
          <cell r="M853">
            <v>0</v>
          </cell>
          <cell r="N853">
            <v>285521</v>
          </cell>
          <cell r="O853">
            <v>0</v>
          </cell>
          <cell r="P853">
            <v>0</v>
          </cell>
          <cell r="Q853">
            <v>0</v>
          </cell>
          <cell r="R853">
            <v>285521</v>
          </cell>
          <cell r="S853">
            <v>0</v>
          </cell>
          <cell r="T853">
            <v>285521</v>
          </cell>
          <cell r="U853">
            <v>0</v>
          </cell>
          <cell r="V853">
            <v>285521</v>
          </cell>
          <cell r="W853">
            <v>285521</v>
          </cell>
          <cell r="X853">
            <v>0</v>
          </cell>
        </row>
        <row r="854">
          <cell r="B854">
            <v>514101306786</v>
          </cell>
          <cell r="C854" t="str">
            <v>PJU PRODAMAS RT6 RW2</v>
          </cell>
          <cell r="D854" t="str">
            <v>BANGSAL</v>
          </cell>
          <cell r="E854"/>
          <cell r="F854"/>
          <cell r="G854" t="str">
            <v>P3</v>
          </cell>
          <cell r="H854">
            <v>900</v>
          </cell>
          <cell r="I854" t="str">
            <v>202505</v>
          </cell>
          <cell r="J854" t="str">
            <v>027582</v>
          </cell>
          <cell r="K854">
            <v>145</v>
          </cell>
          <cell r="L854">
            <v>246432</v>
          </cell>
          <cell r="M854">
            <v>0</v>
          </cell>
          <cell r="N854">
            <v>246432</v>
          </cell>
          <cell r="O854">
            <v>0</v>
          </cell>
          <cell r="P854">
            <v>0</v>
          </cell>
          <cell r="Q854">
            <v>0</v>
          </cell>
          <cell r="R854">
            <v>246432</v>
          </cell>
          <cell r="S854">
            <v>0</v>
          </cell>
          <cell r="T854">
            <v>246432</v>
          </cell>
          <cell r="U854">
            <v>0</v>
          </cell>
          <cell r="V854">
            <v>246432</v>
          </cell>
          <cell r="W854">
            <v>246432</v>
          </cell>
          <cell r="X854">
            <v>0</v>
          </cell>
        </row>
        <row r="855">
          <cell r="B855">
            <v>514101306807</v>
          </cell>
          <cell r="C855" t="str">
            <v>PJU PRODAMAS RT3 RW5</v>
          </cell>
          <cell r="D855" t="str">
            <v>BANGSAL</v>
          </cell>
          <cell r="E855"/>
          <cell r="F855"/>
          <cell r="G855" t="str">
            <v>P3</v>
          </cell>
          <cell r="H855">
            <v>900</v>
          </cell>
          <cell r="I855" t="str">
            <v>202505</v>
          </cell>
          <cell r="J855" t="str">
            <v>041760</v>
          </cell>
          <cell r="K855">
            <v>210</v>
          </cell>
          <cell r="L855">
            <v>356901</v>
          </cell>
          <cell r="M855">
            <v>0</v>
          </cell>
          <cell r="N855">
            <v>356901</v>
          </cell>
          <cell r="O855">
            <v>0</v>
          </cell>
          <cell r="P855">
            <v>0</v>
          </cell>
          <cell r="Q855">
            <v>0</v>
          </cell>
          <cell r="R855">
            <v>356901</v>
          </cell>
          <cell r="S855">
            <v>0</v>
          </cell>
          <cell r="T855">
            <v>356901</v>
          </cell>
          <cell r="U855">
            <v>0</v>
          </cell>
          <cell r="V855">
            <v>356901</v>
          </cell>
          <cell r="W855">
            <v>356901</v>
          </cell>
          <cell r="X855">
            <v>0</v>
          </cell>
        </row>
        <row r="856">
          <cell r="B856">
            <v>514101306815</v>
          </cell>
          <cell r="C856" t="str">
            <v>PJU PRODAMAS RT5 RW1</v>
          </cell>
          <cell r="D856" t="str">
            <v>BANGSAL</v>
          </cell>
          <cell r="E856"/>
          <cell r="F856"/>
          <cell r="G856" t="str">
            <v>P3</v>
          </cell>
          <cell r="H856">
            <v>900</v>
          </cell>
          <cell r="I856" t="str">
            <v>202505</v>
          </cell>
          <cell r="J856" t="str">
            <v>036109</v>
          </cell>
          <cell r="K856">
            <v>163</v>
          </cell>
          <cell r="L856">
            <v>277023</v>
          </cell>
          <cell r="M856">
            <v>0</v>
          </cell>
          <cell r="N856">
            <v>277023</v>
          </cell>
          <cell r="O856">
            <v>0</v>
          </cell>
          <cell r="P856">
            <v>0</v>
          </cell>
          <cell r="Q856">
            <v>0</v>
          </cell>
          <cell r="R856">
            <v>277023</v>
          </cell>
          <cell r="S856">
            <v>0</v>
          </cell>
          <cell r="T856">
            <v>277023</v>
          </cell>
          <cell r="U856">
            <v>0</v>
          </cell>
          <cell r="V856">
            <v>277023</v>
          </cell>
          <cell r="W856">
            <v>277023</v>
          </cell>
          <cell r="X856">
            <v>0</v>
          </cell>
        </row>
        <row r="857">
          <cell r="B857">
            <v>514101306823</v>
          </cell>
          <cell r="C857" t="str">
            <v>PJU PRODAMAS RT7 RW1</v>
          </cell>
          <cell r="D857" t="str">
            <v>BANGSAL</v>
          </cell>
          <cell r="E857"/>
          <cell r="F857"/>
          <cell r="G857" t="str">
            <v>P3</v>
          </cell>
          <cell r="H857">
            <v>900</v>
          </cell>
          <cell r="I857" t="str">
            <v>202505</v>
          </cell>
          <cell r="J857" t="str">
            <v>057193</v>
          </cell>
          <cell r="K857">
            <v>215</v>
          </cell>
          <cell r="L857">
            <v>365399</v>
          </cell>
          <cell r="M857">
            <v>0</v>
          </cell>
          <cell r="N857">
            <v>365399</v>
          </cell>
          <cell r="O857">
            <v>0</v>
          </cell>
          <cell r="P857">
            <v>0</v>
          </cell>
          <cell r="Q857">
            <v>0</v>
          </cell>
          <cell r="R857">
            <v>365399</v>
          </cell>
          <cell r="S857">
            <v>0</v>
          </cell>
          <cell r="T857">
            <v>365399</v>
          </cell>
          <cell r="U857">
            <v>0</v>
          </cell>
          <cell r="V857">
            <v>365399</v>
          </cell>
          <cell r="W857">
            <v>365399</v>
          </cell>
          <cell r="X857">
            <v>0</v>
          </cell>
        </row>
        <row r="858">
          <cell r="B858">
            <v>514101306831</v>
          </cell>
          <cell r="C858" t="str">
            <v>PJU PRODAMAS RT6 RW4</v>
          </cell>
          <cell r="D858" t="str">
            <v>BANGSAL</v>
          </cell>
          <cell r="E858"/>
          <cell r="F858"/>
          <cell r="G858" t="str">
            <v>P3</v>
          </cell>
          <cell r="H858">
            <v>1300</v>
          </cell>
          <cell r="I858" t="str">
            <v>202505</v>
          </cell>
          <cell r="J858" t="str">
            <v>033094</v>
          </cell>
          <cell r="K858">
            <v>203</v>
          </cell>
          <cell r="L858">
            <v>345005</v>
          </cell>
          <cell r="M858">
            <v>0</v>
          </cell>
          <cell r="N858">
            <v>345005</v>
          </cell>
          <cell r="O858">
            <v>0</v>
          </cell>
          <cell r="P858">
            <v>0</v>
          </cell>
          <cell r="Q858">
            <v>0</v>
          </cell>
          <cell r="R858">
            <v>345005</v>
          </cell>
          <cell r="S858">
            <v>0</v>
          </cell>
          <cell r="T858">
            <v>345005</v>
          </cell>
          <cell r="U858">
            <v>0</v>
          </cell>
          <cell r="V858">
            <v>345005</v>
          </cell>
          <cell r="W858">
            <v>345005</v>
          </cell>
          <cell r="X858">
            <v>0</v>
          </cell>
        </row>
        <row r="859">
          <cell r="B859">
            <v>514101306849</v>
          </cell>
          <cell r="C859" t="str">
            <v>PJU PRODAMAS RT1 RW4</v>
          </cell>
          <cell r="D859" t="str">
            <v>BANGSAL</v>
          </cell>
          <cell r="E859"/>
          <cell r="F859"/>
          <cell r="G859" t="str">
            <v>P3</v>
          </cell>
          <cell r="H859">
            <v>900</v>
          </cell>
          <cell r="I859" t="str">
            <v>202505</v>
          </cell>
          <cell r="J859" t="str">
            <v>038116</v>
          </cell>
          <cell r="K859">
            <v>87</v>
          </cell>
          <cell r="L859">
            <v>147859</v>
          </cell>
          <cell r="M859">
            <v>0</v>
          </cell>
          <cell r="N859">
            <v>147859</v>
          </cell>
          <cell r="O859">
            <v>0</v>
          </cell>
          <cell r="P859">
            <v>0</v>
          </cell>
          <cell r="Q859">
            <v>0</v>
          </cell>
          <cell r="R859">
            <v>147859</v>
          </cell>
          <cell r="S859">
            <v>0</v>
          </cell>
          <cell r="T859">
            <v>147859</v>
          </cell>
          <cell r="U859">
            <v>0</v>
          </cell>
          <cell r="V859">
            <v>147859</v>
          </cell>
          <cell r="W859">
            <v>147859</v>
          </cell>
          <cell r="X859">
            <v>0</v>
          </cell>
        </row>
        <row r="860">
          <cell r="B860">
            <v>514101306856</v>
          </cell>
          <cell r="C860" t="str">
            <v>PJU PRODAMAS RT3 RW1</v>
          </cell>
          <cell r="D860" t="str">
            <v>BANGSAL</v>
          </cell>
          <cell r="E860"/>
          <cell r="F860"/>
          <cell r="G860" t="str">
            <v>P3</v>
          </cell>
          <cell r="H860">
            <v>900</v>
          </cell>
          <cell r="I860" t="str">
            <v>202505</v>
          </cell>
          <cell r="J860" t="str">
            <v>043019</v>
          </cell>
          <cell r="K860">
            <v>91</v>
          </cell>
          <cell r="L860">
            <v>154657</v>
          </cell>
          <cell r="M860">
            <v>0</v>
          </cell>
          <cell r="N860">
            <v>154657</v>
          </cell>
          <cell r="O860">
            <v>0</v>
          </cell>
          <cell r="P860">
            <v>0</v>
          </cell>
          <cell r="Q860">
            <v>0</v>
          </cell>
          <cell r="R860">
            <v>154657</v>
          </cell>
          <cell r="S860">
            <v>0</v>
          </cell>
          <cell r="T860">
            <v>154657</v>
          </cell>
          <cell r="U860">
            <v>0</v>
          </cell>
          <cell r="V860">
            <v>154657</v>
          </cell>
          <cell r="W860">
            <v>154657</v>
          </cell>
          <cell r="X860">
            <v>0</v>
          </cell>
        </row>
        <row r="861">
          <cell r="B861">
            <v>514101306864</v>
          </cell>
          <cell r="C861" t="str">
            <v>PJU PRODAMAS RT7 RW2</v>
          </cell>
          <cell r="D861" t="str">
            <v>BANGSAL</v>
          </cell>
          <cell r="E861"/>
          <cell r="F861"/>
          <cell r="G861" t="str">
            <v>P3</v>
          </cell>
          <cell r="H861">
            <v>1300</v>
          </cell>
          <cell r="I861" t="str">
            <v>202505</v>
          </cell>
          <cell r="J861" t="str">
            <v>039892</v>
          </cell>
          <cell r="K861">
            <v>199</v>
          </cell>
          <cell r="L861">
            <v>338206</v>
          </cell>
          <cell r="M861">
            <v>0</v>
          </cell>
          <cell r="N861">
            <v>338206</v>
          </cell>
          <cell r="O861">
            <v>0</v>
          </cell>
          <cell r="P861">
            <v>0</v>
          </cell>
          <cell r="Q861">
            <v>0</v>
          </cell>
          <cell r="R861">
            <v>338206</v>
          </cell>
          <cell r="S861">
            <v>0</v>
          </cell>
          <cell r="T861">
            <v>338206</v>
          </cell>
          <cell r="U861">
            <v>0</v>
          </cell>
          <cell r="V861">
            <v>338206</v>
          </cell>
          <cell r="W861">
            <v>338206</v>
          </cell>
          <cell r="X861">
            <v>0</v>
          </cell>
        </row>
        <row r="862">
          <cell r="B862">
            <v>514101309853</v>
          </cell>
          <cell r="C862" t="str">
            <v>PJU PRODAMAS</v>
          </cell>
          <cell r="D862" t="str">
            <v>TEMPUREJO</v>
          </cell>
          <cell r="E862"/>
          <cell r="F862"/>
          <cell r="G862" t="str">
            <v>P3</v>
          </cell>
          <cell r="H862">
            <v>900</v>
          </cell>
          <cell r="I862" t="str">
            <v>202505</v>
          </cell>
          <cell r="J862" t="str">
            <v>048558</v>
          </cell>
          <cell r="K862">
            <v>74</v>
          </cell>
          <cell r="L862">
            <v>125765</v>
          </cell>
          <cell r="M862">
            <v>0</v>
          </cell>
          <cell r="N862">
            <v>125765</v>
          </cell>
          <cell r="O862">
            <v>0</v>
          </cell>
          <cell r="P862">
            <v>0</v>
          </cell>
          <cell r="Q862">
            <v>0</v>
          </cell>
          <cell r="R862">
            <v>125765</v>
          </cell>
          <cell r="S862">
            <v>0</v>
          </cell>
          <cell r="T862">
            <v>125765</v>
          </cell>
          <cell r="U862">
            <v>0</v>
          </cell>
          <cell r="V862">
            <v>125765</v>
          </cell>
          <cell r="W862">
            <v>125765</v>
          </cell>
          <cell r="X862">
            <v>0</v>
          </cell>
        </row>
        <row r="863">
          <cell r="B863">
            <v>514101311009</v>
          </cell>
          <cell r="C863" t="str">
            <v>PJU PRODAMAS RT1 RW9</v>
          </cell>
          <cell r="D863" t="str">
            <v>NGRONGGO KEL NGRONGGO</v>
          </cell>
          <cell r="E863"/>
          <cell r="F863"/>
          <cell r="G863" t="str">
            <v>P3</v>
          </cell>
          <cell r="H863">
            <v>900</v>
          </cell>
          <cell r="I863" t="str">
            <v>202505</v>
          </cell>
          <cell r="J863" t="str">
            <v>048699</v>
          </cell>
          <cell r="K863">
            <v>200</v>
          </cell>
          <cell r="L863">
            <v>339906</v>
          </cell>
          <cell r="M863">
            <v>0</v>
          </cell>
          <cell r="N863">
            <v>339906</v>
          </cell>
          <cell r="O863">
            <v>0</v>
          </cell>
          <cell r="P863">
            <v>0</v>
          </cell>
          <cell r="Q863">
            <v>0</v>
          </cell>
          <cell r="R863">
            <v>339906</v>
          </cell>
          <cell r="S863">
            <v>0</v>
          </cell>
          <cell r="T863">
            <v>339906</v>
          </cell>
          <cell r="U863">
            <v>0</v>
          </cell>
          <cell r="V863">
            <v>339906</v>
          </cell>
          <cell r="W863">
            <v>339906</v>
          </cell>
          <cell r="X863">
            <v>0</v>
          </cell>
        </row>
        <row r="864">
          <cell r="B864">
            <v>514101326502</v>
          </cell>
          <cell r="C864" t="str">
            <v>PJU RT18 RW3 PESANTREN</v>
          </cell>
          <cell r="D864" t="str">
            <v>PESANTREN</v>
          </cell>
          <cell r="E864"/>
          <cell r="F864"/>
          <cell r="G864" t="str">
            <v>P3</v>
          </cell>
          <cell r="H864">
            <v>900</v>
          </cell>
          <cell r="I864" t="str">
            <v>202505</v>
          </cell>
          <cell r="J864" t="str">
            <v>013914</v>
          </cell>
          <cell r="K864">
            <v>220</v>
          </cell>
          <cell r="L864">
            <v>373897</v>
          </cell>
          <cell r="M864">
            <v>0</v>
          </cell>
          <cell r="N864">
            <v>373897</v>
          </cell>
          <cell r="O864">
            <v>0</v>
          </cell>
          <cell r="P864">
            <v>0</v>
          </cell>
          <cell r="Q864">
            <v>0</v>
          </cell>
          <cell r="R864">
            <v>373897</v>
          </cell>
          <cell r="S864">
            <v>0</v>
          </cell>
          <cell r="T864">
            <v>373897</v>
          </cell>
          <cell r="U864">
            <v>0</v>
          </cell>
          <cell r="V864">
            <v>373897</v>
          </cell>
          <cell r="W864">
            <v>373897</v>
          </cell>
          <cell r="X864">
            <v>0</v>
          </cell>
        </row>
        <row r="865">
          <cell r="B865">
            <v>514101326510</v>
          </cell>
          <cell r="C865" t="str">
            <v>PJU RT37 RW7 PESANTREN</v>
          </cell>
          <cell r="D865" t="str">
            <v>PESANTREN</v>
          </cell>
          <cell r="E865"/>
          <cell r="F865"/>
          <cell r="G865" t="str">
            <v>P3</v>
          </cell>
          <cell r="H865">
            <v>900</v>
          </cell>
          <cell r="I865" t="str">
            <v>202505</v>
          </cell>
          <cell r="J865" t="str">
            <v>013167</v>
          </cell>
          <cell r="K865">
            <v>313</v>
          </cell>
          <cell r="L865">
            <v>531953</v>
          </cell>
          <cell r="M865">
            <v>0</v>
          </cell>
          <cell r="N865">
            <v>531953</v>
          </cell>
          <cell r="O865">
            <v>0</v>
          </cell>
          <cell r="P865">
            <v>0</v>
          </cell>
          <cell r="Q865">
            <v>0</v>
          </cell>
          <cell r="R865">
            <v>531953</v>
          </cell>
          <cell r="S865">
            <v>0</v>
          </cell>
          <cell r="T865">
            <v>531953</v>
          </cell>
          <cell r="U865">
            <v>0</v>
          </cell>
          <cell r="V865">
            <v>531953</v>
          </cell>
          <cell r="W865">
            <v>531953</v>
          </cell>
          <cell r="X865">
            <v>0</v>
          </cell>
        </row>
        <row r="866">
          <cell r="B866">
            <v>514101326528</v>
          </cell>
          <cell r="C866" t="str">
            <v>PJU RT15 RW3 PESANTREN</v>
          </cell>
          <cell r="D866" t="str">
            <v>PESANTREN</v>
          </cell>
          <cell r="E866"/>
          <cell r="F866"/>
          <cell r="G866" t="str">
            <v>P3</v>
          </cell>
          <cell r="H866">
            <v>900</v>
          </cell>
          <cell r="I866" t="str">
            <v>202505</v>
          </cell>
          <cell r="J866" t="str">
            <v>002515</v>
          </cell>
          <cell r="K866">
            <v>195</v>
          </cell>
          <cell r="L866">
            <v>331408</v>
          </cell>
          <cell r="M866">
            <v>0</v>
          </cell>
          <cell r="N866">
            <v>331408</v>
          </cell>
          <cell r="O866">
            <v>0</v>
          </cell>
          <cell r="P866">
            <v>0</v>
          </cell>
          <cell r="Q866">
            <v>0</v>
          </cell>
          <cell r="R866">
            <v>331408</v>
          </cell>
          <cell r="S866">
            <v>0</v>
          </cell>
          <cell r="T866">
            <v>331408</v>
          </cell>
          <cell r="U866">
            <v>0</v>
          </cell>
          <cell r="V866">
            <v>331408</v>
          </cell>
          <cell r="W866">
            <v>331408</v>
          </cell>
          <cell r="X866">
            <v>0</v>
          </cell>
        </row>
        <row r="867">
          <cell r="B867">
            <v>514101326536</v>
          </cell>
          <cell r="C867" t="str">
            <v>PJU RT24 RW4 PESANTREN</v>
          </cell>
          <cell r="D867" t="str">
            <v>PESANTREN</v>
          </cell>
          <cell r="E867"/>
          <cell r="F867"/>
          <cell r="G867" t="str">
            <v>P3</v>
          </cell>
          <cell r="H867">
            <v>900</v>
          </cell>
          <cell r="I867" t="str">
            <v>202505</v>
          </cell>
          <cell r="J867" t="str">
            <v>016237</v>
          </cell>
          <cell r="K867">
            <v>133</v>
          </cell>
          <cell r="L867">
            <v>226037</v>
          </cell>
          <cell r="M867">
            <v>0</v>
          </cell>
          <cell r="N867">
            <v>226037</v>
          </cell>
          <cell r="O867">
            <v>0</v>
          </cell>
          <cell r="P867">
            <v>0</v>
          </cell>
          <cell r="Q867">
            <v>0</v>
          </cell>
          <cell r="R867">
            <v>226037</v>
          </cell>
          <cell r="S867">
            <v>0</v>
          </cell>
          <cell r="T867">
            <v>226037</v>
          </cell>
          <cell r="U867">
            <v>0</v>
          </cell>
          <cell r="V867">
            <v>226037</v>
          </cell>
          <cell r="W867">
            <v>226037</v>
          </cell>
          <cell r="X867">
            <v>0</v>
          </cell>
        </row>
        <row r="868">
          <cell r="B868">
            <v>514101326544</v>
          </cell>
          <cell r="C868" t="str">
            <v>PJU RT11 RW2 PESANTREN</v>
          </cell>
          <cell r="D868" t="str">
            <v>PESANTREN</v>
          </cell>
          <cell r="E868"/>
          <cell r="F868"/>
          <cell r="G868" t="str">
            <v>P3</v>
          </cell>
          <cell r="H868">
            <v>900</v>
          </cell>
          <cell r="I868" t="str">
            <v>202505</v>
          </cell>
          <cell r="J868" t="str">
            <v>048504</v>
          </cell>
          <cell r="K868">
            <v>154</v>
          </cell>
          <cell r="L868">
            <v>261728</v>
          </cell>
          <cell r="M868">
            <v>0</v>
          </cell>
          <cell r="N868">
            <v>261728</v>
          </cell>
          <cell r="O868">
            <v>0</v>
          </cell>
          <cell r="P868">
            <v>0</v>
          </cell>
          <cell r="Q868">
            <v>0</v>
          </cell>
          <cell r="R868">
            <v>261728</v>
          </cell>
          <cell r="S868">
            <v>0</v>
          </cell>
          <cell r="T868">
            <v>261728</v>
          </cell>
          <cell r="U868">
            <v>0</v>
          </cell>
          <cell r="V868">
            <v>261728</v>
          </cell>
          <cell r="W868">
            <v>261728</v>
          </cell>
          <cell r="X868">
            <v>0</v>
          </cell>
        </row>
        <row r="869">
          <cell r="B869">
            <v>514101326918</v>
          </cell>
          <cell r="C869" t="str">
            <v>PJU RT2 RW1 SETONOGEDONG</v>
          </cell>
          <cell r="D869" t="str">
            <v>SETONOGEDONG</v>
          </cell>
          <cell r="E869"/>
          <cell r="F869"/>
          <cell r="G869" t="str">
            <v>P3</v>
          </cell>
          <cell r="H869">
            <v>900</v>
          </cell>
          <cell r="I869" t="str">
            <v>202505</v>
          </cell>
          <cell r="J869" t="str">
            <v>006483</v>
          </cell>
          <cell r="K869">
            <v>177</v>
          </cell>
          <cell r="L869">
            <v>300817</v>
          </cell>
          <cell r="M869">
            <v>0</v>
          </cell>
          <cell r="N869">
            <v>300817</v>
          </cell>
          <cell r="O869">
            <v>0</v>
          </cell>
          <cell r="P869">
            <v>0</v>
          </cell>
          <cell r="Q869">
            <v>0</v>
          </cell>
          <cell r="R869">
            <v>300817</v>
          </cell>
          <cell r="S869">
            <v>0</v>
          </cell>
          <cell r="T869">
            <v>300817</v>
          </cell>
          <cell r="U869">
            <v>0</v>
          </cell>
          <cell r="V869">
            <v>300817</v>
          </cell>
          <cell r="W869">
            <v>300817</v>
          </cell>
          <cell r="X869">
            <v>0</v>
          </cell>
        </row>
        <row r="870">
          <cell r="B870">
            <v>514101326926</v>
          </cell>
          <cell r="C870" t="str">
            <v>PJU RT3 RW1 SETONOGEDONG</v>
          </cell>
          <cell r="D870" t="str">
            <v>SETONOGEDONG</v>
          </cell>
          <cell r="E870"/>
          <cell r="F870"/>
          <cell r="G870" t="str">
            <v>P3</v>
          </cell>
          <cell r="H870">
            <v>900</v>
          </cell>
          <cell r="I870" t="str">
            <v>202505</v>
          </cell>
          <cell r="J870" t="str">
            <v>001942</v>
          </cell>
          <cell r="K870">
            <v>626</v>
          </cell>
          <cell r="L870">
            <v>1063906</v>
          </cell>
          <cell r="M870">
            <v>0</v>
          </cell>
          <cell r="N870">
            <v>1063906</v>
          </cell>
          <cell r="O870">
            <v>0</v>
          </cell>
          <cell r="P870">
            <v>0</v>
          </cell>
          <cell r="Q870">
            <v>0</v>
          </cell>
          <cell r="R870">
            <v>1063906</v>
          </cell>
          <cell r="S870">
            <v>0</v>
          </cell>
          <cell r="T870">
            <v>1063906</v>
          </cell>
          <cell r="U870">
            <v>0</v>
          </cell>
          <cell r="V870">
            <v>1063906</v>
          </cell>
          <cell r="W870">
            <v>1063906</v>
          </cell>
          <cell r="X870">
            <v>0</v>
          </cell>
        </row>
        <row r="871">
          <cell r="B871">
            <v>514101326934</v>
          </cell>
          <cell r="C871" t="str">
            <v>PJU RT1 RW1 SETONOGEDONG</v>
          </cell>
          <cell r="D871" t="str">
            <v>SETONOGEDONG</v>
          </cell>
          <cell r="E871"/>
          <cell r="F871"/>
          <cell r="G871" t="str">
            <v>P3</v>
          </cell>
          <cell r="H871">
            <v>900</v>
          </cell>
          <cell r="I871" t="str">
            <v>202505</v>
          </cell>
          <cell r="J871" t="str">
            <v>024091</v>
          </cell>
          <cell r="K871">
            <v>101</v>
          </cell>
          <cell r="L871">
            <v>171653</v>
          </cell>
          <cell r="M871">
            <v>0</v>
          </cell>
          <cell r="N871">
            <v>171653</v>
          </cell>
          <cell r="O871">
            <v>0</v>
          </cell>
          <cell r="P871">
            <v>0</v>
          </cell>
          <cell r="Q871">
            <v>0</v>
          </cell>
          <cell r="R871">
            <v>171653</v>
          </cell>
          <cell r="S871">
            <v>0</v>
          </cell>
          <cell r="T871">
            <v>171653</v>
          </cell>
          <cell r="U871">
            <v>0</v>
          </cell>
          <cell r="V871">
            <v>171653</v>
          </cell>
          <cell r="W871">
            <v>171653</v>
          </cell>
          <cell r="X871">
            <v>0</v>
          </cell>
        </row>
        <row r="872">
          <cell r="B872">
            <v>514101329300</v>
          </cell>
          <cell r="C872" t="str">
            <v>PJU RT 13 RW 03</v>
          </cell>
          <cell r="D872" t="str">
            <v>SINGONEGARAN</v>
          </cell>
          <cell r="E872"/>
          <cell r="F872"/>
          <cell r="G872" t="str">
            <v>P3</v>
          </cell>
          <cell r="H872">
            <v>900</v>
          </cell>
          <cell r="I872" t="str">
            <v>202505</v>
          </cell>
          <cell r="J872" t="str">
            <v>005282</v>
          </cell>
          <cell r="K872">
            <v>175</v>
          </cell>
          <cell r="L872">
            <v>297418</v>
          </cell>
          <cell r="M872">
            <v>0</v>
          </cell>
          <cell r="N872">
            <v>297418</v>
          </cell>
          <cell r="O872">
            <v>0</v>
          </cell>
          <cell r="P872">
            <v>0</v>
          </cell>
          <cell r="Q872">
            <v>0</v>
          </cell>
          <cell r="R872">
            <v>297418</v>
          </cell>
          <cell r="S872">
            <v>0</v>
          </cell>
          <cell r="T872">
            <v>297418</v>
          </cell>
          <cell r="U872">
            <v>0</v>
          </cell>
          <cell r="V872">
            <v>297418</v>
          </cell>
          <cell r="W872">
            <v>297418</v>
          </cell>
          <cell r="X872">
            <v>0</v>
          </cell>
        </row>
        <row r="873">
          <cell r="B873">
            <v>514101330012</v>
          </cell>
          <cell r="C873" t="str">
            <v>PJU PRODAMAS RT4 RW1</v>
          </cell>
          <cell r="D873" t="str">
            <v>BANGSAL</v>
          </cell>
          <cell r="E873"/>
          <cell r="F873"/>
          <cell r="G873" t="str">
            <v>P3</v>
          </cell>
          <cell r="H873">
            <v>900</v>
          </cell>
          <cell r="I873" t="str">
            <v>202505</v>
          </cell>
          <cell r="J873" t="str">
            <v>001194</v>
          </cell>
          <cell r="K873">
            <v>116</v>
          </cell>
          <cell r="L873">
            <v>197145</v>
          </cell>
          <cell r="M873">
            <v>0</v>
          </cell>
          <cell r="N873">
            <v>197145</v>
          </cell>
          <cell r="O873">
            <v>0</v>
          </cell>
          <cell r="P873">
            <v>0</v>
          </cell>
          <cell r="Q873">
            <v>0</v>
          </cell>
          <cell r="R873">
            <v>197145</v>
          </cell>
          <cell r="S873">
            <v>0</v>
          </cell>
          <cell r="T873">
            <v>197145</v>
          </cell>
          <cell r="U873">
            <v>0</v>
          </cell>
          <cell r="V873">
            <v>197145</v>
          </cell>
          <cell r="W873">
            <v>197145</v>
          </cell>
          <cell r="X873">
            <v>0</v>
          </cell>
        </row>
        <row r="874">
          <cell r="B874">
            <v>514101330286</v>
          </cell>
          <cell r="C874" t="str">
            <v>PJU PRODAMAS</v>
          </cell>
          <cell r="D874" t="str">
            <v>RINGINANOM RT4 RW1</v>
          </cell>
          <cell r="E874"/>
          <cell r="F874"/>
          <cell r="G874" t="str">
            <v>P3</v>
          </cell>
          <cell r="H874">
            <v>900</v>
          </cell>
          <cell r="I874" t="str">
            <v>202505</v>
          </cell>
          <cell r="J874" t="str">
            <v>020221</v>
          </cell>
          <cell r="K874">
            <v>36</v>
          </cell>
          <cell r="L874">
            <v>61183</v>
          </cell>
          <cell r="M874">
            <v>0</v>
          </cell>
          <cell r="N874">
            <v>61183</v>
          </cell>
          <cell r="O874">
            <v>0</v>
          </cell>
          <cell r="P874">
            <v>0</v>
          </cell>
          <cell r="Q874">
            <v>0</v>
          </cell>
          <cell r="R874">
            <v>61183</v>
          </cell>
          <cell r="S874">
            <v>0</v>
          </cell>
          <cell r="T874">
            <v>61183</v>
          </cell>
          <cell r="U874">
            <v>0</v>
          </cell>
          <cell r="V874">
            <v>61183</v>
          </cell>
          <cell r="W874">
            <v>61183</v>
          </cell>
          <cell r="X874">
            <v>0</v>
          </cell>
        </row>
        <row r="875">
          <cell r="B875">
            <v>514101330692</v>
          </cell>
          <cell r="C875" t="str">
            <v>PRODAMAS RT17 RW8</v>
          </cell>
          <cell r="D875" t="str">
            <v>MELATI VIII NGRONGGO</v>
          </cell>
          <cell r="E875"/>
          <cell r="F875"/>
          <cell r="G875" t="str">
            <v>P3</v>
          </cell>
          <cell r="H875">
            <v>900</v>
          </cell>
          <cell r="I875" t="str">
            <v>202505</v>
          </cell>
          <cell r="J875" t="str">
            <v>006589</v>
          </cell>
          <cell r="K875">
            <v>113</v>
          </cell>
          <cell r="L875">
            <v>192047</v>
          </cell>
          <cell r="M875">
            <v>0</v>
          </cell>
          <cell r="N875">
            <v>192047</v>
          </cell>
          <cell r="O875">
            <v>0</v>
          </cell>
          <cell r="P875">
            <v>0</v>
          </cell>
          <cell r="Q875">
            <v>0</v>
          </cell>
          <cell r="R875">
            <v>192047</v>
          </cell>
          <cell r="S875">
            <v>0</v>
          </cell>
          <cell r="T875">
            <v>192047</v>
          </cell>
          <cell r="U875">
            <v>0</v>
          </cell>
          <cell r="V875">
            <v>192047</v>
          </cell>
          <cell r="W875">
            <v>192047</v>
          </cell>
          <cell r="X875">
            <v>0</v>
          </cell>
        </row>
        <row r="876">
          <cell r="B876">
            <v>514101330706</v>
          </cell>
          <cell r="C876" t="str">
            <v>PRODAMAS RT5 RW8</v>
          </cell>
          <cell r="D876" t="str">
            <v>KENONGO RAYA NGRONGGO</v>
          </cell>
          <cell r="E876"/>
          <cell r="F876"/>
          <cell r="G876" t="str">
            <v>P3</v>
          </cell>
          <cell r="H876">
            <v>900</v>
          </cell>
          <cell r="I876" t="str">
            <v>202505</v>
          </cell>
          <cell r="J876" t="str">
            <v>048616</v>
          </cell>
          <cell r="K876">
            <v>109</v>
          </cell>
          <cell r="L876">
            <v>185249</v>
          </cell>
          <cell r="M876">
            <v>0</v>
          </cell>
          <cell r="N876">
            <v>185249</v>
          </cell>
          <cell r="O876">
            <v>0</v>
          </cell>
          <cell r="P876">
            <v>0</v>
          </cell>
          <cell r="Q876">
            <v>0</v>
          </cell>
          <cell r="R876">
            <v>185249</v>
          </cell>
          <cell r="S876">
            <v>0</v>
          </cell>
          <cell r="T876">
            <v>185249</v>
          </cell>
          <cell r="U876">
            <v>0</v>
          </cell>
          <cell r="V876">
            <v>185249</v>
          </cell>
          <cell r="W876">
            <v>185249</v>
          </cell>
          <cell r="X876">
            <v>0</v>
          </cell>
        </row>
        <row r="877">
          <cell r="B877">
            <v>514101332407</v>
          </cell>
          <cell r="C877" t="str">
            <v>PJU PRODAMAS RT2 RW3</v>
          </cell>
          <cell r="D877" t="str">
            <v>KAMPUNG DALEM</v>
          </cell>
          <cell r="E877"/>
          <cell r="F877"/>
          <cell r="G877" t="str">
            <v>P3</v>
          </cell>
          <cell r="H877">
            <v>900</v>
          </cell>
          <cell r="I877" t="str">
            <v>202505</v>
          </cell>
          <cell r="J877" t="str">
            <v>015797</v>
          </cell>
          <cell r="K877">
            <v>36</v>
          </cell>
          <cell r="L877">
            <v>61183</v>
          </cell>
          <cell r="M877">
            <v>0</v>
          </cell>
          <cell r="N877">
            <v>61183</v>
          </cell>
          <cell r="O877">
            <v>0</v>
          </cell>
          <cell r="P877">
            <v>0</v>
          </cell>
          <cell r="Q877">
            <v>0</v>
          </cell>
          <cell r="R877">
            <v>61183</v>
          </cell>
          <cell r="S877">
            <v>0</v>
          </cell>
          <cell r="T877">
            <v>61183</v>
          </cell>
          <cell r="U877">
            <v>0</v>
          </cell>
          <cell r="V877">
            <v>61183</v>
          </cell>
          <cell r="W877">
            <v>61183</v>
          </cell>
          <cell r="X877">
            <v>0</v>
          </cell>
        </row>
        <row r="878">
          <cell r="B878">
            <v>514101333001</v>
          </cell>
          <cell r="C878" t="str">
            <v>PJU RT22 RW4 KL PESANTREN</v>
          </cell>
          <cell r="D878" t="str">
            <v>PESANTREN</v>
          </cell>
          <cell r="E878"/>
          <cell r="F878"/>
          <cell r="G878" t="str">
            <v>P3</v>
          </cell>
          <cell r="H878">
            <v>900</v>
          </cell>
          <cell r="I878" t="str">
            <v>202505</v>
          </cell>
          <cell r="J878" t="str">
            <v>005656</v>
          </cell>
          <cell r="K878">
            <v>231</v>
          </cell>
          <cell r="L878">
            <v>392591</v>
          </cell>
          <cell r="M878">
            <v>0</v>
          </cell>
          <cell r="N878">
            <v>392591</v>
          </cell>
          <cell r="O878">
            <v>0</v>
          </cell>
          <cell r="P878">
            <v>0</v>
          </cell>
          <cell r="Q878">
            <v>0</v>
          </cell>
          <cell r="R878">
            <v>392591</v>
          </cell>
          <cell r="S878">
            <v>0</v>
          </cell>
          <cell r="T878">
            <v>392591</v>
          </cell>
          <cell r="U878">
            <v>0</v>
          </cell>
          <cell r="V878">
            <v>392591</v>
          </cell>
          <cell r="W878">
            <v>392591</v>
          </cell>
          <cell r="X878">
            <v>0</v>
          </cell>
        </row>
        <row r="879">
          <cell r="B879">
            <v>514101333019</v>
          </cell>
          <cell r="C879" t="str">
            <v>PJU RT20 RW3 KL PESANTREN</v>
          </cell>
          <cell r="D879" t="str">
            <v>PESANTREN</v>
          </cell>
          <cell r="E879"/>
          <cell r="F879"/>
          <cell r="G879" t="str">
            <v>P3</v>
          </cell>
          <cell r="H879">
            <v>900</v>
          </cell>
          <cell r="I879" t="str">
            <v>202505</v>
          </cell>
          <cell r="J879" t="str">
            <v>021647</v>
          </cell>
          <cell r="K879">
            <v>220</v>
          </cell>
          <cell r="L879">
            <v>373897</v>
          </cell>
          <cell r="M879">
            <v>0</v>
          </cell>
          <cell r="N879">
            <v>373897</v>
          </cell>
          <cell r="O879">
            <v>0</v>
          </cell>
          <cell r="P879">
            <v>0</v>
          </cell>
          <cell r="Q879">
            <v>0</v>
          </cell>
          <cell r="R879">
            <v>373897</v>
          </cell>
          <cell r="S879">
            <v>0</v>
          </cell>
          <cell r="T879">
            <v>373897</v>
          </cell>
          <cell r="U879">
            <v>0</v>
          </cell>
          <cell r="V879">
            <v>373897</v>
          </cell>
          <cell r="W879">
            <v>373897</v>
          </cell>
          <cell r="X879">
            <v>0</v>
          </cell>
        </row>
        <row r="880">
          <cell r="B880">
            <v>514101333729</v>
          </cell>
          <cell r="C880" t="str">
            <v>PJU RT8 RW2</v>
          </cell>
          <cell r="D880" t="str">
            <v>JAMSAREN RT8 RW2 PESANTREN</v>
          </cell>
          <cell r="E880"/>
          <cell r="F880"/>
          <cell r="G880" t="str">
            <v>P3</v>
          </cell>
          <cell r="H880">
            <v>900</v>
          </cell>
          <cell r="I880" t="str">
            <v>202505</v>
          </cell>
          <cell r="J880" t="str">
            <v>022204</v>
          </cell>
          <cell r="K880">
            <v>62</v>
          </cell>
          <cell r="L880">
            <v>105371</v>
          </cell>
          <cell r="M880">
            <v>0</v>
          </cell>
          <cell r="N880">
            <v>105371</v>
          </cell>
          <cell r="O880">
            <v>0</v>
          </cell>
          <cell r="P880">
            <v>0</v>
          </cell>
          <cell r="Q880">
            <v>0</v>
          </cell>
          <cell r="R880">
            <v>105371</v>
          </cell>
          <cell r="S880">
            <v>0</v>
          </cell>
          <cell r="T880">
            <v>105371</v>
          </cell>
          <cell r="U880">
            <v>0</v>
          </cell>
          <cell r="V880">
            <v>105371</v>
          </cell>
          <cell r="W880">
            <v>105371</v>
          </cell>
          <cell r="X880">
            <v>0</v>
          </cell>
        </row>
        <row r="881">
          <cell r="B881">
            <v>514101333737</v>
          </cell>
          <cell r="C881" t="str">
            <v>PJU RT5 RW1</v>
          </cell>
          <cell r="D881" t="str">
            <v>JAMSAREN RT5 RW1 PESANTREN</v>
          </cell>
          <cell r="E881"/>
          <cell r="F881"/>
          <cell r="G881" t="str">
            <v>P3</v>
          </cell>
          <cell r="H881">
            <v>900</v>
          </cell>
          <cell r="I881" t="str">
            <v>202505</v>
          </cell>
          <cell r="J881" t="str">
            <v>008166</v>
          </cell>
          <cell r="K881">
            <v>166</v>
          </cell>
          <cell r="L881">
            <v>282122</v>
          </cell>
          <cell r="M881">
            <v>0</v>
          </cell>
          <cell r="N881">
            <v>282122</v>
          </cell>
          <cell r="O881">
            <v>0</v>
          </cell>
          <cell r="P881">
            <v>0</v>
          </cell>
          <cell r="Q881">
            <v>0</v>
          </cell>
          <cell r="R881">
            <v>282122</v>
          </cell>
          <cell r="S881">
            <v>0</v>
          </cell>
          <cell r="T881">
            <v>282122</v>
          </cell>
          <cell r="U881">
            <v>0</v>
          </cell>
          <cell r="V881">
            <v>282122</v>
          </cell>
          <cell r="W881">
            <v>282122</v>
          </cell>
          <cell r="X881">
            <v>0</v>
          </cell>
        </row>
        <row r="882">
          <cell r="B882">
            <v>514101333902</v>
          </cell>
          <cell r="C882" t="str">
            <v>PJU PRODAMAS RT1 RW3</v>
          </cell>
          <cell r="D882" t="str">
            <v>BANGSAL RT1 RW3 PESANTREN</v>
          </cell>
          <cell r="E882"/>
          <cell r="F882"/>
          <cell r="G882" t="str">
            <v>P3</v>
          </cell>
          <cell r="H882">
            <v>900</v>
          </cell>
          <cell r="I882" t="str">
            <v>202505</v>
          </cell>
          <cell r="J882" t="str">
            <v>048476</v>
          </cell>
          <cell r="K882">
            <v>91</v>
          </cell>
          <cell r="L882">
            <v>154657</v>
          </cell>
          <cell r="M882">
            <v>0</v>
          </cell>
          <cell r="N882">
            <v>154657</v>
          </cell>
          <cell r="O882">
            <v>0</v>
          </cell>
          <cell r="P882">
            <v>0</v>
          </cell>
          <cell r="Q882">
            <v>0</v>
          </cell>
          <cell r="R882">
            <v>154657</v>
          </cell>
          <cell r="S882">
            <v>0</v>
          </cell>
          <cell r="T882">
            <v>154657</v>
          </cell>
          <cell r="U882">
            <v>0</v>
          </cell>
          <cell r="V882">
            <v>154657</v>
          </cell>
          <cell r="W882">
            <v>154657</v>
          </cell>
          <cell r="X882">
            <v>0</v>
          </cell>
        </row>
        <row r="883">
          <cell r="B883">
            <v>514101333910</v>
          </cell>
          <cell r="C883" t="str">
            <v>PJU PRODAMAS RT4 RW4</v>
          </cell>
          <cell r="D883" t="str">
            <v>BANGSAL RT4 RW4 PESANTREN</v>
          </cell>
          <cell r="E883"/>
          <cell r="F883"/>
          <cell r="G883" t="str">
            <v>P3</v>
          </cell>
          <cell r="H883">
            <v>900</v>
          </cell>
          <cell r="I883" t="str">
            <v>202505</v>
          </cell>
          <cell r="J883" t="str">
            <v>048730</v>
          </cell>
          <cell r="K883">
            <v>93</v>
          </cell>
          <cell r="L883">
            <v>158056</v>
          </cell>
          <cell r="M883">
            <v>0</v>
          </cell>
          <cell r="N883">
            <v>158056</v>
          </cell>
          <cell r="O883">
            <v>0</v>
          </cell>
          <cell r="P883">
            <v>0</v>
          </cell>
          <cell r="Q883">
            <v>0</v>
          </cell>
          <cell r="R883">
            <v>158056</v>
          </cell>
          <cell r="S883">
            <v>0</v>
          </cell>
          <cell r="T883">
            <v>158056</v>
          </cell>
          <cell r="U883">
            <v>0</v>
          </cell>
          <cell r="V883">
            <v>158056</v>
          </cell>
          <cell r="W883">
            <v>158056</v>
          </cell>
          <cell r="X883">
            <v>0</v>
          </cell>
        </row>
        <row r="884">
          <cell r="B884">
            <v>514101333928</v>
          </cell>
          <cell r="C884" t="str">
            <v>PJU PRODAMAS RT3 RW4</v>
          </cell>
          <cell r="D884" t="str">
            <v>BANGSAL RT3 RW4 PESANTREN</v>
          </cell>
          <cell r="E884"/>
          <cell r="F884"/>
          <cell r="G884" t="str">
            <v>P3</v>
          </cell>
          <cell r="H884">
            <v>900</v>
          </cell>
          <cell r="I884" t="str">
            <v>202505</v>
          </cell>
          <cell r="J884" t="str">
            <v>048617</v>
          </cell>
          <cell r="K884">
            <v>95</v>
          </cell>
          <cell r="L884">
            <v>161455</v>
          </cell>
          <cell r="M884">
            <v>0</v>
          </cell>
          <cell r="N884">
            <v>161455</v>
          </cell>
          <cell r="O884">
            <v>0</v>
          </cell>
          <cell r="P884">
            <v>0</v>
          </cell>
          <cell r="Q884">
            <v>0</v>
          </cell>
          <cell r="R884">
            <v>161455</v>
          </cell>
          <cell r="S884">
            <v>0</v>
          </cell>
          <cell r="T884">
            <v>161455</v>
          </cell>
          <cell r="U884">
            <v>0</v>
          </cell>
          <cell r="V884">
            <v>161455</v>
          </cell>
          <cell r="W884">
            <v>161455</v>
          </cell>
          <cell r="X884">
            <v>0</v>
          </cell>
        </row>
        <row r="885">
          <cell r="B885">
            <v>514101333936</v>
          </cell>
          <cell r="C885" t="str">
            <v>PJU PRODAMAS RT7 RW4</v>
          </cell>
          <cell r="D885" t="str">
            <v>BANGSAL RT7 RW4 PESANTREN</v>
          </cell>
          <cell r="E885"/>
          <cell r="F885"/>
          <cell r="G885" t="str">
            <v>P3</v>
          </cell>
          <cell r="H885">
            <v>900</v>
          </cell>
          <cell r="I885" t="str">
            <v>202505</v>
          </cell>
          <cell r="J885" t="str">
            <v>048687</v>
          </cell>
          <cell r="K885">
            <v>129</v>
          </cell>
          <cell r="L885">
            <v>219239</v>
          </cell>
          <cell r="M885">
            <v>0</v>
          </cell>
          <cell r="N885">
            <v>219239</v>
          </cell>
          <cell r="O885">
            <v>0</v>
          </cell>
          <cell r="P885">
            <v>0</v>
          </cell>
          <cell r="Q885">
            <v>0</v>
          </cell>
          <cell r="R885">
            <v>219239</v>
          </cell>
          <cell r="S885">
            <v>0</v>
          </cell>
          <cell r="T885">
            <v>219239</v>
          </cell>
          <cell r="U885">
            <v>0</v>
          </cell>
          <cell r="V885">
            <v>219239</v>
          </cell>
          <cell r="W885">
            <v>219239</v>
          </cell>
          <cell r="X885">
            <v>0</v>
          </cell>
        </row>
        <row r="886">
          <cell r="B886">
            <v>514101333944</v>
          </cell>
          <cell r="C886" t="str">
            <v>PJU PRODAMAS RT2 RW4</v>
          </cell>
          <cell r="D886" t="str">
            <v>BANGSAL RT2 RW4</v>
          </cell>
          <cell r="E886"/>
          <cell r="F886"/>
          <cell r="G886" t="str">
            <v>P3</v>
          </cell>
          <cell r="H886">
            <v>900</v>
          </cell>
          <cell r="I886" t="str">
            <v>202505</v>
          </cell>
          <cell r="J886" t="str">
            <v>048791</v>
          </cell>
          <cell r="K886">
            <v>137</v>
          </cell>
          <cell r="L886">
            <v>232836</v>
          </cell>
          <cell r="M886">
            <v>0</v>
          </cell>
          <cell r="N886">
            <v>232836</v>
          </cell>
          <cell r="O886">
            <v>0</v>
          </cell>
          <cell r="P886">
            <v>0</v>
          </cell>
          <cell r="Q886">
            <v>0</v>
          </cell>
          <cell r="R886">
            <v>232836</v>
          </cell>
          <cell r="S886">
            <v>0</v>
          </cell>
          <cell r="T886">
            <v>232836</v>
          </cell>
          <cell r="U886">
            <v>0</v>
          </cell>
          <cell r="V886">
            <v>232836</v>
          </cell>
          <cell r="W886">
            <v>232836</v>
          </cell>
          <cell r="X886">
            <v>0</v>
          </cell>
        </row>
        <row r="887">
          <cell r="B887">
            <v>514101334141</v>
          </cell>
          <cell r="C887" t="str">
            <v>PJU PRODAMAS RT2 RW3</v>
          </cell>
          <cell r="D887" t="str">
            <v>NGRONGGO RT2 RW3 GG SEMPOL</v>
          </cell>
          <cell r="E887"/>
          <cell r="F887"/>
          <cell r="G887" t="str">
            <v>P3</v>
          </cell>
          <cell r="H887">
            <v>900</v>
          </cell>
          <cell r="I887" t="str">
            <v>202505</v>
          </cell>
          <cell r="J887" t="str">
            <v>048284</v>
          </cell>
          <cell r="K887">
            <v>165</v>
          </cell>
          <cell r="L887">
            <v>280422</v>
          </cell>
          <cell r="M887">
            <v>0</v>
          </cell>
          <cell r="N887">
            <v>280422</v>
          </cell>
          <cell r="O887">
            <v>0</v>
          </cell>
          <cell r="P887">
            <v>0</v>
          </cell>
          <cell r="Q887">
            <v>0</v>
          </cell>
          <cell r="R887">
            <v>280422</v>
          </cell>
          <cell r="S887">
            <v>0</v>
          </cell>
          <cell r="T887">
            <v>280422</v>
          </cell>
          <cell r="U887">
            <v>0</v>
          </cell>
          <cell r="V887">
            <v>280422</v>
          </cell>
          <cell r="W887">
            <v>280422</v>
          </cell>
          <cell r="X887">
            <v>0</v>
          </cell>
        </row>
        <row r="888">
          <cell r="B888">
            <v>514101334158</v>
          </cell>
          <cell r="C888" t="str">
            <v>PJU PRODAMAS RT2 RW6</v>
          </cell>
          <cell r="D888" t="str">
            <v>BAUDENDO RT2 RW6 NGRONGGO</v>
          </cell>
          <cell r="E888"/>
          <cell r="F888"/>
          <cell r="G888" t="str">
            <v>P3</v>
          </cell>
          <cell r="H888">
            <v>900</v>
          </cell>
          <cell r="I888" t="str">
            <v>202505</v>
          </cell>
          <cell r="J888" t="str">
            <v>048556</v>
          </cell>
          <cell r="K888">
            <v>166</v>
          </cell>
          <cell r="L888">
            <v>282122</v>
          </cell>
          <cell r="M888">
            <v>0</v>
          </cell>
          <cell r="N888">
            <v>282122</v>
          </cell>
          <cell r="O888">
            <v>0</v>
          </cell>
          <cell r="P888">
            <v>0</v>
          </cell>
          <cell r="Q888">
            <v>0</v>
          </cell>
          <cell r="R888">
            <v>282122</v>
          </cell>
          <cell r="S888">
            <v>0</v>
          </cell>
          <cell r="T888">
            <v>282122</v>
          </cell>
          <cell r="U888">
            <v>0</v>
          </cell>
          <cell r="V888">
            <v>282122</v>
          </cell>
          <cell r="W888">
            <v>282122</v>
          </cell>
          <cell r="X888">
            <v>0</v>
          </cell>
        </row>
        <row r="889">
          <cell r="B889">
            <v>514101334166</v>
          </cell>
          <cell r="C889" t="str">
            <v>PJU PRODAMAS RT3 RW6</v>
          </cell>
          <cell r="D889" t="str">
            <v>BAUDENDO RT3 RW6 NGRONGGO</v>
          </cell>
          <cell r="E889"/>
          <cell r="F889"/>
          <cell r="G889" t="str">
            <v>P3</v>
          </cell>
          <cell r="H889">
            <v>900</v>
          </cell>
          <cell r="I889" t="str">
            <v>202505</v>
          </cell>
          <cell r="J889" t="str">
            <v>048363</v>
          </cell>
          <cell r="K889">
            <v>159</v>
          </cell>
          <cell r="L889">
            <v>270225</v>
          </cell>
          <cell r="M889">
            <v>0</v>
          </cell>
          <cell r="N889">
            <v>270225</v>
          </cell>
          <cell r="O889">
            <v>0</v>
          </cell>
          <cell r="P889">
            <v>0</v>
          </cell>
          <cell r="Q889">
            <v>0</v>
          </cell>
          <cell r="R889">
            <v>270225</v>
          </cell>
          <cell r="S889">
            <v>0</v>
          </cell>
          <cell r="T889">
            <v>270225</v>
          </cell>
          <cell r="U889">
            <v>0</v>
          </cell>
          <cell r="V889">
            <v>270225</v>
          </cell>
          <cell r="W889">
            <v>270225</v>
          </cell>
          <cell r="X889">
            <v>0</v>
          </cell>
        </row>
        <row r="890">
          <cell r="B890">
            <v>514101334294</v>
          </cell>
          <cell r="C890" t="str">
            <v>PJU RT37 RW8 JAMSAREN</v>
          </cell>
          <cell r="D890" t="str">
            <v>KLECO RT37 RW8 JAMSAREN</v>
          </cell>
          <cell r="E890"/>
          <cell r="F890"/>
          <cell r="G890" t="str">
            <v>P3</v>
          </cell>
          <cell r="H890">
            <v>900</v>
          </cell>
          <cell r="I890" t="str">
            <v>202505</v>
          </cell>
          <cell r="J890" t="str">
            <v>048503</v>
          </cell>
          <cell r="K890">
            <v>224</v>
          </cell>
          <cell r="L890">
            <v>380695</v>
          </cell>
          <cell r="M890">
            <v>0</v>
          </cell>
          <cell r="N890">
            <v>380695</v>
          </cell>
          <cell r="O890">
            <v>0</v>
          </cell>
          <cell r="P890">
            <v>0</v>
          </cell>
          <cell r="Q890">
            <v>0</v>
          </cell>
          <cell r="R890">
            <v>380695</v>
          </cell>
          <cell r="S890">
            <v>0</v>
          </cell>
          <cell r="T890">
            <v>380695</v>
          </cell>
          <cell r="U890">
            <v>0</v>
          </cell>
          <cell r="V890">
            <v>380695</v>
          </cell>
          <cell r="W890">
            <v>380695</v>
          </cell>
          <cell r="X890">
            <v>0</v>
          </cell>
        </row>
        <row r="891">
          <cell r="B891">
            <v>514101337474</v>
          </cell>
          <cell r="C891" t="str">
            <v>PJU KEL PANDEAN RT 04 RW</v>
          </cell>
          <cell r="D891" t="str">
            <v>KEL PANDEAN RT 04 RW 02</v>
          </cell>
          <cell r="E891"/>
          <cell r="F891"/>
          <cell r="G891" t="str">
            <v>P3</v>
          </cell>
          <cell r="H891">
            <v>900</v>
          </cell>
          <cell r="I891" t="str">
            <v>202505</v>
          </cell>
          <cell r="J891" t="str">
            <v>048526</v>
          </cell>
          <cell r="K891">
            <v>85</v>
          </cell>
          <cell r="L891">
            <v>144460</v>
          </cell>
          <cell r="M891">
            <v>0</v>
          </cell>
          <cell r="N891">
            <v>144460</v>
          </cell>
          <cell r="O891">
            <v>0</v>
          </cell>
          <cell r="P891">
            <v>0</v>
          </cell>
          <cell r="Q891">
            <v>0</v>
          </cell>
          <cell r="R891">
            <v>144460</v>
          </cell>
          <cell r="S891">
            <v>0</v>
          </cell>
          <cell r="T891">
            <v>144460</v>
          </cell>
          <cell r="U891">
            <v>0</v>
          </cell>
          <cell r="V891">
            <v>144460</v>
          </cell>
          <cell r="W891">
            <v>144460</v>
          </cell>
          <cell r="X891">
            <v>0</v>
          </cell>
        </row>
        <row r="892">
          <cell r="B892">
            <v>514101337482</v>
          </cell>
          <cell r="C892" t="str">
            <v>PJU SETONOBETEK RT 05 RW</v>
          </cell>
          <cell r="D892" t="str">
            <v>SETONO BETEK GG 2 RT 05 RW 03</v>
          </cell>
          <cell r="E892"/>
          <cell r="F892"/>
          <cell r="G892" t="str">
            <v>P3</v>
          </cell>
          <cell r="H892">
            <v>900</v>
          </cell>
          <cell r="I892" t="str">
            <v>202505</v>
          </cell>
          <cell r="J892" t="str">
            <v>048652</v>
          </cell>
          <cell r="K892">
            <v>143</v>
          </cell>
          <cell r="L892">
            <v>243033</v>
          </cell>
          <cell r="M892">
            <v>0</v>
          </cell>
          <cell r="N892">
            <v>243033</v>
          </cell>
          <cell r="O892">
            <v>0</v>
          </cell>
          <cell r="P892">
            <v>0</v>
          </cell>
          <cell r="Q892">
            <v>0</v>
          </cell>
          <cell r="R892">
            <v>243033</v>
          </cell>
          <cell r="S892">
            <v>0</v>
          </cell>
          <cell r="T892">
            <v>243033</v>
          </cell>
          <cell r="U892">
            <v>0</v>
          </cell>
          <cell r="V892">
            <v>243033</v>
          </cell>
          <cell r="W892">
            <v>243033</v>
          </cell>
          <cell r="X892">
            <v>0</v>
          </cell>
        </row>
        <row r="893">
          <cell r="B893">
            <v>514101340642</v>
          </cell>
          <cell r="C893" t="str">
            <v>PJU JL PINANG GG 1</v>
          </cell>
          <cell r="D893" t="str">
            <v>BLABAK</v>
          </cell>
          <cell r="E893"/>
          <cell r="F893"/>
          <cell r="G893" t="str">
            <v>P3</v>
          </cell>
          <cell r="H893">
            <v>2200</v>
          </cell>
          <cell r="I893" t="str">
            <v>202505</v>
          </cell>
          <cell r="J893" t="str">
            <v>048657</v>
          </cell>
          <cell r="K893">
            <v>555</v>
          </cell>
          <cell r="L893">
            <v>943239</v>
          </cell>
          <cell r="M893">
            <v>0</v>
          </cell>
          <cell r="N893">
            <v>943239</v>
          </cell>
          <cell r="O893">
            <v>0</v>
          </cell>
          <cell r="P893">
            <v>0</v>
          </cell>
          <cell r="Q893">
            <v>0</v>
          </cell>
          <cell r="R893">
            <v>943239</v>
          </cell>
          <cell r="S893">
            <v>0</v>
          </cell>
          <cell r="T893">
            <v>943239</v>
          </cell>
          <cell r="U893">
            <v>0</v>
          </cell>
          <cell r="V893">
            <v>943239</v>
          </cell>
          <cell r="W893">
            <v>943239</v>
          </cell>
          <cell r="X893">
            <v>0</v>
          </cell>
        </row>
        <row r="894">
          <cell r="B894">
            <v>514101340817</v>
          </cell>
          <cell r="C894" t="str">
            <v>PJU PRODAMAS RT2 RW3</v>
          </cell>
          <cell r="D894" t="str">
            <v>KALIOMBO</v>
          </cell>
          <cell r="E894"/>
          <cell r="F894"/>
          <cell r="G894" t="str">
            <v>P3</v>
          </cell>
          <cell r="H894">
            <v>900</v>
          </cell>
          <cell r="I894" t="str">
            <v>202505</v>
          </cell>
          <cell r="J894" t="str">
            <v>048471</v>
          </cell>
          <cell r="K894">
            <v>142</v>
          </cell>
          <cell r="L894">
            <v>241333</v>
          </cell>
          <cell r="M894">
            <v>0</v>
          </cell>
          <cell r="N894">
            <v>241333</v>
          </cell>
          <cell r="O894">
            <v>0</v>
          </cell>
          <cell r="P894">
            <v>0</v>
          </cell>
          <cell r="Q894">
            <v>0</v>
          </cell>
          <cell r="R894">
            <v>241333</v>
          </cell>
          <cell r="S894">
            <v>0</v>
          </cell>
          <cell r="T894">
            <v>241333</v>
          </cell>
          <cell r="U894">
            <v>0</v>
          </cell>
          <cell r="V894">
            <v>241333</v>
          </cell>
          <cell r="W894">
            <v>241333</v>
          </cell>
          <cell r="X894">
            <v>0</v>
          </cell>
        </row>
        <row r="895">
          <cell r="B895">
            <v>514101340825</v>
          </cell>
          <cell r="C895" t="str">
            <v>PJU PRODAMAS RT26 RW5</v>
          </cell>
          <cell r="D895" t="str">
            <v>SINGONEGARAN</v>
          </cell>
          <cell r="E895"/>
          <cell r="F895"/>
          <cell r="G895" t="str">
            <v>P3</v>
          </cell>
          <cell r="H895">
            <v>900</v>
          </cell>
          <cell r="I895" t="str">
            <v>202505</v>
          </cell>
          <cell r="J895" t="str">
            <v>048614</v>
          </cell>
          <cell r="K895">
            <v>66</v>
          </cell>
          <cell r="L895">
            <v>112169</v>
          </cell>
          <cell r="M895">
            <v>0</v>
          </cell>
          <cell r="N895">
            <v>112169</v>
          </cell>
          <cell r="O895">
            <v>0</v>
          </cell>
          <cell r="P895">
            <v>0</v>
          </cell>
          <cell r="Q895">
            <v>0</v>
          </cell>
          <cell r="R895">
            <v>112169</v>
          </cell>
          <cell r="S895">
            <v>0</v>
          </cell>
          <cell r="T895">
            <v>112169</v>
          </cell>
          <cell r="U895">
            <v>0</v>
          </cell>
          <cell r="V895">
            <v>112169</v>
          </cell>
          <cell r="W895">
            <v>112169</v>
          </cell>
          <cell r="X895">
            <v>0</v>
          </cell>
        </row>
        <row r="896">
          <cell r="B896">
            <v>514101340833</v>
          </cell>
          <cell r="C896" t="str">
            <v>PJU PRODAMAS RT40 RW9</v>
          </cell>
          <cell r="D896" t="str">
            <v>SINGONEGARAN</v>
          </cell>
          <cell r="E896"/>
          <cell r="F896"/>
          <cell r="G896" t="str">
            <v>P3</v>
          </cell>
          <cell r="H896">
            <v>900</v>
          </cell>
          <cell r="I896" t="str">
            <v>202505</v>
          </cell>
          <cell r="J896" t="str">
            <v>048393</v>
          </cell>
          <cell r="K896">
            <v>204</v>
          </cell>
          <cell r="L896">
            <v>346704</v>
          </cell>
          <cell r="M896">
            <v>0</v>
          </cell>
          <cell r="N896">
            <v>346704</v>
          </cell>
          <cell r="O896">
            <v>0</v>
          </cell>
          <cell r="P896">
            <v>0</v>
          </cell>
          <cell r="Q896">
            <v>0</v>
          </cell>
          <cell r="R896">
            <v>346704</v>
          </cell>
          <cell r="S896">
            <v>0</v>
          </cell>
          <cell r="T896">
            <v>346704</v>
          </cell>
          <cell r="U896">
            <v>0</v>
          </cell>
          <cell r="V896">
            <v>346704</v>
          </cell>
          <cell r="W896">
            <v>346704</v>
          </cell>
          <cell r="X896">
            <v>0</v>
          </cell>
        </row>
        <row r="897">
          <cell r="B897">
            <v>514101340841</v>
          </cell>
          <cell r="C897" t="str">
            <v>PJU PRODAMAS RT33 RW7</v>
          </cell>
          <cell r="D897" t="str">
            <v>SINGONEGARAN</v>
          </cell>
          <cell r="E897"/>
          <cell r="F897"/>
          <cell r="G897" t="str">
            <v>P3</v>
          </cell>
          <cell r="H897">
            <v>900</v>
          </cell>
          <cell r="I897" t="str">
            <v>202505</v>
          </cell>
          <cell r="J897" t="str">
            <v>048462</v>
          </cell>
          <cell r="K897">
            <v>91</v>
          </cell>
          <cell r="L897">
            <v>154657</v>
          </cell>
          <cell r="M897">
            <v>0</v>
          </cell>
          <cell r="N897">
            <v>154657</v>
          </cell>
          <cell r="O897">
            <v>0</v>
          </cell>
          <cell r="P897">
            <v>0</v>
          </cell>
          <cell r="Q897">
            <v>0</v>
          </cell>
          <cell r="R897">
            <v>154657</v>
          </cell>
          <cell r="S897">
            <v>0</v>
          </cell>
          <cell r="T897">
            <v>154657</v>
          </cell>
          <cell r="U897">
            <v>0</v>
          </cell>
          <cell r="V897">
            <v>154657</v>
          </cell>
          <cell r="W897">
            <v>154657</v>
          </cell>
          <cell r="X897">
            <v>0</v>
          </cell>
        </row>
        <row r="898">
          <cell r="B898">
            <v>514101340858</v>
          </cell>
          <cell r="C898" t="str">
            <v>PJU PRODAMAS RT3 RW1</v>
          </cell>
          <cell r="D898" t="str">
            <v>KALIOMBO</v>
          </cell>
          <cell r="E898"/>
          <cell r="F898"/>
          <cell r="G898" t="str">
            <v>P3</v>
          </cell>
          <cell r="H898">
            <v>900</v>
          </cell>
          <cell r="I898" t="str">
            <v>202505</v>
          </cell>
          <cell r="J898" t="str">
            <v>048296</v>
          </cell>
          <cell r="K898">
            <v>98</v>
          </cell>
          <cell r="L898">
            <v>166554</v>
          </cell>
          <cell r="M898">
            <v>0</v>
          </cell>
          <cell r="N898">
            <v>166554</v>
          </cell>
          <cell r="O898">
            <v>0</v>
          </cell>
          <cell r="P898">
            <v>0</v>
          </cell>
          <cell r="Q898">
            <v>0</v>
          </cell>
          <cell r="R898">
            <v>166554</v>
          </cell>
          <cell r="S898">
            <v>0</v>
          </cell>
          <cell r="T898">
            <v>166554</v>
          </cell>
          <cell r="U898">
            <v>0</v>
          </cell>
          <cell r="V898">
            <v>166554</v>
          </cell>
          <cell r="W898">
            <v>166554</v>
          </cell>
          <cell r="X898">
            <v>0</v>
          </cell>
        </row>
        <row r="899">
          <cell r="B899">
            <v>514101340866</v>
          </cell>
          <cell r="C899" t="str">
            <v>PJU PRODAMAS RT 30 RW6</v>
          </cell>
          <cell r="D899" t="str">
            <v>SINGONEGARAN PESANTREN</v>
          </cell>
          <cell r="E899"/>
          <cell r="F899"/>
          <cell r="G899" t="str">
            <v>P3</v>
          </cell>
          <cell r="H899">
            <v>900</v>
          </cell>
          <cell r="I899" t="str">
            <v>202505</v>
          </cell>
          <cell r="J899" t="str">
            <v>048522</v>
          </cell>
          <cell r="K899">
            <v>87</v>
          </cell>
          <cell r="L899">
            <v>147859</v>
          </cell>
          <cell r="M899">
            <v>0</v>
          </cell>
          <cell r="N899">
            <v>147859</v>
          </cell>
          <cell r="O899">
            <v>0</v>
          </cell>
          <cell r="P899">
            <v>0</v>
          </cell>
          <cell r="Q899">
            <v>0</v>
          </cell>
          <cell r="R899">
            <v>147859</v>
          </cell>
          <cell r="S899">
            <v>0</v>
          </cell>
          <cell r="T899">
            <v>147859</v>
          </cell>
          <cell r="U899">
            <v>0</v>
          </cell>
          <cell r="V899">
            <v>147859</v>
          </cell>
          <cell r="W899">
            <v>147859</v>
          </cell>
          <cell r="X899">
            <v>0</v>
          </cell>
        </row>
        <row r="900">
          <cell r="B900">
            <v>514101341101</v>
          </cell>
          <cell r="C900" t="str">
            <v>PJU RT20 RW4 KEL JAMSAREN</v>
          </cell>
          <cell r="D900" t="str">
            <v>JAMSAREN</v>
          </cell>
          <cell r="E900"/>
          <cell r="F900"/>
          <cell r="G900" t="str">
            <v>P3</v>
          </cell>
          <cell r="H900">
            <v>900</v>
          </cell>
          <cell r="I900" t="str">
            <v>202505</v>
          </cell>
          <cell r="J900" t="str">
            <v>048749</v>
          </cell>
          <cell r="K900">
            <v>57</v>
          </cell>
          <cell r="L900">
            <v>96873</v>
          </cell>
          <cell r="M900">
            <v>0</v>
          </cell>
          <cell r="N900">
            <v>96873</v>
          </cell>
          <cell r="O900">
            <v>0</v>
          </cell>
          <cell r="P900">
            <v>0</v>
          </cell>
          <cell r="Q900">
            <v>0</v>
          </cell>
          <cell r="R900">
            <v>96873</v>
          </cell>
          <cell r="S900">
            <v>0</v>
          </cell>
          <cell r="T900">
            <v>96873</v>
          </cell>
          <cell r="U900">
            <v>0</v>
          </cell>
          <cell r="V900">
            <v>96873</v>
          </cell>
          <cell r="W900">
            <v>96873</v>
          </cell>
          <cell r="X900">
            <v>0</v>
          </cell>
        </row>
        <row r="901">
          <cell r="B901">
            <v>514101341119</v>
          </cell>
          <cell r="C901" t="str">
            <v>PJU RT35 RW8 KLECO</v>
          </cell>
          <cell r="D901" t="str">
            <v>JAMSAREN</v>
          </cell>
          <cell r="E901"/>
          <cell r="F901"/>
          <cell r="G901" t="str">
            <v>P3</v>
          </cell>
          <cell r="H901">
            <v>900</v>
          </cell>
          <cell r="I901" t="str">
            <v>202505</v>
          </cell>
          <cell r="J901" t="str">
            <v>048261</v>
          </cell>
          <cell r="K901">
            <v>259</v>
          </cell>
          <cell r="L901">
            <v>440178</v>
          </cell>
          <cell r="M901">
            <v>0</v>
          </cell>
          <cell r="N901">
            <v>440178</v>
          </cell>
          <cell r="O901">
            <v>0</v>
          </cell>
          <cell r="P901">
            <v>0</v>
          </cell>
          <cell r="Q901">
            <v>0</v>
          </cell>
          <cell r="R901">
            <v>440178</v>
          </cell>
          <cell r="S901">
            <v>0</v>
          </cell>
          <cell r="T901">
            <v>440178</v>
          </cell>
          <cell r="U901">
            <v>0</v>
          </cell>
          <cell r="V901">
            <v>440178</v>
          </cell>
          <cell r="W901">
            <v>440178</v>
          </cell>
          <cell r="X901">
            <v>0</v>
          </cell>
        </row>
        <row r="902">
          <cell r="B902">
            <v>514101342838</v>
          </cell>
          <cell r="C902" t="str">
            <v>PJU JL MAKAM SUMBER</v>
          </cell>
          <cell r="D902" t="str">
            <v>NGRONGGO</v>
          </cell>
          <cell r="E902"/>
          <cell r="F902"/>
          <cell r="G902" t="str">
            <v>P3</v>
          </cell>
          <cell r="H902">
            <v>900</v>
          </cell>
          <cell r="I902" t="str">
            <v>202505</v>
          </cell>
          <cell r="J902" t="str">
            <v>048443</v>
          </cell>
          <cell r="K902">
            <v>200</v>
          </cell>
          <cell r="L902">
            <v>339906</v>
          </cell>
          <cell r="M902">
            <v>0</v>
          </cell>
          <cell r="N902">
            <v>339906</v>
          </cell>
          <cell r="O902">
            <v>0</v>
          </cell>
          <cell r="P902">
            <v>0</v>
          </cell>
          <cell r="Q902">
            <v>0</v>
          </cell>
          <cell r="R902">
            <v>339906</v>
          </cell>
          <cell r="S902">
            <v>0</v>
          </cell>
          <cell r="T902">
            <v>339906</v>
          </cell>
          <cell r="U902">
            <v>0</v>
          </cell>
          <cell r="V902">
            <v>339906</v>
          </cell>
          <cell r="W902">
            <v>339906</v>
          </cell>
          <cell r="X902">
            <v>0</v>
          </cell>
        </row>
        <row r="903">
          <cell r="B903">
            <v>514101342846</v>
          </cell>
          <cell r="C903" t="str">
            <v>PJU PRODAMAS RT2 RW1</v>
          </cell>
          <cell r="D903" t="str">
            <v>PAKUNDEN</v>
          </cell>
          <cell r="E903"/>
          <cell r="F903"/>
          <cell r="G903" t="str">
            <v>P3</v>
          </cell>
          <cell r="H903">
            <v>900</v>
          </cell>
          <cell r="I903" t="str">
            <v>202505</v>
          </cell>
          <cell r="J903" t="str">
            <v>048414</v>
          </cell>
          <cell r="K903">
            <v>133</v>
          </cell>
          <cell r="L903">
            <v>226037</v>
          </cell>
          <cell r="M903">
            <v>0</v>
          </cell>
          <cell r="N903">
            <v>226037</v>
          </cell>
          <cell r="O903">
            <v>0</v>
          </cell>
          <cell r="P903">
            <v>0</v>
          </cell>
          <cell r="Q903">
            <v>0</v>
          </cell>
          <cell r="R903">
            <v>226037</v>
          </cell>
          <cell r="S903">
            <v>0</v>
          </cell>
          <cell r="T903">
            <v>226037</v>
          </cell>
          <cell r="U903">
            <v>0</v>
          </cell>
          <cell r="V903">
            <v>226037</v>
          </cell>
          <cell r="W903">
            <v>226037</v>
          </cell>
          <cell r="X903">
            <v>0</v>
          </cell>
        </row>
        <row r="904">
          <cell r="B904">
            <v>514101343282</v>
          </cell>
          <cell r="C904" t="str">
            <v>PJU RT3 RW2 BAWANG</v>
          </cell>
          <cell r="D904" t="str">
            <v>BAWANG</v>
          </cell>
          <cell r="E904"/>
          <cell r="F904"/>
          <cell r="G904" t="str">
            <v>P3</v>
          </cell>
          <cell r="H904">
            <v>900</v>
          </cell>
          <cell r="I904" t="str">
            <v>202505</v>
          </cell>
          <cell r="J904" t="str">
            <v>048302</v>
          </cell>
          <cell r="K904">
            <v>96</v>
          </cell>
          <cell r="L904">
            <v>163155</v>
          </cell>
          <cell r="M904">
            <v>0</v>
          </cell>
          <cell r="N904">
            <v>163155</v>
          </cell>
          <cell r="O904">
            <v>0</v>
          </cell>
          <cell r="P904">
            <v>0</v>
          </cell>
          <cell r="Q904">
            <v>0</v>
          </cell>
          <cell r="R904">
            <v>163155</v>
          </cell>
          <cell r="S904">
            <v>0</v>
          </cell>
          <cell r="T904">
            <v>163155</v>
          </cell>
          <cell r="U904">
            <v>0</v>
          </cell>
          <cell r="V904">
            <v>163155</v>
          </cell>
          <cell r="W904">
            <v>163155</v>
          </cell>
          <cell r="X904">
            <v>0</v>
          </cell>
        </row>
        <row r="905">
          <cell r="B905">
            <v>514101362645</v>
          </cell>
          <cell r="C905" t="str">
            <v>PJL JL KALIOMBO RAYA</v>
          </cell>
          <cell r="D905" t="str">
            <v>KELURAHAN KALIOMBO KOTA</v>
          </cell>
          <cell r="E905"/>
          <cell r="F905"/>
          <cell r="G905" t="str">
            <v>P3</v>
          </cell>
          <cell r="H905">
            <v>900</v>
          </cell>
          <cell r="I905" t="str">
            <v>202505</v>
          </cell>
          <cell r="J905" t="str">
            <v>048689</v>
          </cell>
          <cell r="K905">
            <v>159</v>
          </cell>
          <cell r="L905">
            <v>270225</v>
          </cell>
          <cell r="M905">
            <v>0</v>
          </cell>
          <cell r="N905">
            <v>270225</v>
          </cell>
          <cell r="O905">
            <v>0</v>
          </cell>
          <cell r="P905">
            <v>0</v>
          </cell>
          <cell r="Q905">
            <v>0</v>
          </cell>
          <cell r="R905">
            <v>270225</v>
          </cell>
          <cell r="S905">
            <v>0</v>
          </cell>
          <cell r="T905">
            <v>270225</v>
          </cell>
          <cell r="U905">
            <v>0</v>
          </cell>
          <cell r="V905">
            <v>270225</v>
          </cell>
          <cell r="W905">
            <v>270225</v>
          </cell>
          <cell r="X905">
            <v>0</v>
          </cell>
        </row>
        <row r="906">
          <cell r="B906">
            <v>514101375156</v>
          </cell>
          <cell r="C906" t="str">
            <v>PJU PRODAMAS RT5  RW4</v>
          </cell>
          <cell r="D906" t="str">
            <v>BANGSAL RT5 RW4 PESANTREN</v>
          </cell>
          <cell r="E906"/>
          <cell r="F906"/>
          <cell r="G906" t="str">
            <v>P3</v>
          </cell>
          <cell r="H906">
            <v>900</v>
          </cell>
          <cell r="I906" t="str">
            <v>202505</v>
          </cell>
          <cell r="J906" t="str">
            <v>017511</v>
          </cell>
          <cell r="K906">
            <v>36</v>
          </cell>
          <cell r="L906">
            <v>61183</v>
          </cell>
          <cell r="M906">
            <v>0</v>
          </cell>
          <cell r="N906">
            <v>61183</v>
          </cell>
          <cell r="O906">
            <v>0</v>
          </cell>
          <cell r="P906">
            <v>0</v>
          </cell>
          <cell r="Q906">
            <v>0</v>
          </cell>
          <cell r="R906">
            <v>61183</v>
          </cell>
          <cell r="S906">
            <v>0</v>
          </cell>
          <cell r="T906">
            <v>61183</v>
          </cell>
          <cell r="U906">
            <v>0</v>
          </cell>
          <cell r="V906">
            <v>61183</v>
          </cell>
          <cell r="W906">
            <v>61183</v>
          </cell>
          <cell r="X906">
            <v>0</v>
          </cell>
        </row>
        <row r="907">
          <cell r="B907">
            <v>514101375164</v>
          </cell>
          <cell r="C907" t="str">
            <v>PJU PRODAMAS RT1 RW2</v>
          </cell>
          <cell r="D907" t="str">
            <v>BANGSAL RT1 RW2 PESANTREN</v>
          </cell>
          <cell r="E907"/>
          <cell r="F907"/>
          <cell r="G907" t="str">
            <v>P3</v>
          </cell>
          <cell r="H907">
            <v>900</v>
          </cell>
          <cell r="I907" t="str">
            <v>202505</v>
          </cell>
          <cell r="J907" t="str">
            <v>020151</v>
          </cell>
          <cell r="K907">
            <v>36</v>
          </cell>
          <cell r="L907">
            <v>61183</v>
          </cell>
          <cell r="M907">
            <v>0</v>
          </cell>
          <cell r="N907">
            <v>61183</v>
          </cell>
          <cell r="O907">
            <v>0</v>
          </cell>
          <cell r="P907">
            <v>0</v>
          </cell>
          <cell r="Q907">
            <v>0</v>
          </cell>
          <cell r="R907">
            <v>61183</v>
          </cell>
          <cell r="S907">
            <v>0</v>
          </cell>
          <cell r="T907">
            <v>61183</v>
          </cell>
          <cell r="U907">
            <v>0</v>
          </cell>
          <cell r="V907">
            <v>61183</v>
          </cell>
          <cell r="W907">
            <v>61183</v>
          </cell>
          <cell r="X907">
            <v>0</v>
          </cell>
        </row>
        <row r="908">
          <cell r="B908">
            <v>514101375172</v>
          </cell>
          <cell r="C908" t="str">
            <v>PJU PRODAMAS RT1 RW5</v>
          </cell>
          <cell r="D908" t="str">
            <v>BANGSAL RT1 RW5 PESANTREN</v>
          </cell>
          <cell r="E908"/>
          <cell r="F908"/>
          <cell r="G908" t="str">
            <v>P3</v>
          </cell>
          <cell r="H908">
            <v>900</v>
          </cell>
          <cell r="I908" t="str">
            <v>202505</v>
          </cell>
          <cell r="J908" t="str">
            <v>022398</v>
          </cell>
          <cell r="K908">
            <v>152</v>
          </cell>
          <cell r="L908">
            <v>258329</v>
          </cell>
          <cell r="M908">
            <v>0</v>
          </cell>
          <cell r="N908">
            <v>258329</v>
          </cell>
          <cell r="O908">
            <v>0</v>
          </cell>
          <cell r="P908">
            <v>0</v>
          </cell>
          <cell r="Q908">
            <v>0</v>
          </cell>
          <cell r="R908">
            <v>258329</v>
          </cell>
          <cell r="S908">
            <v>0</v>
          </cell>
          <cell r="T908">
            <v>258329</v>
          </cell>
          <cell r="U908">
            <v>0</v>
          </cell>
          <cell r="V908">
            <v>258329</v>
          </cell>
          <cell r="W908">
            <v>258329</v>
          </cell>
          <cell r="X908">
            <v>0</v>
          </cell>
        </row>
        <row r="909">
          <cell r="B909">
            <v>514101375761</v>
          </cell>
          <cell r="C909" t="str">
            <v>PJU PRODAMAS RT1 RW3</v>
          </cell>
          <cell r="D909" t="str">
            <v>KAMPUNGDALEM</v>
          </cell>
          <cell r="E909"/>
          <cell r="F909"/>
          <cell r="G909" t="str">
            <v>P3</v>
          </cell>
          <cell r="H909">
            <v>900</v>
          </cell>
          <cell r="I909" t="str">
            <v>202505</v>
          </cell>
          <cell r="J909" t="str">
            <v>022233</v>
          </cell>
          <cell r="K909">
            <v>181</v>
          </cell>
          <cell r="L909">
            <v>307615</v>
          </cell>
          <cell r="M909">
            <v>0</v>
          </cell>
          <cell r="N909">
            <v>307615</v>
          </cell>
          <cell r="O909">
            <v>0</v>
          </cell>
          <cell r="P909">
            <v>0</v>
          </cell>
          <cell r="Q909">
            <v>0</v>
          </cell>
          <cell r="R909">
            <v>307615</v>
          </cell>
          <cell r="S909">
            <v>0</v>
          </cell>
          <cell r="T909">
            <v>307615</v>
          </cell>
          <cell r="U909">
            <v>0</v>
          </cell>
          <cell r="V909">
            <v>307615</v>
          </cell>
          <cell r="W909">
            <v>307615</v>
          </cell>
          <cell r="X909">
            <v>0</v>
          </cell>
        </row>
        <row r="910">
          <cell r="B910">
            <v>514101375865</v>
          </cell>
          <cell r="C910" t="str">
            <v>PJU RT13 RW2 KL PESANTREN</v>
          </cell>
          <cell r="D910" t="str">
            <v>PESANTREN</v>
          </cell>
          <cell r="E910"/>
          <cell r="F910"/>
          <cell r="G910" t="str">
            <v>P3</v>
          </cell>
          <cell r="H910">
            <v>900</v>
          </cell>
          <cell r="I910" t="str">
            <v>202505</v>
          </cell>
          <cell r="J910" t="str">
            <v>006006</v>
          </cell>
          <cell r="K910">
            <v>107</v>
          </cell>
          <cell r="L910">
            <v>181850</v>
          </cell>
          <cell r="M910">
            <v>0</v>
          </cell>
          <cell r="N910">
            <v>181850</v>
          </cell>
          <cell r="O910">
            <v>0</v>
          </cell>
          <cell r="P910">
            <v>0</v>
          </cell>
          <cell r="Q910">
            <v>0</v>
          </cell>
          <cell r="R910">
            <v>181850</v>
          </cell>
          <cell r="S910">
            <v>0</v>
          </cell>
          <cell r="T910">
            <v>181850</v>
          </cell>
          <cell r="U910">
            <v>0</v>
          </cell>
          <cell r="V910">
            <v>181850</v>
          </cell>
          <cell r="W910">
            <v>181850</v>
          </cell>
          <cell r="X910">
            <v>0</v>
          </cell>
        </row>
        <row r="911">
          <cell r="B911">
            <v>514101375873</v>
          </cell>
          <cell r="C911" t="str">
            <v>PJU RT7 RW1 KEL.PESANTREN</v>
          </cell>
          <cell r="D911" t="str">
            <v>PESANTREN</v>
          </cell>
          <cell r="E911"/>
          <cell r="F911"/>
          <cell r="G911" t="str">
            <v>P3</v>
          </cell>
          <cell r="H911">
            <v>900</v>
          </cell>
          <cell r="I911" t="str">
            <v>202505</v>
          </cell>
          <cell r="J911" t="str">
            <v>011464</v>
          </cell>
          <cell r="K911">
            <v>67</v>
          </cell>
          <cell r="L911">
            <v>113869</v>
          </cell>
          <cell r="M911">
            <v>0</v>
          </cell>
          <cell r="N911">
            <v>113869</v>
          </cell>
          <cell r="O911">
            <v>0</v>
          </cell>
          <cell r="P911">
            <v>0</v>
          </cell>
          <cell r="Q911">
            <v>0</v>
          </cell>
          <cell r="R911">
            <v>113869</v>
          </cell>
          <cell r="S911">
            <v>0</v>
          </cell>
          <cell r="T911">
            <v>113869</v>
          </cell>
          <cell r="U911">
            <v>0</v>
          </cell>
          <cell r="V911">
            <v>113869</v>
          </cell>
          <cell r="W911">
            <v>113869</v>
          </cell>
          <cell r="X911">
            <v>0</v>
          </cell>
        </row>
        <row r="912">
          <cell r="B912">
            <v>514101375881</v>
          </cell>
          <cell r="C912" t="str">
            <v>PJU RT19 RW3 KL PESANTREN</v>
          </cell>
          <cell r="D912" t="str">
            <v>PESANTREN</v>
          </cell>
          <cell r="E912"/>
          <cell r="F912"/>
          <cell r="G912" t="str">
            <v>P3</v>
          </cell>
          <cell r="H912">
            <v>900</v>
          </cell>
          <cell r="I912" t="str">
            <v>202505</v>
          </cell>
          <cell r="J912" t="str">
            <v>006709</v>
          </cell>
          <cell r="K912">
            <v>184</v>
          </cell>
          <cell r="L912">
            <v>312714</v>
          </cell>
          <cell r="M912">
            <v>0</v>
          </cell>
          <cell r="N912">
            <v>312714</v>
          </cell>
          <cell r="O912">
            <v>0</v>
          </cell>
          <cell r="P912">
            <v>0</v>
          </cell>
          <cell r="Q912">
            <v>0</v>
          </cell>
          <cell r="R912">
            <v>312714</v>
          </cell>
          <cell r="S912">
            <v>0</v>
          </cell>
          <cell r="T912">
            <v>312714</v>
          </cell>
          <cell r="U912">
            <v>0</v>
          </cell>
          <cell r="V912">
            <v>312714</v>
          </cell>
          <cell r="W912">
            <v>312714</v>
          </cell>
          <cell r="X912">
            <v>0</v>
          </cell>
        </row>
        <row r="913">
          <cell r="B913">
            <v>514101376340</v>
          </cell>
          <cell r="C913" t="str">
            <v>PJU PRODAMAS RT1 RW3</v>
          </cell>
          <cell r="D913" t="str">
            <v>MANISRENGGO</v>
          </cell>
          <cell r="E913"/>
          <cell r="F913"/>
          <cell r="G913" t="str">
            <v>P3</v>
          </cell>
          <cell r="H913">
            <v>900</v>
          </cell>
          <cell r="I913" t="str">
            <v>202505</v>
          </cell>
          <cell r="J913" t="str">
            <v>048636</v>
          </cell>
          <cell r="K913">
            <v>140</v>
          </cell>
          <cell r="L913">
            <v>237934</v>
          </cell>
          <cell r="M913">
            <v>0</v>
          </cell>
          <cell r="N913">
            <v>237934</v>
          </cell>
          <cell r="O913">
            <v>0</v>
          </cell>
          <cell r="P913">
            <v>0</v>
          </cell>
          <cell r="Q913">
            <v>0</v>
          </cell>
          <cell r="R913">
            <v>237934</v>
          </cell>
          <cell r="S913">
            <v>0</v>
          </cell>
          <cell r="T913">
            <v>237934</v>
          </cell>
          <cell r="U913">
            <v>0</v>
          </cell>
          <cell r="V913">
            <v>237934</v>
          </cell>
          <cell r="W913">
            <v>237934</v>
          </cell>
          <cell r="X913">
            <v>0</v>
          </cell>
        </row>
        <row r="914">
          <cell r="B914">
            <v>514101376556</v>
          </cell>
          <cell r="C914" t="str">
            <v>PJU PRODAMAS RT16 RW6</v>
          </cell>
          <cell r="D914" t="str">
            <v>TOSAREN</v>
          </cell>
          <cell r="E914"/>
          <cell r="F914"/>
          <cell r="G914" t="str">
            <v>P3</v>
          </cell>
          <cell r="H914">
            <v>900</v>
          </cell>
          <cell r="I914" t="str">
            <v>202505</v>
          </cell>
          <cell r="J914" t="str">
            <v>048783</v>
          </cell>
          <cell r="K914">
            <v>154</v>
          </cell>
          <cell r="L914">
            <v>261728</v>
          </cell>
          <cell r="M914">
            <v>0</v>
          </cell>
          <cell r="N914">
            <v>261728</v>
          </cell>
          <cell r="O914">
            <v>0</v>
          </cell>
          <cell r="P914">
            <v>0</v>
          </cell>
          <cell r="Q914">
            <v>0</v>
          </cell>
          <cell r="R914">
            <v>261728</v>
          </cell>
          <cell r="S914">
            <v>0</v>
          </cell>
          <cell r="T914">
            <v>261728</v>
          </cell>
          <cell r="U914">
            <v>0</v>
          </cell>
          <cell r="V914">
            <v>261728</v>
          </cell>
          <cell r="W914">
            <v>261728</v>
          </cell>
          <cell r="X914">
            <v>0</v>
          </cell>
        </row>
        <row r="915">
          <cell r="B915">
            <v>514101376564</v>
          </cell>
          <cell r="C915" t="str">
            <v>PJU PRODAMAS RT2 RW2</v>
          </cell>
          <cell r="D915" t="str">
            <v>KALIOMBO</v>
          </cell>
          <cell r="E915"/>
          <cell r="F915"/>
          <cell r="G915" t="str">
            <v>P3</v>
          </cell>
          <cell r="H915">
            <v>900</v>
          </cell>
          <cell r="I915" t="str">
            <v>202505</v>
          </cell>
          <cell r="J915" t="str">
            <v>048360</v>
          </cell>
          <cell r="K915">
            <v>85</v>
          </cell>
          <cell r="L915">
            <v>144460</v>
          </cell>
          <cell r="M915">
            <v>0</v>
          </cell>
          <cell r="N915">
            <v>144460</v>
          </cell>
          <cell r="O915">
            <v>0</v>
          </cell>
          <cell r="P915">
            <v>0</v>
          </cell>
          <cell r="Q915">
            <v>0</v>
          </cell>
          <cell r="R915">
            <v>144460</v>
          </cell>
          <cell r="S915">
            <v>0</v>
          </cell>
          <cell r="T915">
            <v>144460</v>
          </cell>
          <cell r="U915">
            <v>0</v>
          </cell>
          <cell r="V915">
            <v>144460</v>
          </cell>
          <cell r="W915">
            <v>144460</v>
          </cell>
          <cell r="X915">
            <v>0</v>
          </cell>
        </row>
        <row r="916">
          <cell r="B916">
            <v>514101376572</v>
          </cell>
          <cell r="C916" t="str">
            <v>PJU PRODAMAS RT1 RW9</v>
          </cell>
          <cell r="D916" t="str">
            <v>KALIOMBO</v>
          </cell>
          <cell r="E916"/>
          <cell r="F916"/>
          <cell r="G916" t="str">
            <v>P3</v>
          </cell>
          <cell r="H916">
            <v>900</v>
          </cell>
          <cell r="I916" t="str">
            <v>202505</v>
          </cell>
          <cell r="J916" t="str">
            <v>048683</v>
          </cell>
          <cell r="K916">
            <v>126</v>
          </cell>
          <cell r="L916">
            <v>214141</v>
          </cell>
          <cell r="M916">
            <v>0</v>
          </cell>
          <cell r="N916">
            <v>214141</v>
          </cell>
          <cell r="O916">
            <v>0</v>
          </cell>
          <cell r="P916">
            <v>0</v>
          </cell>
          <cell r="Q916">
            <v>0</v>
          </cell>
          <cell r="R916">
            <v>214141</v>
          </cell>
          <cell r="S916">
            <v>0</v>
          </cell>
          <cell r="T916">
            <v>214141</v>
          </cell>
          <cell r="U916">
            <v>0</v>
          </cell>
          <cell r="V916">
            <v>214141</v>
          </cell>
          <cell r="W916">
            <v>214141</v>
          </cell>
          <cell r="X916">
            <v>0</v>
          </cell>
        </row>
        <row r="917">
          <cell r="B917">
            <v>514101376580</v>
          </cell>
          <cell r="C917" t="str">
            <v>PJU PRODAMAS RT1 RW2</v>
          </cell>
          <cell r="D917" t="str">
            <v>KALIOMBO</v>
          </cell>
          <cell r="E917"/>
          <cell r="F917"/>
          <cell r="G917" t="str">
            <v>P3</v>
          </cell>
          <cell r="H917">
            <v>900</v>
          </cell>
          <cell r="I917" t="str">
            <v>202505</v>
          </cell>
          <cell r="J917" t="str">
            <v>048794</v>
          </cell>
          <cell r="K917">
            <v>51</v>
          </cell>
          <cell r="L917">
            <v>86676</v>
          </cell>
          <cell r="M917">
            <v>0</v>
          </cell>
          <cell r="N917">
            <v>86676</v>
          </cell>
          <cell r="O917">
            <v>0</v>
          </cell>
          <cell r="P917">
            <v>0</v>
          </cell>
          <cell r="Q917">
            <v>0</v>
          </cell>
          <cell r="R917">
            <v>86676</v>
          </cell>
          <cell r="S917">
            <v>0</v>
          </cell>
          <cell r="T917">
            <v>86676</v>
          </cell>
          <cell r="U917">
            <v>0</v>
          </cell>
          <cell r="V917">
            <v>86676</v>
          </cell>
          <cell r="W917">
            <v>86676</v>
          </cell>
          <cell r="X917">
            <v>0</v>
          </cell>
        </row>
        <row r="918">
          <cell r="B918">
            <v>514101376939</v>
          </cell>
          <cell r="C918" t="str">
            <v>PJU PRODAMAS RT5 RW6</v>
          </cell>
          <cell r="D918" t="str">
            <v>NGRONGGO</v>
          </cell>
          <cell r="E918"/>
          <cell r="F918"/>
          <cell r="G918" t="str">
            <v>P3</v>
          </cell>
          <cell r="H918">
            <v>900</v>
          </cell>
          <cell r="I918" t="str">
            <v>202505</v>
          </cell>
          <cell r="J918" t="str">
            <v>048316</v>
          </cell>
          <cell r="K918">
            <v>45</v>
          </cell>
          <cell r="L918">
            <v>76479</v>
          </cell>
          <cell r="M918">
            <v>0</v>
          </cell>
          <cell r="N918">
            <v>76479</v>
          </cell>
          <cell r="O918">
            <v>0</v>
          </cell>
          <cell r="P918">
            <v>0</v>
          </cell>
          <cell r="Q918">
            <v>0</v>
          </cell>
          <cell r="R918">
            <v>76479</v>
          </cell>
          <cell r="S918">
            <v>0</v>
          </cell>
          <cell r="T918">
            <v>76479</v>
          </cell>
          <cell r="U918">
            <v>0</v>
          </cell>
          <cell r="V918">
            <v>76479</v>
          </cell>
          <cell r="W918">
            <v>76479</v>
          </cell>
          <cell r="X918">
            <v>0</v>
          </cell>
        </row>
        <row r="919">
          <cell r="B919">
            <v>514101376947</v>
          </cell>
          <cell r="C919" t="str">
            <v>PJU PRODAMAS RT5 RW1</v>
          </cell>
          <cell r="D919" t="str">
            <v>PAKUNDEN</v>
          </cell>
          <cell r="E919"/>
          <cell r="F919"/>
          <cell r="G919" t="str">
            <v>P3</v>
          </cell>
          <cell r="H919">
            <v>900</v>
          </cell>
          <cell r="I919" t="str">
            <v>202505</v>
          </cell>
          <cell r="J919" t="str">
            <v>048397</v>
          </cell>
          <cell r="K919">
            <v>36</v>
          </cell>
          <cell r="L919">
            <v>61183</v>
          </cell>
          <cell r="M919">
            <v>0</v>
          </cell>
          <cell r="N919">
            <v>61183</v>
          </cell>
          <cell r="O919">
            <v>0</v>
          </cell>
          <cell r="P919">
            <v>0</v>
          </cell>
          <cell r="Q919">
            <v>0</v>
          </cell>
          <cell r="R919">
            <v>61183</v>
          </cell>
          <cell r="S919">
            <v>0</v>
          </cell>
          <cell r="T919">
            <v>61183</v>
          </cell>
          <cell r="U919">
            <v>0</v>
          </cell>
          <cell r="V919">
            <v>61183</v>
          </cell>
          <cell r="W919">
            <v>61183</v>
          </cell>
          <cell r="X919">
            <v>0</v>
          </cell>
        </row>
        <row r="920">
          <cell r="B920">
            <v>109560526</v>
          </cell>
          <cell r="C920">
            <v>0</v>
          </cell>
          <cell r="D920">
            <v>109560526</v>
          </cell>
          <cell r="E920">
            <v>0</v>
          </cell>
          <cell r="F920">
            <v>0</v>
          </cell>
          <cell r="G920">
            <v>0</v>
          </cell>
          <cell r="H920">
            <v>109560526</v>
          </cell>
          <cell r="I920" t="str">
            <v>KEDIRI, May 8, 2025   8:47</v>
          </cell>
          <cell r="J920"/>
          <cell r="K920">
            <v>64638</v>
          </cell>
          <cell r="L920">
            <v>109560526</v>
          </cell>
          <cell r="M920">
            <v>0</v>
          </cell>
          <cell r="N920">
            <v>109560526</v>
          </cell>
          <cell r="O920">
            <v>0</v>
          </cell>
          <cell r="P920">
            <v>0</v>
          </cell>
          <cell r="Q920">
            <v>0</v>
          </cell>
          <cell r="R920">
            <v>109560526</v>
          </cell>
          <cell r="S920">
            <v>0</v>
          </cell>
          <cell r="T920">
            <v>109560526</v>
          </cell>
          <cell r="U920">
            <v>0</v>
          </cell>
          <cell r="V920">
            <v>109560526</v>
          </cell>
          <cell r="W920">
            <v>109560526</v>
          </cell>
          <cell r="X920">
            <v>0</v>
          </cell>
        </row>
        <row r="921">
          <cell r="B921"/>
          <cell r="C921"/>
          <cell r="D921"/>
          <cell r="E921"/>
          <cell r="F921"/>
          <cell r="G921"/>
          <cell r="H921"/>
          <cell r="I921"/>
          <cell r="J921"/>
          <cell r="K921"/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</row>
        <row r="922">
          <cell r="B922"/>
          <cell r="C922"/>
          <cell r="D922"/>
          <cell r="E922"/>
          <cell r="F922"/>
          <cell r="G922"/>
          <cell r="H922"/>
          <cell r="I922"/>
          <cell r="J922"/>
          <cell r="K922"/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erbilang"/>
    </sheetNames>
    <definedNames>
      <definedName name="terbilang"/>
    </defined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rwien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382"/>
  <sheetViews>
    <sheetView tabSelected="1" view="pageBreakPreview" topLeftCell="A1319" zoomScale="85" zoomScaleNormal="85" zoomScaleSheetLayoutView="85" workbookViewId="0">
      <selection activeCell="E1347" sqref="E1347:O1347"/>
    </sheetView>
  </sheetViews>
  <sheetFormatPr defaultColWidth="9.28515625" defaultRowHeight="18" customHeight="1" x14ac:dyDescent="0.25"/>
  <cols>
    <col min="1" max="1" width="5.42578125" style="2" customWidth="1"/>
    <col min="2" max="2" width="16.28515625" style="3" customWidth="1"/>
    <col min="3" max="3" width="30.7109375" style="2" bestFit="1" customWidth="1"/>
    <col min="4" max="4" width="10.28515625" style="2" customWidth="1"/>
    <col min="5" max="5" width="35.28515625" style="2" customWidth="1"/>
    <col min="6" max="6" width="9.140625" style="3" customWidth="1"/>
    <col min="7" max="7" width="15" style="3" bestFit="1" customWidth="1"/>
    <col min="8" max="8" width="16.140625" style="3" customWidth="1"/>
    <col min="9" max="9" width="19.140625" style="3" customWidth="1"/>
    <col min="10" max="11" width="13.7109375" style="3" customWidth="1"/>
    <col min="12" max="12" width="14" style="3" customWidth="1"/>
    <col min="13" max="13" width="19.7109375" style="5" bestFit="1" customWidth="1"/>
    <col min="14" max="14" width="15.28515625" style="6" customWidth="1"/>
    <col min="15" max="15" width="9" style="6" bestFit="1" customWidth="1"/>
    <col min="16" max="16" width="8.7109375" style="6" bestFit="1" customWidth="1"/>
    <col min="17" max="17" width="14.28515625" style="6" bestFit="1" customWidth="1"/>
    <col min="18" max="18" width="19" style="5" customWidth="1"/>
    <col min="19" max="19" width="17.42578125" style="5" customWidth="1"/>
    <col min="20" max="20" width="19" style="5" customWidth="1"/>
    <col min="21" max="21" width="17.42578125" style="5" customWidth="1"/>
    <col min="22" max="22" width="16.5703125" style="2" customWidth="1"/>
    <col min="23" max="23" width="12.28515625" style="2" customWidth="1"/>
    <col min="24" max="24" width="12.42578125" style="2" customWidth="1"/>
    <col min="25" max="25" width="13.28515625" style="2" customWidth="1"/>
    <col min="26" max="26" width="9.28515625" style="2" customWidth="1"/>
    <col min="27" max="16384" width="9.28515625" style="2"/>
  </cols>
  <sheetData>
    <row r="1" spans="1:26" ht="18" customHeight="1" x14ac:dyDescent="0.25">
      <c r="C1" s="4" t="s">
        <v>0</v>
      </c>
    </row>
    <row r="2" spans="1:26" ht="18" customHeight="1" x14ac:dyDescent="0.25">
      <c r="C2" s="4" t="s">
        <v>0</v>
      </c>
    </row>
    <row r="3" spans="1:26" ht="18" customHeight="1" x14ac:dyDescent="0.25">
      <c r="C3" s="4" t="s">
        <v>0</v>
      </c>
    </row>
    <row r="4" spans="1:26" ht="18" customHeight="1" x14ac:dyDescent="0.25">
      <c r="C4" s="4" t="s">
        <v>0</v>
      </c>
      <c r="H4" s="7" t="s">
        <v>0</v>
      </c>
    </row>
    <row r="5" spans="1:26" ht="18" customHeight="1" x14ac:dyDescent="0.25">
      <c r="C5" s="4" t="s">
        <v>0</v>
      </c>
      <c r="T5" s="3" t="s">
        <v>1</v>
      </c>
    </row>
    <row r="8" spans="1:26" s="175" customFormat="1" ht="28.5" customHeight="1" x14ac:dyDescent="0.25">
      <c r="A8" s="191" t="s">
        <v>2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1"/>
      <c r="U8" s="174"/>
    </row>
    <row r="9" spans="1:26" s="175" customFormat="1" ht="28.5" customHeight="1" x14ac:dyDescent="0.25">
      <c r="A9" s="191" t="str">
        <f>[1]DINKOT!A10</f>
        <v>REKENING LISTRIK BULAN : MEI 2025</v>
      </c>
      <c r="B9" s="191"/>
      <c r="C9" s="191"/>
      <c r="D9" s="191"/>
      <c r="E9" s="191"/>
      <c r="F9" s="191"/>
      <c r="G9" s="191"/>
      <c r="H9" s="191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1"/>
      <c r="U9" s="174"/>
    </row>
    <row r="10" spans="1:26" ht="18" customHeight="1" x14ac:dyDescent="0.25">
      <c r="A10" s="7"/>
      <c r="B10" s="7"/>
      <c r="C10" s="7"/>
      <c r="D10" s="7"/>
      <c r="E10" s="7"/>
      <c r="F10" s="7"/>
      <c r="G10" s="7"/>
      <c r="H10" s="7"/>
    </row>
    <row r="11" spans="1:26" ht="18" customHeight="1" x14ac:dyDescent="0.25">
      <c r="A11" s="8" t="s">
        <v>3</v>
      </c>
      <c r="B11" s="7"/>
    </row>
    <row r="12" spans="1:26" s="84" customFormat="1" ht="39" customHeight="1" x14ac:dyDescent="0.25">
      <c r="A12" s="9" t="s">
        <v>4</v>
      </c>
      <c r="B12" s="21" t="s">
        <v>5</v>
      </c>
      <c r="C12" s="21" t="s">
        <v>6</v>
      </c>
      <c r="D12" s="12"/>
      <c r="E12" s="9" t="s">
        <v>7</v>
      </c>
      <c r="F12" s="21" t="s">
        <v>8</v>
      </c>
      <c r="G12" s="21" t="s">
        <v>9</v>
      </c>
      <c r="H12" s="21" t="s">
        <v>10</v>
      </c>
      <c r="I12" s="21" t="s">
        <v>11</v>
      </c>
      <c r="J12" s="21" t="s">
        <v>12</v>
      </c>
      <c r="K12" s="21" t="s">
        <v>13</v>
      </c>
      <c r="L12" s="21" t="s">
        <v>14</v>
      </c>
      <c r="M12" s="143" t="s">
        <v>15</v>
      </c>
      <c r="N12" s="144" t="s">
        <v>16</v>
      </c>
      <c r="O12" s="144" t="s">
        <v>17</v>
      </c>
      <c r="P12" s="144" t="s">
        <v>18</v>
      </c>
      <c r="Q12" s="144" t="s">
        <v>19</v>
      </c>
      <c r="R12" s="143" t="s">
        <v>20</v>
      </c>
      <c r="S12" s="143" t="s">
        <v>3471</v>
      </c>
      <c r="T12" s="143" t="s">
        <v>3472</v>
      </c>
      <c r="U12" s="145"/>
      <c r="V12" s="145"/>
      <c r="W12" s="145"/>
      <c r="X12" s="145"/>
    </row>
    <row r="13" spans="1:26" ht="18" customHeight="1" x14ac:dyDescent="0.25">
      <c r="A13" s="11">
        <v>1</v>
      </c>
      <c r="B13" s="52">
        <v>514010020897</v>
      </c>
      <c r="C13" s="53" t="s">
        <v>21</v>
      </c>
      <c r="D13" s="14" t="s">
        <v>22</v>
      </c>
      <c r="E13" s="53" t="s">
        <v>23</v>
      </c>
      <c r="F13" s="53" t="s">
        <v>24</v>
      </c>
      <c r="G13" s="153">
        <v>3500</v>
      </c>
      <c r="H13" s="54" t="s">
        <v>25</v>
      </c>
      <c r="I13" s="54" t="s">
        <v>26</v>
      </c>
      <c r="J13" s="53">
        <v>156</v>
      </c>
      <c r="K13" s="53">
        <v>265127</v>
      </c>
      <c r="L13" s="41">
        <v>156</v>
      </c>
      <c r="M13" s="41">
        <v>265127</v>
      </c>
      <c r="N13" s="154">
        <v>0</v>
      </c>
      <c r="O13" s="102">
        <v>0</v>
      </c>
      <c r="P13" s="102">
        <v>0</v>
      </c>
      <c r="Q13" s="20">
        <v>0</v>
      </c>
      <c r="R13" s="19">
        <f>M13+N13+O13+P13+Q13</f>
        <v>265127</v>
      </c>
      <c r="S13" s="19">
        <v>3000</v>
      </c>
      <c r="T13" s="19">
        <f>R13+S13</f>
        <v>268127</v>
      </c>
      <c r="U13" s="105"/>
      <c r="X13" s="10">
        <f>M13+N13+O13+P13</f>
        <v>265127</v>
      </c>
      <c r="Y13" s="2">
        <f>IF(X13&gt;5000000,10000,IF(V13&lt;5000000,0,IF(V13=5000000,10000)))</f>
        <v>0</v>
      </c>
      <c r="Z13" s="10">
        <f t="shared" ref="Z13:Z53" si="0">Q13-Y13</f>
        <v>0</v>
      </c>
    </row>
    <row r="14" spans="1:26" ht="18" customHeight="1" x14ac:dyDescent="0.25">
      <c r="A14" s="11">
        <v>2</v>
      </c>
      <c r="B14" s="52">
        <v>514010069462</v>
      </c>
      <c r="C14" s="53" t="s">
        <v>27</v>
      </c>
      <c r="D14" s="14" t="s">
        <v>28</v>
      </c>
      <c r="E14" s="53" t="s">
        <v>29</v>
      </c>
      <c r="F14" s="53" t="s">
        <v>24</v>
      </c>
      <c r="G14" s="153">
        <v>5500</v>
      </c>
      <c r="H14" s="54" t="s">
        <v>25</v>
      </c>
      <c r="I14" s="54" t="s">
        <v>30</v>
      </c>
      <c r="J14" s="53">
        <v>454</v>
      </c>
      <c r="K14" s="53">
        <v>771587</v>
      </c>
      <c r="L14" s="41">
        <v>454</v>
      </c>
      <c r="M14" s="41">
        <v>771587</v>
      </c>
      <c r="N14" s="154">
        <v>0</v>
      </c>
      <c r="O14" s="102">
        <v>0</v>
      </c>
      <c r="P14" s="102">
        <v>0</v>
      </c>
      <c r="Q14" s="20">
        <v>0</v>
      </c>
      <c r="R14" s="19">
        <f t="shared" ref="R14:R53" si="1">M14+N14+O14+P14+Q14</f>
        <v>771587</v>
      </c>
      <c r="S14" s="19">
        <v>3000</v>
      </c>
      <c r="T14" s="19">
        <f t="shared" ref="T14:T52" si="2">R14+S14</f>
        <v>774587</v>
      </c>
      <c r="U14" s="105"/>
      <c r="X14" s="10">
        <f t="shared" ref="X14:X77" si="3">M14+N14+O14+P14</f>
        <v>771587</v>
      </c>
      <c r="Y14" s="2">
        <f t="shared" ref="Y14:Y77" si="4">IF(X14&gt;5000000,10000,IF(V14&lt;5000000,0,IF(V14=5000000,10000)))</f>
        <v>0</v>
      </c>
      <c r="Z14" s="10">
        <f t="shared" si="0"/>
        <v>0</v>
      </c>
    </row>
    <row r="15" spans="1:26" ht="18" customHeight="1" x14ac:dyDescent="0.25">
      <c r="A15" s="11">
        <v>3</v>
      </c>
      <c r="B15" s="52">
        <v>514010106842</v>
      </c>
      <c r="C15" s="53" t="s">
        <v>31</v>
      </c>
      <c r="D15" s="14" t="s">
        <v>28</v>
      </c>
      <c r="E15" s="53" t="s">
        <v>32</v>
      </c>
      <c r="F15" s="53" t="s">
        <v>24</v>
      </c>
      <c r="G15" s="153">
        <v>5500</v>
      </c>
      <c r="H15" s="54" t="s">
        <v>25</v>
      </c>
      <c r="I15" s="54" t="s">
        <v>33</v>
      </c>
      <c r="J15" s="53">
        <v>220</v>
      </c>
      <c r="K15" s="53">
        <v>373897</v>
      </c>
      <c r="L15" s="41">
        <v>220</v>
      </c>
      <c r="M15" s="41">
        <v>373897</v>
      </c>
      <c r="N15" s="154">
        <v>0</v>
      </c>
      <c r="O15" s="102">
        <v>0</v>
      </c>
      <c r="P15" s="102">
        <v>0</v>
      </c>
      <c r="Q15" s="20">
        <v>0</v>
      </c>
      <c r="R15" s="19">
        <f t="shared" si="1"/>
        <v>373897</v>
      </c>
      <c r="S15" s="19">
        <v>3000</v>
      </c>
      <c r="T15" s="19">
        <f t="shared" si="2"/>
        <v>376897</v>
      </c>
      <c r="U15" s="105"/>
      <c r="X15" s="10">
        <f t="shared" si="3"/>
        <v>373897</v>
      </c>
      <c r="Y15" s="2">
        <f t="shared" si="4"/>
        <v>0</v>
      </c>
      <c r="Z15" s="10">
        <f t="shared" si="0"/>
        <v>0</v>
      </c>
    </row>
    <row r="16" spans="1:26" ht="18" customHeight="1" x14ac:dyDescent="0.25">
      <c r="A16" s="11">
        <v>4</v>
      </c>
      <c r="B16" s="52">
        <v>514010171334</v>
      </c>
      <c r="C16" s="53" t="s">
        <v>34</v>
      </c>
      <c r="D16" s="14" t="s">
        <v>28</v>
      </c>
      <c r="E16" s="53" t="s">
        <v>35</v>
      </c>
      <c r="F16" s="53" t="s">
        <v>24</v>
      </c>
      <c r="G16" s="153">
        <v>5500</v>
      </c>
      <c r="H16" s="54" t="s">
        <v>25</v>
      </c>
      <c r="I16" s="54" t="s">
        <v>36</v>
      </c>
      <c r="J16" s="53">
        <v>3349</v>
      </c>
      <c r="K16" s="53">
        <v>5691726</v>
      </c>
      <c r="L16" s="41">
        <v>3349</v>
      </c>
      <c r="M16" s="41">
        <v>5691726</v>
      </c>
      <c r="N16" s="154">
        <v>0</v>
      </c>
      <c r="O16" s="102">
        <v>0</v>
      </c>
      <c r="P16" s="102">
        <v>0</v>
      </c>
      <c r="Q16" s="20">
        <v>10000</v>
      </c>
      <c r="R16" s="19">
        <f t="shared" si="1"/>
        <v>5701726</v>
      </c>
      <c r="S16" s="19">
        <v>3000</v>
      </c>
      <c r="T16" s="19">
        <f t="shared" si="2"/>
        <v>5704726</v>
      </c>
      <c r="U16" s="105"/>
      <c r="X16" s="10">
        <f t="shared" si="3"/>
        <v>5691726</v>
      </c>
      <c r="Y16" s="2">
        <f t="shared" si="4"/>
        <v>10000</v>
      </c>
      <c r="Z16" s="10">
        <f t="shared" si="0"/>
        <v>0</v>
      </c>
    </row>
    <row r="17" spans="1:26" ht="18" customHeight="1" x14ac:dyDescent="0.25">
      <c r="A17" s="11">
        <v>5</v>
      </c>
      <c r="B17" s="52">
        <v>514010171724</v>
      </c>
      <c r="C17" s="53" t="s">
        <v>37</v>
      </c>
      <c r="D17" s="14" t="s">
        <v>28</v>
      </c>
      <c r="E17" s="53" t="s">
        <v>32</v>
      </c>
      <c r="F17" s="53" t="s">
        <v>24</v>
      </c>
      <c r="G17" s="153">
        <v>3500</v>
      </c>
      <c r="H17" s="54" t="s">
        <v>25</v>
      </c>
      <c r="I17" s="54" t="s">
        <v>38</v>
      </c>
      <c r="J17" s="53">
        <v>259</v>
      </c>
      <c r="K17" s="53">
        <v>440178</v>
      </c>
      <c r="L17" s="41">
        <v>259</v>
      </c>
      <c r="M17" s="41">
        <v>440178</v>
      </c>
      <c r="N17" s="154">
        <v>0</v>
      </c>
      <c r="O17" s="102">
        <v>0</v>
      </c>
      <c r="P17" s="102">
        <v>0</v>
      </c>
      <c r="Q17" s="20">
        <v>0</v>
      </c>
      <c r="R17" s="19">
        <f t="shared" si="1"/>
        <v>440178</v>
      </c>
      <c r="S17" s="19">
        <v>3000</v>
      </c>
      <c r="T17" s="19">
        <f t="shared" si="2"/>
        <v>443178</v>
      </c>
      <c r="U17" s="105"/>
      <c r="X17" s="10">
        <f t="shared" si="3"/>
        <v>440178</v>
      </c>
      <c r="Y17" s="2">
        <f t="shared" si="4"/>
        <v>0</v>
      </c>
      <c r="Z17" s="10">
        <f t="shared" si="0"/>
        <v>0</v>
      </c>
    </row>
    <row r="18" spans="1:26" ht="18" customHeight="1" x14ac:dyDescent="0.25">
      <c r="A18" s="11">
        <v>6</v>
      </c>
      <c r="B18" s="52">
        <v>514010250086</v>
      </c>
      <c r="C18" s="53" t="s">
        <v>39</v>
      </c>
      <c r="D18" s="14" t="s">
        <v>28</v>
      </c>
      <c r="E18" s="53" t="s">
        <v>40</v>
      </c>
      <c r="F18" s="53" t="s">
        <v>24</v>
      </c>
      <c r="G18" s="153">
        <v>7700</v>
      </c>
      <c r="H18" s="54" t="s">
        <v>25</v>
      </c>
      <c r="I18" s="54" t="s">
        <v>41</v>
      </c>
      <c r="J18" s="53">
        <v>2044</v>
      </c>
      <c r="K18" s="53">
        <v>3473839</v>
      </c>
      <c r="L18" s="41">
        <v>2044</v>
      </c>
      <c r="M18" s="41">
        <v>3473839</v>
      </c>
      <c r="N18" s="154">
        <v>0</v>
      </c>
      <c r="O18" s="102">
        <v>0</v>
      </c>
      <c r="P18" s="102">
        <v>0</v>
      </c>
      <c r="Q18" s="20">
        <v>0</v>
      </c>
      <c r="R18" s="19">
        <f t="shared" si="1"/>
        <v>3473839</v>
      </c>
      <c r="S18" s="19">
        <v>3000</v>
      </c>
      <c r="T18" s="19">
        <f t="shared" si="2"/>
        <v>3476839</v>
      </c>
      <c r="U18" s="105"/>
      <c r="X18" s="10">
        <f t="shared" si="3"/>
        <v>3473839</v>
      </c>
      <c r="Y18" s="2">
        <f t="shared" si="4"/>
        <v>0</v>
      </c>
      <c r="Z18" s="10">
        <f t="shared" si="0"/>
        <v>0</v>
      </c>
    </row>
    <row r="19" spans="1:26" ht="18" customHeight="1" x14ac:dyDescent="0.25">
      <c r="A19" s="11">
        <v>7</v>
      </c>
      <c r="B19" s="52">
        <v>514010328979</v>
      </c>
      <c r="C19" s="53" t="s">
        <v>42</v>
      </c>
      <c r="D19" s="14" t="s">
        <v>28</v>
      </c>
      <c r="E19" s="53" t="s">
        <v>43</v>
      </c>
      <c r="F19" s="53" t="s">
        <v>24</v>
      </c>
      <c r="G19" s="153">
        <v>4400</v>
      </c>
      <c r="H19" s="54" t="s">
        <v>25</v>
      </c>
      <c r="I19" s="54" t="s">
        <v>44</v>
      </c>
      <c r="J19" s="53">
        <v>1240</v>
      </c>
      <c r="K19" s="53">
        <v>2107417</v>
      </c>
      <c r="L19" s="41">
        <v>1240</v>
      </c>
      <c r="M19" s="41">
        <v>2107417</v>
      </c>
      <c r="N19" s="154">
        <v>0</v>
      </c>
      <c r="O19" s="102">
        <v>0</v>
      </c>
      <c r="P19" s="102">
        <v>0</v>
      </c>
      <c r="Q19" s="20">
        <v>0</v>
      </c>
      <c r="R19" s="19">
        <f t="shared" si="1"/>
        <v>2107417</v>
      </c>
      <c r="S19" s="19">
        <v>3000</v>
      </c>
      <c r="T19" s="19">
        <f t="shared" si="2"/>
        <v>2110417</v>
      </c>
      <c r="U19" s="105"/>
      <c r="X19" s="10">
        <f t="shared" si="3"/>
        <v>2107417</v>
      </c>
      <c r="Y19" s="2">
        <f t="shared" si="4"/>
        <v>0</v>
      </c>
      <c r="Z19" s="10">
        <f t="shared" si="0"/>
        <v>0</v>
      </c>
    </row>
    <row r="20" spans="1:26" ht="18" customHeight="1" x14ac:dyDescent="0.25">
      <c r="A20" s="11">
        <v>8</v>
      </c>
      <c r="B20" s="52">
        <v>514010328987</v>
      </c>
      <c r="C20" s="53" t="s">
        <v>45</v>
      </c>
      <c r="D20" s="14" t="s">
        <v>28</v>
      </c>
      <c r="E20" s="53" t="s">
        <v>46</v>
      </c>
      <c r="F20" s="53" t="s">
        <v>24</v>
      </c>
      <c r="G20" s="153">
        <v>6600</v>
      </c>
      <c r="H20" s="54" t="s">
        <v>25</v>
      </c>
      <c r="I20" s="54" t="s">
        <v>47</v>
      </c>
      <c r="J20" s="53">
        <v>2475</v>
      </c>
      <c r="K20" s="53">
        <v>4206337</v>
      </c>
      <c r="L20" s="41">
        <v>2475</v>
      </c>
      <c r="M20" s="41">
        <v>4206337</v>
      </c>
      <c r="N20" s="154">
        <v>0</v>
      </c>
      <c r="O20" s="102">
        <v>0</v>
      </c>
      <c r="P20" s="102">
        <v>0</v>
      </c>
      <c r="Q20" s="20">
        <v>0</v>
      </c>
      <c r="R20" s="19">
        <f t="shared" si="1"/>
        <v>4206337</v>
      </c>
      <c r="S20" s="19">
        <v>3000</v>
      </c>
      <c r="T20" s="19">
        <f t="shared" si="2"/>
        <v>4209337</v>
      </c>
      <c r="U20" s="105"/>
      <c r="X20" s="10">
        <f t="shared" si="3"/>
        <v>4206337</v>
      </c>
      <c r="Y20" s="2">
        <f t="shared" si="4"/>
        <v>0</v>
      </c>
      <c r="Z20" s="10">
        <f t="shared" si="0"/>
        <v>0</v>
      </c>
    </row>
    <row r="21" spans="1:26" ht="18" customHeight="1" x14ac:dyDescent="0.25">
      <c r="A21" s="11">
        <v>9</v>
      </c>
      <c r="B21" s="52">
        <v>514010544679</v>
      </c>
      <c r="C21" s="53" t="s">
        <v>48</v>
      </c>
      <c r="D21" s="14" t="s">
        <v>28</v>
      </c>
      <c r="E21" s="53" t="s">
        <v>49</v>
      </c>
      <c r="F21" s="53" t="s">
        <v>24</v>
      </c>
      <c r="G21" s="153">
        <v>4400</v>
      </c>
      <c r="H21" s="54" t="s">
        <v>25</v>
      </c>
      <c r="I21" s="54" t="s">
        <v>50</v>
      </c>
      <c r="J21" s="53">
        <v>672</v>
      </c>
      <c r="K21" s="53">
        <v>1142084</v>
      </c>
      <c r="L21" s="41">
        <v>672</v>
      </c>
      <c r="M21" s="41">
        <v>1142084</v>
      </c>
      <c r="N21" s="154">
        <v>0</v>
      </c>
      <c r="O21" s="102">
        <v>0</v>
      </c>
      <c r="P21" s="102">
        <v>0</v>
      </c>
      <c r="Q21" s="20">
        <v>0</v>
      </c>
      <c r="R21" s="19">
        <f t="shared" si="1"/>
        <v>1142084</v>
      </c>
      <c r="S21" s="19">
        <v>3000</v>
      </c>
      <c r="T21" s="19">
        <f t="shared" si="2"/>
        <v>1145084</v>
      </c>
      <c r="U21" s="105"/>
      <c r="X21" s="10">
        <f t="shared" si="3"/>
        <v>1142084</v>
      </c>
      <c r="Y21" s="2">
        <f t="shared" si="4"/>
        <v>0</v>
      </c>
      <c r="Z21" s="10">
        <f t="shared" si="0"/>
        <v>0</v>
      </c>
    </row>
    <row r="22" spans="1:26" ht="18" customHeight="1" x14ac:dyDescent="0.25">
      <c r="A22" s="11">
        <v>10</v>
      </c>
      <c r="B22" s="52">
        <v>514010572303</v>
      </c>
      <c r="C22" s="53" t="s">
        <v>51</v>
      </c>
      <c r="D22" s="14" t="s">
        <v>28</v>
      </c>
      <c r="E22" s="53" t="s">
        <v>43</v>
      </c>
      <c r="F22" s="53" t="s">
        <v>24</v>
      </c>
      <c r="G22" s="153">
        <v>5500</v>
      </c>
      <c r="H22" s="54" t="s">
        <v>25</v>
      </c>
      <c r="I22" s="54" t="s">
        <v>52</v>
      </c>
      <c r="J22" s="53">
        <v>1821</v>
      </c>
      <c r="K22" s="53">
        <v>3094844</v>
      </c>
      <c r="L22" s="41">
        <v>1821</v>
      </c>
      <c r="M22" s="41">
        <v>3094844</v>
      </c>
      <c r="N22" s="154">
        <v>0</v>
      </c>
      <c r="O22" s="102">
        <v>0</v>
      </c>
      <c r="P22" s="102">
        <v>0</v>
      </c>
      <c r="Q22" s="20">
        <v>0</v>
      </c>
      <c r="R22" s="19">
        <f t="shared" si="1"/>
        <v>3094844</v>
      </c>
      <c r="S22" s="19">
        <v>3000</v>
      </c>
      <c r="T22" s="19">
        <f t="shared" si="2"/>
        <v>3097844</v>
      </c>
      <c r="U22" s="105"/>
      <c r="X22" s="10">
        <f t="shared" si="3"/>
        <v>3094844</v>
      </c>
      <c r="Y22" s="2">
        <f t="shared" si="4"/>
        <v>0</v>
      </c>
      <c r="Z22" s="10">
        <f t="shared" si="0"/>
        <v>0</v>
      </c>
    </row>
    <row r="23" spans="1:26" ht="18" customHeight="1" x14ac:dyDescent="0.25">
      <c r="A23" s="11">
        <v>11</v>
      </c>
      <c r="B23" s="52">
        <v>514010584882</v>
      </c>
      <c r="C23" s="53" t="s">
        <v>53</v>
      </c>
      <c r="D23" s="14" t="s">
        <v>28</v>
      </c>
      <c r="E23" s="53" t="s">
        <v>54</v>
      </c>
      <c r="F23" s="53" t="s">
        <v>24</v>
      </c>
      <c r="G23" s="153">
        <v>7700</v>
      </c>
      <c r="H23" s="54" t="s">
        <v>25</v>
      </c>
      <c r="I23" s="54" t="s">
        <v>55</v>
      </c>
      <c r="J23" s="53">
        <v>308</v>
      </c>
      <c r="K23" s="53">
        <v>523455</v>
      </c>
      <c r="L23" s="41">
        <v>308</v>
      </c>
      <c r="M23" s="41">
        <v>523455</v>
      </c>
      <c r="N23" s="154">
        <v>0</v>
      </c>
      <c r="O23" s="102">
        <v>0</v>
      </c>
      <c r="P23" s="102">
        <v>0</v>
      </c>
      <c r="Q23" s="20">
        <v>0</v>
      </c>
      <c r="R23" s="19">
        <f t="shared" si="1"/>
        <v>523455</v>
      </c>
      <c r="S23" s="19">
        <v>3000</v>
      </c>
      <c r="T23" s="19">
        <f t="shared" si="2"/>
        <v>526455</v>
      </c>
      <c r="U23" s="105"/>
      <c r="X23" s="10">
        <f t="shared" si="3"/>
        <v>523455</v>
      </c>
      <c r="Y23" s="2">
        <f t="shared" si="4"/>
        <v>0</v>
      </c>
      <c r="Z23" s="10">
        <f t="shared" si="0"/>
        <v>0</v>
      </c>
    </row>
    <row r="24" spans="1:26" ht="18" customHeight="1" x14ac:dyDescent="0.25">
      <c r="A24" s="11">
        <v>12</v>
      </c>
      <c r="B24" s="52">
        <v>514010585013</v>
      </c>
      <c r="C24" s="53" t="s">
        <v>56</v>
      </c>
      <c r="D24" s="14" t="s">
        <v>28</v>
      </c>
      <c r="E24" s="53" t="s">
        <v>57</v>
      </c>
      <c r="F24" s="53" t="s">
        <v>24</v>
      </c>
      <c r="G24" s="153">
        <v>3500</v>
      </c>
      <c r="H24" s="54" t="s">
        <v>25</v>
      </c>
      <c r="I24" s="54" t="s">
        <v>58</v>
      </c>
      <c r="J24" s="53">
        <v>1021</v>
      </c>
      <c r="K24" s="53">
        <v>1735220</v>
      </c>
      <c r="L24" s="41">
        <v>1021</v>
      </c>
      <c r="M24" s="41">
        <v>1735220</v>
      </c>
      <c r="N24" s="154">
        <v>0</v>
      </c>
      <c r="O24" s="102">
        <v>0</v>
      </c>
      <c r="P24" s="102">
        <v>0</v>
      </c>
      <c r="Q24" s="20">
        <v>0</v>
      </c>
      <c r="R24" s="19">
        <f t="shared" si="1"/>
        <v>1735220</v>
      </c>
      <c r="S24" s="19">
        <v>3000</v>
      </c>
      <c r="T24" s="19">
        <f t="shared" si="2"/>
        <v>1738220</v>
      </c>
      <c r="U24" s="105"/>
      <c r="X24" s="10">
        <f t="shared" si="3"/>
        <v>1735220</v>
      </c>
      <c r="Y24" s="2">
        <f t="shared" si="4"/>
        <v>0</v>
      </c>
      <c r="Z24" s="10">
        <f t="shared" si="0"/>
        <v>0</v>
      </c>
    </row>
    <row r="25" spans="1:26" ht="18" customHeight="1" x14ac:dyDescent="0.25">
      <c r="A25" s="11">
        <v>13</v>
      </c>
      <c r="B25" s="52">
        <v>514010585021</v>
      </c>
      <c r="C25" s="53" t="s">
        <v>59</v>
      </c>
      <c r="D25" s="14" t="s">
        <v>28</v>
      </c>
      <c r="E25" s="53" t="s">
        <v>60</v>
      </c>
      <c r="F25" s="53" t="s">
        <v>24</v>
      </c>
      <c r="G25" s="153">
        <v>7700</v>
      </c>
      <c r="H25" s="54" t="s">
        <v>25</v>
      </c>
      <c r="I25" s="54" t="s">
        <v>61</v>
      </c>
      <c r="J25" s="53">
        <v>1445</v>
      </c>
      <c r="K25" s="53">
        <v>2455821</v>
      </c>
      <c r="L25" s="41">
        <v>1445</v>
      </c>
      <c r="M25" s="41">
        <v>2455821</v>
      </c>
      <c r="N25" s="154">
        <v>0</v>
      </c>
      <c r="O25" s="102">
        <v>0</v>
      </c>
      <c r="P25" s="102">
        <v>0</v>
      </c>
      <c r="Q25" s="20">
        <v>0</v>
      </c>
      <c r="R25" s="19">
        <f t="shared" si="1"/>
        <v>2455821</v>
      </c>
      <c r="S25" s="19">
        <v>3000</v>
      </c>
      <c r="T25" s="19">
        <f t="shared" si="2"/>
        <v>2458821</v>
      </c>
      <c r="U25" s="105"/>
      <c r="X25" s="10">
        <f t="shared" si="3"/>
        <v>2455821</v>
      </c>
      <c r="Y25" s="2">
        <f t="shared" si="4"/>
        <v>0</v>
      </c>
      <c r="Z25" s="10">
        <f t="shared" si="0"/>
        <v>0</v>
      </c>
    </row>
    <row r="26" spans="1:26" ht="18" customHeight="1" x14ac:dyDescent="0.25">
      <c r="A26" s="11">
        <v>14</v>
      </c>
      <c r="B26" s="52">
        <v>514010585096</v>
      </c>
      <c r="C26" s="53" t="s">
        <v>62</v>
      </c>
      <c r="D26" s="14" t="s">
        <v>28</v>
      </c>
      <c r="E26" s="53" t="s">
        <v>63</v>
      </c>
      <c r="F26" s="53" t="s">
        <v>24</v>
      </c>
      <c r="G26" s="153">
        <v>4400</v>
      </c>
      <c r="H26" s="54" t="s">
        <v>25</v>
      </c>
      <c r="I26" s="54" t="s">
        <v>64</v>
      </c>
      <c r="J26" s="53">
        <v>1725</v>
      </c>
      <c r="K26" s="53">
        <v>2931689</v>
      </c>
      <c r="L26" s="41">
        <v>1725</v>
      </c>
      <c r="M26" s="41">
        <v>2931689</v>
      </c>
      <c r="N26" s="154">
        <v>0</v>
      </c>
      <c r="O26" s="102">
        <v>0</v>
      </c>
      <c r="P26" s="102">
        <v>0</v>
      </c>
      <c r="Q26" s="20">
        <v>0</v>
      </c>
      <c r="R26" s="19">
        <f t="shared" si="1"/>
        <v>2931689</v>
      </c>
      <c r="S26" s="19">
        <v>3000</v>
      </c>
      <c r="T26" s="19">
        <f t="shared" si="2"/>
        <v>2934689</v>
      </c>
      <c r="U26" s="105"/>
      <c r="X26" s="10">
        <f t="shared" si="3"/>
        <v>2931689</v>
      </c>
      <c r="Y26" s="2">
        <f t="shared" si="4"/>
        <v>0</v>
      </c>
      <c r="Z26" s="10">
        <f t="shared" si="0"/>
        <v>0</v>
      </c>
    </row>
    <row r="27" spans="1:26" ht="18" customHeight="1" x14ac:dyDescent="0.25">
      <c r="A27" s="11">
        <v>15</v>
      </c>
      <c r="B27" s="52">
        <v>514010585167</v>
      </c>
      <c r="C27" s="53" t="s">
        <v>65</v>
      </c>
      <c r="D27" s="14" t="s">
        <v>28</v>
      </c>
      <c r="E27" s="53" t="s">
        <v>66</v>
      </c>
      <c r="F27" s="53" t="s">
        <v>24</v>
      </c>
      <c r="G27" s="153">
        <v>3220</v>
      </c>
      <c r="H27" s="54" t="s">
        <v>25</v>
      </c>
      <c r="I27" s="54" t="s">
        <v>67</v>
      </c>
      <c r="J27" s="53">
        <v>1208</v>
      </c>
      <c r="K27" s="53">
        <v>2053032</v>
      </c>
      <c r="L27" s="41">
        <v>1208</v>
      </c>
      <c r="M27" s="41">
        <v>2053032</v>
      </c>
      <c r="N27" s="154">
        <v>0</v>
      </c>
      <c r="O27" s="102">
        <v>0</v>
      </c>
      <c r="P27" s="102">
        <v>0</v>
      </c>
      <c r="Q27" s="20">
        <v>0</v>
      </c>
      <c r="R27" s="19">
        <f t="shared" si="1"/>
        <v>2053032</v>
      </c>
      <c r="S27" s="19">
        <v>3000</v>
      </c>
      <c r="T27" s="19">
        <f t="shared" si="2"/>
        <v>2056032</v>
      </c>
      <c r="U27" s="105"/>
      <c r="X27" s="10">
        <f t="shared" si="3"/>
        <v>2053032</v>
      </c>
      <c r="Y27" s="2">
        <f t="shared" si="4"/>
        <v>0</v>
      </c>
      <c r="Z27" s="10">
        <f t="shared" si="0"/>
        <v>0</v>
      </c>
    </row>
    <row r="28" spans="1:26" ht="18" customHeight="1" x14ac:dyDescent="0.25">
      <c r="A28" s="11">
        <v>16</v>
      </c>
      <c r="B28" s="52">
        <v>514010585220</v>
      </c>
      <c r="C28" s="53" t="s">
        <v>56</v>
      </c>
      <c r="D28" s="14" t="s">
        <v>68</v>
      </c>
      <c r="E28" s="53" t="s">
        <v>57</v>
      </c>
      <c r="F28" s="53" t="s">
        <v>24</v>
      </c>
      <c r="G28" s="153">
        <v>4400</v>
      </c>
      <c r="H28" s="54" t="s">
        <v>25</v>
      </c>
      <c r="I28" s="54" t="s">
        <v>69</v>
      </c>
      <c r="J28" s="53">
        <v>1768</v>
      </c>
      <c r="K28" s="53">
        <v>3004769</v>
      </c>
      <c r="L28" s="41">
        <v>1768</v>
      </c>
      <c r="M28" s="41">
        <v>3004769</v>
      </c>
      <c r="N28" s="154">
        <v>0</v>
      </c>
      <c r="O28" s="102">
        <v>0</v>
      </c>
      <c r="P28" s="102">
        <v>0</v>
      </c>
      <c r="Q28" s="20">
        <v>0</v>
      </c>
      <c r="R28" s="19">
        <f t="shared" si="1"/>
        <v>3004769</v>
      </c>
      <c r="S28" s="19">
        <v>3000</v>
      </c>
      <c r="T28" s="19">
        <f t="shared" si="2"/>
        <v>3007769</v>
      </c>
      <c r="U28" s="105"/>
      <c r="X28" s="10">
        <f t="shared" si="3"/>
        <v>3004769</v>
      </c>
      <c r="Y28" s="2">
        <f t="shared" si="4"/>
        <v>0</v>
      </c>
      <c r="Z28" s="10">
        <f t="shared" si="0"/>
        <v>0</v>
      </c>
    </row>
    <row r="29" spans="1:26" ht="18" customHeight="1" x14ac:dyDescent="0.25">
      <c r="A29" s="11">
        <v>17</v>
      </c>
      <c r="B29" s="52">
        <v>514010585317</v>
      </c>
      <c r="C29" s="53" t="s">
        <v>70</v>
      </c>
      <c r="D29" s="14" t="s">
        <v>28</v>
      </c>
      <c r="E29" s="53" t="s">
        <v>35</v>
      </c>
      <c r="F29" s="53" t="s">
        <v>24</v>
      </c>
      <c r="G29" s="153">
        <v>5500</v>
      </c>
      <c r="H29" s="54" t="s">
        <v>25</v>
      </c>
      <c r="I29" s="54" t="s">
        <v>71</v>
      </c>
      <c r="J29" s="53">
        <v>1938</v>
      </c>
      <c r="K29" s="53">
        <v>3293689</v>
      </c>
      <c r="L29" s="41">
        <v>1938</v>
      </c>
      <c r="M29" s="41">
        <v>3293689</v>
      </c>
      <c r="N29" s="154">
        <v>0</v>
      </c>
      <c r="O29" s="102">
        <v>0</v>
      </c>
      <c r="P29" s="102">
        <v>0</v>
      </c>
      <c r="Q29" s="20">
        <v>0</v>
      </c>
      <c r="R29" s="19">
        <f t="shared" si="1"/>
        <v>3293689</v>
      </c>
      <c r="S29" s="19">
        <v>3000</v>
      </c>
      <c r="T29" s="19">
        <f t="shared" si="2"/>
        <v>3296689</v>
      </c>
      <c r="U29" s="105"/>
      <c r="X29" s="10">
        <f t="shared" si="3"/>
        <v>3293689</v>
      </c>
      <c r="Y29" s="2">
        <f t="shared" si="4"/>
        <v>0</v>
      </c>
      <c r="Z29" s="10">
        <f t="shared" si="0"/>
        <v>0</v>
      </c>
    </row>
    <row r="30" spans="1:26" ht="18" customHeight="1" x14ac:dyDescent="0.25">
      <c r="A30" s="11">
        <v>18</v>
      </c>
      <c r="B30" s="52">
        <v>514010585358</v>
      </c>
      <c r="C30" s="53" t="s">
        <v>72</v>
      </c>
      <c r="D30" s="14" t="s">
        <v>28</v>
      </c>
      <c r="E30" s="53" t="s">
        <v>73</v>
      </c>
      <c r="F30" s="53" t="s">
        <v>24</v>
      </c>
      <c r="G30" s="153">
        <v>7700</v>
      </c>
      <c r="H30" s="54" t="s">
        <v>25</v>
      </c>
      <c r="I30" s="54" t="s">
        <v>74</v>
      </c>
      <c r="J30" s="53">
        <v>2253</v>
      </c>
      <c r="K30" s="53">
        <v>3829041</v>
      </c>
      <c r="L30" s="41">
        <v>2253</v>
      </c>
      <c r="M30" s="41">
        <v>3829041</v>
      </c>
      <c r="N30" s="154">
        <v>0</v>
      </c>
      <c r="O30" s="102">
        <v>0</v>
      </c>
      <c r="P30" s="102">
        <v>0</v>
      </c>
      <c r="Q30" s="20">
        <v>0</v>
      </c>
      <c r="R30" s="19">
        <f t="shared" si="1"/>
        <v>3829041</v>
      </c>
      <c r="S30" s="19">
        <v>3000</v>
      </c>
      <c r="T30" s="19">
        <f t="shared" si="2"/>
        <v>3832041</v>
      </c>
      <c r="U30" s="105"/>
      <c r="X30" s="10">
        <f t="shared" si="3"/>
        <v>3829041</v>
      </c>
      <c r="Y30" s="2">
        <f t="shared" si="4"/>
        <v>0</v>
      </c>
      <c r="Z30" s="10">
        <f t="shared" si="0"/>
        <v>0</v>
      </c>
    </row>
    <row r="31" spans="1:26" ht="18" customHeight="1" x14ac:dyDescent="0.25">
      <c r="A31" s="11">
        <v>19</v>
      </c>
      <c r="B31" s="52">
        <v>514010585382</v>
      </c>
      <c r="C31" s="53" t="s">
        <v>75</v>
      </c>
      <c r="D31" s="14" t="s">
        <v>28</v>
      </c>
      <c r="E31" s="53" t="s">
        <v>76</v>
      </c>
      <c r="F31" s="53" t="s">
        <v>24</v>
      </c>
      <c r="G31" s="153">
        <v>5500</v>
      </c>
      <c r="H31" s="54" t="s">
        <v>25</v>
      </c>
      <c r="I31" s="54" t="s">
        <v>77</v>
      </c>
      <c r="J31" s="53">
        <v>1109</v>
      </c>
      <c r="K31" s="53">
        <v>1884779</v>
      </c>
      <c r="L31" s="41">
        <v>1109</v>
      </c>
      <c r="M31" s="41">
        <v>1884779</v>
      </c>
      <c r="N31" s="154">
        <v>0</v>
      </c>
      <c r="O31" s="102">
        <v>0</v>
      </c>
      <c r="P31" s="102">
        <v>0</v>
      </c>
      <c r="Q31" s="20">
        <v>0</v>
      </c>
      <c r="R31" s="19">
        <f t="shared" si="1"/>
        <v>1884779</v>
      </c>
      <c r="S31" s="19">
        <v>3000</v>
      </c>
      <c r="T31" s="19">
        <f t="shared" si="2"/>
        <v>1887779</v>
      </c>
      <c r="U31" s="105"/>
      <c r="X31" s="10">
        <f t="shared" si="3"/>
        <v>1884779</v>
      </c>
      <c r="Y31" s="2">
        <f t="shared" si="4"/>
        <v>0</v>
      </c>
      <c r="Z31" s="10">
        <f t="shared" si="0"/>
        <v>0</v>
      </c>
    </row>
    <row r="32" spans="1:26" ht="18" customHeight="1" x14ac:dyDescent="0.25">
      <c r="A32" s="11">
        <v>20</v>
      </c>
      <c r="B32" s="52">
        <v>514010585403</v>
      </c>
      <c r="C32" s="53" t="s">
        <v>78</v>
      </c>
      <c r="D32" s="14" t="s">
        <v>28</v>
      </c>
      <c r="E32" s="53" t="s">
        <v>79</v>
      </c>
      <c r="F32" s="53" t="s">
        <v>24</v>
      </c>
      <c r="G32" s="153">
        <v>5500</v>
      </c>
      <c r="H32" s="54" t="s">
        <v>25</v>
      </c>
      <c r="I32" s="54" t="s">
        <v>80</v>
      </c>
      <c r="J32" s="53">
        <v>2319</v>
      </c>
      <c r="K32" s="53">
        <v>3941210</v>
      </c>
      <c r="L32" s="41">
        <v>2319</v>
      </c>
      <c r="M32" s="41">
        <v>3941210</v>
      </c>
      <c r="N32" s="154">
        <v>0</v>
      </c>
      <c r="O32" s="102">
        <v>0</v>
      </c>
      <c r="P32" s="102">
        <v>0</v>
      </c>
      <c r="Q32" s="20">
        <v>0</v>
      </c>
      <c r="R32" s="19">
        <f t="shared" si="1"/>
        <v>3941210</v>
      </c>
      <c r="S32" s="19">
        <v>3000</v>
      </c>
      <c r="T32" s="19">
        <f t="shared" si="2"/>
        <v>3944210</v>
      </c>
      <c r="U32" s="105"/>
      <c r="X32" s="10">
        <f t="shared" si="3"/>
        <v>3941210</v>
      </c>
      <c r="Y32" s="2">
        <f t="shared" si="4"/>
        <v>0</v>
      </c>
      <c r="Z32" s="10">
        <f t="shared" si="0"/>
        <v>0</v>
      </c>
    </row>
    <row r="33" spans="1:26" ht="18" customHeight="1" x14ac:dyDescent="0.25">
      <c r="A33" s="11">
        <v>21</v>
      </c>
      <c r="B33" s="52">
        <v>514010585411</v>
      </c>
      <c r="C33" s="53" t="s">
        <v>81</v>
      </c>
      <c r="D33" s="14" t="s">
        <v>28</v>
      </c>
      <c r="E33" s="53" t="s">
        <v>82</v>
      </c>
      <c r="F33" s="53" t="s">
        <v>24</v>
      </c>
      <c r="G33" s="153">
        <v>4400</v>
      </c>
      <c r="H33" s="54" t="s">
        <v>25</v>
      </c>
      <c r="I33" s="54" t="s">
        <v>83</v>
      </c>
      <c r="J33" s="53">
        <v>698</v>
      </c>
      <c r="K33" s="53">
        <v>1186272</v>
      </c>
      <c r="L33" s="41">
        <v>698</v>
      </c>
      <c r="M33" s="41">
        <v>1186272</v>
      </c>
      <c r="N33" s="154">
        <v>0</v>
      </c>
      <c r="O33" s="102">
        <v>0</v>
      </c>
      <c r="P33" s="102">
        <v>0</v>
      </c>
      <c r="Q33" s="20">
        <v>0</v>
      </c>
      <c r="R33" s="19">
        <f t="shared" si="1"/>
        <v>1186272</v>
      </c>
      <c r="S33" s="19">
        <v>3000</v>
      </c>
      <c r="T33" s="19">
        <f t="shared" si="2"/>
        <v>1189272</v>
      </c>
      <c r="U33" s="105"/>
      <c r="X33" s="10">
        <f t="shared" si="3"/>
        <v>1186272</v>
      </c>
      <c r="Y33" s="2">
        <f t="shared" si="4"/>
        <v>0</v>
      </c>
      <c r="Z33" s="10">
        <f t="shared" si="0"/>
        <v>0</v>
      </c>
    </row>
    <row r="34" spans="1:26" ht="18" customHeight="1" x14ac:dyDescent="0.25">
      <c r="A34" s="11">
        <v>22</v>
      </c>
      <c r="B34" s="52">
        <v>514010600224</v>
      </c>
      <c r="C34" s="53" t="s">
        <v>84</v>
      </c>
      <c r="D34" s="14" t="s">
        <v>28</v>
      </c>
      <c r="E34" s="53" t="s">
        <v>85</v>
      </c>
      <c r="F34" s="53" t="s">
        <v>24</v>
      </c>
      <c r="G34" s="153">
        <v>3500</v>
      </c>
      <c r="H34" s="54" t="s">
        <v>25</v>
      </c>
      <c r="I34" s="54" t="s">
        <v>86</v>
      </c>
      <c r="J34" s="53">
        <v>1290</v>
      </c>
      <c r="K34" s="53">
        <v>2192394</v>
      </c>
      <c r="L34" s="41">
        <v>1290</v>
      </c>
      <c r="M34" s="41">
        <v>2192394</v>
      </c>
      <c r="N34" s="154">
        <v>0</v>
      </c>
      <c r="O34" s="102">
        <v>0</v>
      </c>
      <c r="P34" s="102">
        <v>0</v>
      </c>
      <c r="Q34" s="20">
        <v>0</v>
      </c>
      <c r="R34" s="19">
        <f t="shared" si="1"/>
        <v>2192394</v>
      </c>
      <c r="S34" s="19">
        <v>3000</v>
      </c>
      <c r="T34" s="19">
        <f t="shared" si="2"/>
        <v>2195394</v>
      </c>
      <c r="U34" s="105"/>
      <c r="X34" s="10">
        <f t="shared" si="3"/>
        <v>2192394</v>
      </c>
      <c r="Y34" s="2">
        <f t="shared" si="4"/>
        <v>0</v>
      </c>
      <c r="Z34" s="10">
        <f t="shared" si="0"/>
        <v>0</v>
      </c>
    </row>
    <row r="35" spans="1:26" ht="18" customHeight="1" x14ac:dyDescent="0.25">
      <c r="A35" s="11">
        <v>23</v>
      </c>
      <c r="B35" s="52">
        <v>514010600232</v>
      </c>
      <c r="C35" s="53" t="s">
        <v>87</v>
      </c>
      <c r="D35" s="14" t="s">
        <v>28</v>
      </c>
      <c r="E35" s="53" t="s">
        <v>88</v>
      </c>
      <c r="F35" s="53" t="s">
        <v>24</v>
      </c>
      <c r="G35" s="153">
        <v>4400</v>
      </c>
      <c r="H35" s="54" t="s">
        <v>25</v>
      </c>
      <c r="I35" s="54" t="s">
        <v>89</v>
      </c>
      <c r="J35" s="53">
        <v>1681</v>
      </c>
      <c r="K35" s="53">
        <v>2856910</v>
      </c>
      <c r="L35" s="41">
        <v>1681</v>
      </c>
      <c r="M35" s="41">
        <v>2856910</v>
      </c>
      <c r="N35" s="154">
        <v>0</v>
      </c>
      <c r="O35" s="102">
        <v>0</v>
      </c>
      <c r="P35" s="102">
        <v>0</v>
      </c>
      <c r="Q35" s="20">
        <v>0</v>
      </c>
      <c r="R35" s="19">
        <f t="shared" si="1"/>
        <v>2856910</v>
      </c>
      <c r="S35" s="19">
        <v>3000</v>
      </c>
      <c r="T35" s="19">
        <f t="shared" si="2"/>
        <v>2859910</v>
      </c>
      <c r="U35" s="105"/>
      <c r="X35" s="10">
        <f t="shared" si="3"/>
        <v>2856910</v>
      </c>
      <c r="Y35" s="2">
        <f t="shared" si="4"/>
        <v>0</v>
      </c>
      <c r="Z35" s="10">
        <f t="shared" si="0"/>
        <v>0</v>
      </c>
    </row>
    <row r="36" spans="1:26" ht="18" customHeight="1" x14ac:dyDescent="0.25">
      <c r="A36" s="11">
        <v>24</v>
      </c>
      <c r="B36" s="52">
        <v>514010600265</v>
      </c>
      <c r="C36" s="53" t="s">
        <v>90</v>
      </c>
      <c r="D36" s="14" t="s">
        <v>28</v>
      </c>
      <c r="E36" s="53" t="s">
        <v>91</v>
      </c>
      <c r="F36" s="53" t="s">
        <v>24</v>
      </c>
      <c r="G36" s="153">
        <v>4400</v>
      </c>
      <c r="H36" s="54" t="s">
        <v>25</v>
      </c>
      <c r="I36" s="54" t="s">
        <v>92</v>
      </c>
      <c r="J36" s="53">
        <v>1843</v>
      </c>
      <c r="K36" s="53">
        <v>3132234</v>
      </c>
      <c r="L36" s="41">
        <v>1843</v>
      </c>
      <c r="M36" s="41">
        <v>3132234</v>
      </c>
      <c r="N36" s="154">
        <v>0</v>
      </c>
      <c r="O36" s="102">
        <v>0</v>
      </c>
      <c r="P36" s="102">
        <v>0</v>
      </c>
      <c r="Q36" s="20">
        <v>0</v>
      </c>
      <c r="R36" s="19">
        <f t="shared" si="1"/>
        <v>3132234</v>
      </c>
      <c r="S36" s="19">
        <v>3000</v>
      </c>
      <c r="T36" s="19">
        <f t="shared" si="2"/>
        <v>3135234</v>
      </c>
      <c r="U36" s="105"/>
      <c r="X36" s="10">
        <f t="shared" si="3"/>
        <v>3132234</v>
      </c>
      <c r="Y36" s="2">
        <f t="shared" si="4"/>
        <v>0</v>
      </c>
      <c r="Z36" s="10">
        <f t="shared" si="0"/>
        <v>0</v>
      </c>
    </row>
    <row r="37" spans="1:26" ht="18" customHeight="1" x14ac:dyDescent="0.25">
      <c r="A37" s="11">
        <v>25</v>
      </c>
      <c r="B37" s="52">
        <v>514010600281</v>
      </c>
      <c r="C37" s="53" t="s">
        <v>93</v>
      </c>
      <c r="D37" s="14" t="s">
        <v>28</v>
      </c>
      <c r="E37" s="53" t="s">
        <v>94</v>
      </c>
      <c r="F37" s="53" t="s">
        <v>24</v>
      </c>
      <c r="G37" s="153">
        <v>4400</v>
      </c>
      <c r="H37" s="54" t="s">
        <v>25</v>
      </c>
      <c r="I37" s="54" t="s">
        <v>95</v>
      </c>
      <c r="J37" s="53">
        <v>1291</v>
      </c>
      <c r="K37" s="53">
        <v>2194093</v>
      </c>
      <c r="L37" s="41">
        <v>1291</v>
      </c>
      <c r="M37" s="41">
        <v>2194093</v>
      </c>
      <c r="N37" s="154">
        <v>0</v>
      </c>
      <c r="O37" s="102">
        <v>0</v>
      </c>
      <c r="P37" s="102">
        <v>0</v>
      </c>
      <c r="Q37" s="20">
        <v>0</v>
      </c>
      <c r="R37" s="19">
        <f t="shared" si="1"/>
        <v>2194093</v>
      </c>
      <c r="S37" s="19">
        <v>3000</v>
      </c>
      <c r="T37" s="19">
        <f t="shared" si="2"/>
        <v>2197093</v>
      </c>
      <c r="U37" s="105"/>
      <c r="X37" s="10">
        <f t="shared" si="3"/>
        <v>2194093</v>
      </c>
      <c r="Y37" s="2">
        <f t="shared" si="4"/>
        <v>0</v>
      </c>
      <c r="Z37" s="10">
        <f t="shared" si="0"/>
        <v>0</v>
      </c>
    </row>
    <row r="38" spans="1:26" ht="18" customHeight="1" x14ac:dyDescent="0.25">
      <c r="A38" s="11">
        <v>26</v>
      </c>
      <c r="B38" s="52">
        <v>514010600299</v>
      </c>
      <c r="C38" s="53" t="s">
        <v>96</v>
      </c>
      <c r="D38" s="14" t="s">
        <v>28</v>
      </c>
      <c r="E38" s="53" t="s">
        <v>97</v>
      </c>
      <c r="F38" s="53" t="s">
        <v>24</v>
      </c>
      <c r="G38" s="153">
        <v>3500</v>
      </c>
      <c r="H38" s="54" t="s">
        <v>25</v>
      </c>
      <c r="I38" s="54" t="s">
        <v>98</v>
      </c>
      <c r="J38" s="53">
        <v>1849</v>
      </c>
      <c r="K38" s="53">
        <v>3142431</v>
      </c>
      <c r="L38" s="41">
        <v>1849</v>
      </c>
      <c r="M38" s="41">
        <v>3142431</v>
      </c>
      <c r="N38" s="154">
        <v>0</v>
      </c>
      <c r="O38" s="102">
        <v>0</v>
      </c>
      <c r="P38" s="102">
        <v>0</v>
      </c>
      <c r="Q38" s="20">
        <v>0</v>
      </c>
      <c r="R38" s="19">
        <f t="shared" si="1"/>
        <v>3142431</v>
      </c>
      <c r="S38" s="19">
        <v>3000</v>
      </c>
      <c r="T38" s="19">
        <f t="shared" si="2"/>
        <v>3145431</v>
      </c>
      <c r="U38" s="105"/>
      <c r="X38" s="10">
        <f t="shared" si="3"/>
        <v>3142431</v>
      </c>
      <c r="Y38" s="2">
        <f t="shared" si="4"/>
        <v>0</v>
      </c>
      <c r="Z38" s="10">
        <f t="shared" si="0"/>
        <v>0</v>
      </c>
    </row>
    <row r="39" spans="1:26" ht="18" customHeight="1" x14ac:dyDescent="0.25">
      <c r="A39" s="11">
        <v>27</v>
      </c>
      <c r="B39" s="52">
        <v>514010600303</v>
      </c>
      <c r="C39" s="53" t="s">
        <v>99</v>
      </c>
      <c r="D39" s="14" t="s">
        <v>28</v>
      </c>
      <c r="E39" s="53" t="s">
        <v>29</v>
      </c>
      <c r="F39" s="53" t="s">
        <v>24</v>
      </c>
      <c r="G39" s="153">
        <v>5500</v>
      </c>
      <c r="H39" s="54" t="s">
        <v>25</v>
      </c>
      <c r="I39" s="54" t="s">
        <v>100</v>
      </c>
      <c r="J39" s="53">
        <v>834</v>
      </c>
      <c r="K39" s="53">
        <v>1417408</v>
      </c>
      <c r="L39" s="41">
        <v>834</v>
      </c>
      <c r="M39" s="41">
        <v>1417408</v>
      </c>
      <c r="N39" s="154">
        <v>0</v>
      </c>
      <c r="O39" s="102">
        <v>0</v>
      </c>
      <c r="P39" s="102">
        <v>0</v>
      </c>
      <c r="Q39" s="20">
        <v>0</v>
      </c>
      <c r="R39" s="19">
        <f t="shared" si="1"/>
        <v>1417408</v>
      </c>
      <c r="S39" s="19">
        <v>3000</v>
      </c>
      <c r="T39" s="19">
        <f t="shared" si="2"/>
        <v>1420408</v>
      </c>
      <c r="U39" s="105"/>
      <c r="X39" s="10">
        <f t="shared" si="3"/>
        <v>1417408</v>
      </c>
      <c r="Y39" s="2">
        <f t="shared" si="4"/>
        <v>0</v>
      </c>
      <c r="Z39" s="10">
        <f t="shared" si="0"/>
        <v>0</v>
      </c>
    </row>
    <row r="40" spans="1:26" ht="18" customHeight="1" x14ac:dyDescent="0.25">
      <c r="A40" s="11">
        <v>28</v>
      </c>
      <c r="B40" s="52">
        <v>514010600311</v>
      </c>
      <c r="C40" s="53" t="s">
        <v>101</v>
      </c>
      <c r="D40" s="14" t="s">
        <v>28</v>
      </c>
      <c r="E40" s="53" t="s">
        <v>91</v>
      </c>
      <c r="F40" s="53" t="s">
        <v>24</v>
      </c>
      <c r="G40" s="153">
        <v>5500</v>
      </c>
      <c r="H40" s="54" t="s">
        <v>25</v>
      </c>
      <c r="I40" s="54" t="s">
        <v>102</v>
      </c>
      <c r="J40" s="53">
        <v>1658</v>
      </c>
      <c r="K40" s="53">
        <v>2817821</v>
      </c>
      <c r="L40" s="41">
        <v>1658</v>
      </c>
      <c r="M40" s="41">
        <v>2817821</v>
      </c>
      <c r="N40" s="154">
        <v>0</v>
      </c>
      <c r="O40" s="102">
        <v>0</v>
      </c>
      <c r="P40" s="102">
        <v>0</v>
      </c>
      <c r="Q40" s="20">
        <v>0</v>
      </c>
      <c r="R40" s="19">
        <f t="shared" si="1"/>
        <v>2817821</v>
      </c>
      <c r="S40" s="19">
        <v>3000</v>
      </c>
      <c r="T40" s="19">
        <f t="shared" si="2"/>
        <v>2820821</v>
      </c>
      <c r="U40" s="105"/>
      <c r="X40" s="10">
        <f t="shared" si="3"/>
        <v>2817821</v>
      </c>
      <c r="Y40" s="2">
        <f t="shared" si="4"/>
        <v>0</v>
      </c>
      <c r="Z40" s="10">
        <f t="shared" si="0"/>
        <v>0</v>
      </c>
    </row>
    <row r="41" spans="1:26" ht="18" customHeight="1" x14ac:dyDescent="0.25">
      <c r="A41" s="11">
        <v>29</v>
      </c>
      <c r="B41" s="52">
        <v>514010605880</v>
      </c>
      <c r="C41" s="53" t="s">
        <v>103</v>
      </c>
      <c r="D41" s="14" t="s">
        <v>28</v>
      </c>
      <c r="E41" s="53" t="s">
        <v>104</v>
      </c>
      <c r="F41" s="53" t="s">
        <v>24</v>
      </c>
      <c r="G41" s="153">
        <v>4400</v>
      </c>
      <c r="H41" s="54" t="s">
        <v>25</v>
      </c>
      <c r="I41" s="54" t="s">
        <v>105</v>
      </c>
      <c r="J41" s="53">
        <v>1184</v>
      </c>
      <c r="K41" s="53">
        <v>2012244</v>
      </c>
      <c r="L41" s="41">
        <v>1184</v>
      </c>
      <c r="M41" s="41">
        <v>2012244</v>
      </c>
      <c r="N41" s="154">
        <v>0</v>
      </c>
      <c r="O41" s="102">
        <v>0</v>
      </c>
      <c r="P41" s="102">
        <v>0</v>
      </c>
      <c r="Q41" s="20">
        <v>0</v>
      </c>
      <c r="R41" s="19">
        <f t="shared" si="1"/>
        <v>2012244</v>
      </c>
      <c r="S41" s="19">
        <v>3000</v>
      </c>
      <c r="T41" s="19">
        <f t="shared" si="2"/>
        <v>2015244</v>
      </c>
      <c r="U41" s="105"/>
      <c r="X41" s="10">
        <f t="shared" si="3"/>
        <v>2012244</v>
      </c>
      <c r="Y41" s="2">
        <f t="shared" si="4"/>
        <v>0</v>
      </c>
      <c r="Z41" s="10">
        <f t="shared" si="0"/>
        <v>0</v>
      </c>
    </row>
    <row r="42" spans="1:26" ht="18" customHeight="1" x14ac:dyDescent="0.25">
      <c r="A42" s="11">
        <v>30</v>
      </c>
      <c r="B42" s="52">
        <v>514010605898</v>
      </c>
      <c r="C42" s="53" t="s">
        <v>106</v>
      </c>
      <c r="D42" s="14" t="s">
        <v>28</v>
      </c>
      <c r="E42" s="53" t="s">
        <v>107</v>
      </c>
      <c r="F42" s="53" t="s">
        <v>24</v>
      </c>
      <c r="G42" s="153">
        <v>3500</v>
      </c>
      <c r="H42" s="54" t="s">
        <v>25</v>
      </c>
      <c r="I42" s="54" t="s">
        <v>108</v>
      </c>
      <c r="J42" s="53">
        <v>468</v>
      </c>
      <c r="K42" s="53">
        <v>795380</v>
      </c>
      <c r="L42" s="41">
        <v>468</v>
      </c>
      <c r="M42" s="41">
        <v>795380</v>
      </c>
      <c r="N42" s="154">
        <v>0</v>
      </c>
      <c r="O42" s="102">
        <v>0</v>
      </c>
      <c r="P42" s="102">
        <v>0</v>
      </c>
      <c r="Q42" s="20">
        <v>0</v>
      </c>
      <c r="R42" s="19">
        <f t="shared" si="1"/>
        <v>795380</v>
      </c>
      <c r="S42" s="19">
        <v>3000</v>
      </c>
      <c r="T42" s="19">
        <f t="shared" si="2"/>
        <v>798380</v>
      </c>
      <c r="U42" s="105"/>
      <c r="X42" s="10">
        <f t="shared" si="3"/>
        <v>795380</v>
      </c>
      <c r="Y42" s="2">
        <f t="shared" si="4"/>
        <v>0</v>
      </c>
      <c r="Z42" s="10">
        <f t="shared" si="0"/>
        <v>0</v>
      </c>
    </row>
    <row r="43" spans="1:26" ht="18" customHeight="1" x14ac:dyDescent="0.25">
      <c r="A43" s="11">
        <v>31</v>
      </c>
      <c r="B43" s="52">
        <v>514010605910</v>
      </c>
      <c r="C43" s="53" t="s">
        <v>109</v>
      </c>
      <c r="D43" s="14" t="s">
        <v>28</v>
      </c>
      <c r="E43" s="53" t="s">
        <v>110</v>
      </c>
      <c r="F43" s="53" t="s">
        <v>24</v>
      </c>
      <c r="G43" s="153">
        <v>1920</v>
      </c>
      <c r="H43" s="54" t="s">
        <v>25</v>
      </c>
      <c r="I43" s="54" t="s">
        <v>111</v>
      </c>
      <c r="J43" s="53">
        <v>752</v>
      </c>
      <c r="K43" s="53">
        <v>1278047</v>
      </c>
      <c r="L43" s="41">
        <v>752</v>
      </c>
      <c r="M43" s="41">
        <v>1278047</v>
      </c>
      <c r="N43" s="154">
        <v>0</v>
      </c>
      <c r="O43" s="102">
        <v>0</v>
      </c>
      <c r="P43" s="102">
        <v>0</v>
      </c>
      <c r="Q43" s="20">
        <v>0</v>
      </c>
      <c r="R43" s="19">
        <f t="shared" si="1"/>
        <v>1278047</v>
      </c>
      <c r="S43" s="19">
        <v>3000</v>
      </c>
      <c r="T43" s="19">
        <f t="shared" si="2"/>
        <v>1281047</v>
      </c>
      <c r="U43" s="105"/>
      <c r="X43" s="10">
        <f t="shared" si="3"/>
        <v>1278047</v>
      </c>
      <c r="Y43" s="2">
        <f t="shared" si="4"/>
        <v>0</v>
      </c>
      <c r="Z43" s="10">
        <f t="shared" si="0"/>
        <v>0</v>
      </c>
    </row>
    <row r="44" spans="1:26" ht="18" customHeight="1" x14ac:dyDescent="0.25">
      <c r="A44" s="11">
        <v>32</v>
      </c>
      <c r="B44" s="52">
        <v>514010605928</v>
      </c>
      <c r="C44" s="53" t="s">
        <v>112</v>
      </c>
      <c r="D44" s="14" t="s">
        <v>28</v>
      </c>
      <c r="E44" s="53" t="s">
        <v>113</v>
      </c>
      <c r="F44" s="53" t="s">
        <v>24</v>
      </c>
      <c r="G44" s="153">
        <v>2200</v>
      </c>
      <c r="H44" s="54" t="s">
        <v>25</v>
      </c>
      <c r="I44" s="54" t="s">
        <v>114</v>
      </c>
      <c r="J44" s="53">
        <v>440</v>
      </c>
      <c r="K44" s="53">
        <v>747793</v>
      </c>
      <c r="L44" s="41">
        <v>440</v>
      </c>
      <c r="M44" s="41">
        <v>747793</v>
      </c>
      <c r="N44" s="154">
        <v>0</v>
      </c>
      <c r="O44" s="102">
        <v>0</v>
      </c>
      <c r="P44" s="102">
        <v>0</v>
      </c>
      <c r="Q44" s="20">
        <v>0</v>
      </c>
      <c r="R44" s="19">
        <f t="shared" si="1"/>
        <v>747793</v>
      </c>
      <c r="S44" s="19">
        <v>3000</v>
      </c>
      <c r="T44" s="19">
        <f t="shared" si="2"/>
        <v>750793</v>
      </c>
      <c r="U44" s="105"/>
      <c r="X44" s="10">
        <f t="shared" si="3"/>
        <v>747793</v>
      </c>
      <c r="Y44" s="2">
        <f t="shared" si="4"/>
        <v>0</v>
      </c>
      <c r="Z44" s="10">
        <f t="shared" si="0"/>
        <v>0</v>
      </c>
    </row>
    <row r="45" spans="1:26" ht="18" customHeight="1" x14ac:dyDescent="0.25">
      <c r="A45" s="11">
        <v>33</v>
      </c>
      <c r="B45" s="52">
        <v>514010608783</v>
      </c>
      <c r="C45" s="53" t="s">
        <v>115</v>
      </c>
      <c r="D45" s="14" t="s">
        <v>28</v>
      </c>
      <c r="E45" s="53" t="s">
        <v>116</v>
      </c>
      <c r="F45" s="53" t="s">
        <v>24</v>
      </c>
      <c r="G45" s="153">
        <v>7700</v>
      </c>
      <c r="H45" s="54" t="s">
        <v>25</v>
      </c>
      <c r="I45" s="54" t="s">
        <v>117</v>
      </c>
      <c r="J45" s="53">
        <v>2731</v>
      </c>
      <c r="K45" s="53">
        <v>4641416</v>
      </c>
      <c r="L45" s="41">
        <v>2731</v>
      </c>
      <c r="M45" s="41">
        <v>4641416</v>
      </c>
      <c r="N45" s="154">
        <v>0</v>
      </c>
      <c r="O45" s="102">
        <v>0</v>
      </c>
      <c r="P45" s="102">
        <v>0</v>
      </c>
      <c r="Q45" s="20">
        <v>0</v>
      </c>
      <c r="R45" s="19">
        <f t="shared" si="1"/>
        <v>4641416</v>
      </c>
      <c r="S45" s="19">
        <v>3000</v>
      </c>
      <c r="T45" s="19">
        <f t="shared" si="2"/>
        <v>4644416</v>
      </c>
      <c r="U45" s="105"/>
      <c r="X45" s="10">
        <f t="shared" si="3"/>
        <v>4641416</v>
      </c>
      <c r="Y45" s="2">
        <f t="shared" si="4"/>
        <v>0</v>
      </c>
      <c r="Z45" s="10">
        <f t="shared" si="0"/>
        <v>0</v>
      </c>
    </row>
    <row r="46" spans="1:26" ht="18" customHeight="1" x14ac:dyDescent="0.25">
      <c r="A46" s="11">
        <v>34</v>
      </c>
      <c r="B46" s="52">
        <v>514010608838</v>
      </c>
      <c r="C46" s="53" t="s">
        <v>118</v>
      </c>
      <c r="D46" s="14" t="s">
        <v>28</v>
      </c>
      <c r="E46" s="53" t="s">
        <v>119</v>
      </c>
      <c r="F46" s="53" t="s">
        <v>24</v>
      </c>
      <c r="G46" s="153">
        <v>7700</v>
      </c>
      <c r="H46" s="54" t="s">
        <v>25</v>
      </c>
      <c r="I46" s="54" t="s">
        <v>120</v>
      </c>
      <c r="J46" s="53">
        <v>1159</v>
      </c>
      <c r="K46" s="53">
        <v>1969755</v>
      </c>
      <c r="L46" s="41">
        <v>1159</v>
      </c>
      <c r="M46" s="41">
        <v>1969755</v>
      </c>
      <c r="N46" s="154">
        <v>0</v>
      </c>
      <c r="O46" s="102">
        <v>0</v>
      </c>
      <c r="P46" s="102">
        <v>0</v>
      </c>
      <c r="Q46" s="20">
        <v>0</v>
      </c>
      <c r="R46" s="19">
        <f t="shared" si="1"/>
        <v>1969755</v>
      </c>
      <c r="S46" s="19">
        <v>3000</v>
      </c>
      <c r="T46" s="19">
        <f t="shared" si="2"/>
        <v>1972755</v>
      </c>
      <c r="U46" s="105"/>
      <c r="X46" s="10">
        <f t="shared" si="3"/>
        <v>1969755</v>
      </c>
      <c r="Y46" s="2">
        <f t="shared" si="4"/>
        <v>0</v>
      </c>
      <c r="Z46" s="10">
        <f t="shared" si="0"/>
        <v>0</v>
      </c>
    </row>
    <row r="47" spans="1:26" ht="18" customHeight="1" x14ac:dyDescent="0.25">
      <c r="A47" s="11">
        <v>35</v>
      </c>
      <c r="B47" s="52">
        <v>514010608846</v>
      </c>
      <c r="C47" s="53" t="s">
        <v>121</v>
      </c>
      <c r="D47" s="14" t="s">
        <v>28</v>
      </c>
      <c r="E47" s="53" t="s">
        <v>122</v>
      </c>
      <c r="F47" s="53" t="s">
        <v>24</v>
      </c>
      <c r="G47" s="153">
        <v>4400</v>
      </c>
      <c r="H47" s="54" t="s">
        <v>25</v>
      </c>
      <c r="I47" s="54" t="s">
        <v>123</v>
      </c>
      <c r="J47" s="53">
        <v>715</v>
      </c>
      <c r="K47" s="53">
        <v>1215164</v>
      </c>
      <c r="L47" s="41">
        <v>715</v>
      </c>
      <c r="M47" s="41">
        <v>1215164</v>
      </c>
      <c r="N47" s="154">
        <v>0</v>
      </c>
      <c r="O47" s="102">
        <v>0</v>
      </c>
      <c r="P47" s="102">
        <v>0</v>
      </c>
      <c r="Q47" s="20">
        <v>0</v>
      </c>
      <c r="R47" s="19">
        <f t="shared" si="1"/>
        <v>1215164</v>
      </c>
      <c r="S47" s="19">
        <v>3000</v>
      </c>
      <c r="T47" s="19">
        <f t="shared" si="2"/>
        <v>1218164</v>
      </c>
      <c r="U47" s="105"/>
      <c r="X47" s="10">
        <f t="shared" si="3"/>
        <v>1215164</v>
      </c>
      <c r="Y47" s="2">
        <f t="shared" si="4"/>
        <v>0</v>
      </c>
      <c r="Z47" s="10">
        <f t="shared" si="0"/>
        <v>0</v>
      </c>
    </row>
    <row r="48" spans="1:26" ht="18" customHeight="1" x14ac:dyDescent="0.25">
      <c r="A48" s="11">
        <v>36</v>
      </c>
      <c r="B48" s="52">
        <v>514010608853</v>
      </c>
      <c r="C48" s="53" t="s">
        <v>124</v>
      </c>
      <c r="D48" s="14" t="s">
        <v>28</v>
      </c>
      <c r="E48" s="53" t="s">
        <v>125</v>
      </c>
      <c r="F48" s="53" t="s">
        <v>24</v>
      </c>
      <c r="G48" s="153">
        <v>4400</v>
      </c>
      <c r="H48" s="54" t="s">
        <v>25</v>
      </c>
      <c r="I48" s="54" t="s">
        <v>126</v>
      </c>
      <c r="J48" s="53">
        <v>946</v>
      </c>
      <c r="K48" s="53">
        <v>1607755</v>
      </c>
      <c r="L48" s="41">
        <v>946</v>
      </c>
      <c r="M48" s="41">
        <v>1607755</v>
      </c>
      <c r="N48" s="154">
        <v>0</v>
      </c>
      <c r="O48" s="102">
        <v>0</v>
      </c>
      <c r="P48" s="102">
        <v>0</v>
      </c>
      <c r="Q48" s="20">
        <v>0</v>
      </c>
      <c r="R48" s="19">
        <f t="shared" si="1"/>
        <v>1607755</v>
      </c>
      <c r="S48" s="19">
        <v>3000</v>
      </c>
      <c r="T48" s="19">
        <f t="shared" si="2"/>
        <v>1610755</v>
      </c>
      <c r="U48" s="105"/>
      <c r="X48" s="10">
        <f t="shared" si="3"/>
        <v>1607755</v>
      </c>
      <c r="Y48" s="2">
        <f t="shared" si="4"/>
        <v>0</v>
      </c>
      <c r="Z48" s="10">
        <f t="shared" si="0"/>
        <v>0</v>
      </c>
    </row>
    <row r="49" spans="1:26" ht="18" customHeight="1" x14ac:dyDescent="0.25">
      <c r="A49" s="11">
        <v>37</v>
      </c>
      <c r="B49" s="52">
        <v>514010608861</v>
      </c>
      <c r="C49" s="53" t="s">
        <v>127</v>
      </c>
      <c r="D49" s="14" t="s">
        <v>28</v>
      </c>
      <c r="E49" s="53" t="s">
        <v>128</v>
      </c>
      <c r="F49" s="53" t="s">
        <v>24</v>
      </c>
      <c r="G49" s="153">
        <v>4400</v>
      </c>
      <c r="H49" s="54" t="s">
        <v>25</v>
      </c>
      <c r="I49" s="54" t="s">
        <v>129</v>
      </c>
      <c r="J49" s="53">
        <v>1427</v>
      </c>
      <c r="K49" s="53">
        <v>2425229</v>
      </c>
      <c r="L49" s="41">
        <v>1427</v>
      </c>
      <c r="M49" s="41">
        <v>2425229</v>
      </c>
      <c r="N49" s="154">
        <v>0</v>
      </c>
      <c r="O49" s="102">
        <v>0</v>
      </c>
      <c r="P49" s="102">
        <v>0</v>
      </c>
      <c r="Q49" s="20">
        <v>0</v>
      </c>
      <c r="R49" s="19">
        <f t="shared" si="1"/>
        <v>2425229</v>
      </c>
      <c r="S49" s="19">
        <v>3000</v>
      </c>
      <c r="T49" s="19">
        <f t="shared" si="2"/>
        <v>2428229</v>
      </c>
      <c r="U49" s="105"/>
      <c r="X49" s="10">
        <f t="shared" si="3"/>
        <v>2425229</v>
      </c>
      <c r="Y49" s="2">
        <f t="shared" si="4"/>
        <v>0</v>
      </c>
      <c r="Z49" s="10">
        <f t="shared" si="0"/>
        <v>0</v>
      </c>
    </row>
    <row r="50" spans="1:26" ht="18" customHeight="1" x14ac:dyDescent="0.25">
      <c r="A50" s="11">
        <v>38</v>
      </c>
      <c r="B50" s="52">
        <v>514010608879</v>
      </c>
      <c r="C50" s="53" t="s">
        <v>130</v>
      </c>
      <c r="D50" s="14" t="s">
        <v>28</v>
      </c>
      <c r="E50" s="53" t="s">
        <v>131</v>
      </c>
      <c r="F50" s="53" t="s">
        <v>24</v>
      </c>
      <c r="G50" s="153">
        <v>3500</v>
      </c>
      <c r="H50" s="54" t="s">
        <v>25</v>
      </c>
      <c r="I50" s="54" t="s">
        <v>132</v>
      </c>
      <c r="J50" s="53">
        <v>465</v>
      </c>
      <c r="K50" s="53">
        <v>790281</v>
      </c>
      <c r="L50" s="41">
        <v>465</v>
      </c>
      <c r="M50" s="41">
        <v>790281</v>
      </c>
      <c r="N50" s="154">
        <v>0</v>
      </c>
      <c r="O50" s="102">
        <v>0</v>
      </c>
      <c r="P50" s="102">
        <v>0</v>
      </c>
      <c r="Q50" s="20">
        <v>0</v>
      </c>
      <c r="R50" s="19">
        <f t="shared" si="1"/>
        <v>790281</v>
      </c>
      <c r="S50" s="19">
        <v>3000</v>
      </c>
      <c r="T50" s="19">
        <f t="shared" si="2"/>
        <v>793281</v>
      </c>
      <c r="U50" s="105"/>
      <c r="X50" s="10">
        <f t="shared" si="3"/>
        <v>790281</v>
      </c>
      <c r="Y50" s="2">
        <f t="shared" si="4"/>
        <v>0</v>
      </c>
      <c r="Z50" s="10">
        <f t="shared" si="0"/>
        <v>0</v>
      </c>
    </row>
    <row r="51" spans="1:26" ht="18" customHeight="1" x14ac:dyDescent="0.25">
      <c r="A51" s="11">
        <v>39</v>
      </c>
      <c r="B51" s="52">
        <v>514010608887</v>
      </c>
      <c r="C51" s="53" t="s">
        <v>133</v>
      </c>
      <c r="D51" s="14" t="s">
        <v>28</v>
      </c>
      <c r="E51" s="53" t="s">
        <v>134</v>
      </c>
      <c r="F51" s="53" t="s">
        <v>24</v>
      </c>
      <c r="G51" s="153">
        <v>3500</v>
      </c>
      <c r="H51" s="54" t="s">
        <v>25</v>
      </c>
      <c r="I51" s="54" t="s">
        <v>135</v>
      </c>
      <c r="J51" s="53">
        <v>738</v>
      </c>
      <c r="K51" s="53">
        <v>1254253</v>
      </c>
      <c r="L51" s="41">
        <v>738</v>
      </c>
      <c r="M51" s="41">
        <v>1254253</v>
      </c>
      <c r="N51" s="154">
        <v>0</v>
      </c>
      <c r="O51" s="102">
        <v>0</v>
      </c>
      <c r="P51" s="102">
        <v>0</v>
      </c>
      <c r="Q51" s="20">
        <v>0</v>
      </c>
      <c r="R51" s="19">
        <f t="shared" si="1"/>
        <v>1254253</v>
      </c>
      <c r="S51" s="19">
        <v>3000</v>
      </c>
      <c r="T51" s="19">
        <f t="shared" si="2"/>
        <v>1257253</v>
      </c>
      <c r="U51" s="105"/>
      <c r="X51" s="10">
        <f t="shared" si="3"/>
        <v>1254253</v>
      </c>
      <c r="Y51" s="2">
        <f t="shared" si="4"/>
        <v>0</v>
      </c>
      <c r="Z51" s="10">
        <f t="shared" si="0"/>
        <v>0</v>
      </c>
    </row>
    <row r="52" spans="1:26" ht="18" customHeight="1" x14ac:dyDescent="0.25">
      <c r="A52" s="11">
        <v>40</v>
      </c>
      <c r="B52" s="52">
        <v>514010608895</v>
      </c>
      <c r="C52" s="53" t="s">
        <v>136</v>
      </c>
      <c r="D52" s="14" t="s">
        <v>28</v>
      </c>
      <c r="E52" s="53" t="s">
        <v>137</v>
      </c>
      <c r="F52" s="53" t="s">
        <v>24</v>
      </c>
      <c r="G52" s="153">
        <v>5500</v>
      </c>
      <c r="H52" s="54" t="s">
        <v>25</v>
      </c>
      <c r="I52" s="54" t="s">
        <v>138</v>
      </c>
      <c r="J52" s="53">
        <v>1888</v>
      </c>
      <c r="K52" s="53">
        <v>3208713</v>
      </c>
      <c r="L52" s="41">
        <v>1888</v>
      </c>
      <c r="M52" s="41">
        <v>3208713</v>
      </c>
      <c r="N52" s="154">
        <v>0</v>
      </c>
      <c r="O52" s="102">
        <v>0</v>
      </c>
      <c r="P52" s="102">
        <v>0</v>
      </c>
      <c r="Q52" s="20">
        <v>0</v>
      </c>
      <c r="R52" s="19">
        <f t="shared" si="1"/>
        <v>3208713</v>
      </c>
      <c r="S52" s="19">
        <v>3000</v>
      </c>
      <c r="T52" s="19">
        <f t="shared" si="2"/>
        <v>3211713</v>
      </c>
      <c r="U52" s="105"/>
      <c r="X52" s="10">
        <f t="shared" si="3"/>
        <v>3208713</v>
      </c>
      <c r="Y52" s="2">
        <f t="shared" si="4"/>
        <v>0</v>
      </c>
      <c r="Z52" s="10">
        <f t="shared" si="0"/>
        <v>0</v>
      </c>
    </row>
    <row r="53" spans="1:26" ht="18" customHeight="1" x14ac:dyDescent="0.25">
      <c r="A53" s="11"/>
      <c r="B53" s="12"/>
      <c r="C53" s="13"/>
      <c r="D53" s="13"/>
      <c r="E53" s="14"/>
      <c r="F53" s="15"/>
      <c r="G53" s="16"/>
      <c r="H53" s="17"/>
      <c r="I53" s="15" t="s">
        <v>0</v>
      </c>
      <c r="J53" s="15"/>
      <c r="K53" s="15"/>
      <c r="L53" s="18" t="s">
        <v>0</v>
      </c>
      <c r="M53" s="19"/>
      <c r="N53" s="20"/>
      <c r="O53" s="20"/>
      <c r="P53" s="20"/>
      <c r="Q53" s="20"/>
      <c r="R53" s="19">
        <f t="shared" si="1"/>
        <v>0</v>
      </c>
      <c r="S53" s="19"/>
      <c r="T53" s="19"/>
      <c r="U53" s="105"/>
      <c r="X53" s="10">
        <f t="shared" si="3"/>
        <v>0</v>
      </c>
      <c r="Y53" s="2">
        <f t="shared" si="4"/>
        <v>0</v>
      </c>
      <c r="Z53" s="10">
        <f t="shared" si="0"/>
        <v>0</v>
      </c>
    </row>
    <row r="54" spans="1:26" s="25" customFormat="1" ht="33" customHeight="1" x14ac:dyDescent="0.25">
      <c r="A54" s="190" t="s">
        <v>139</v>
      </c>
      <c r="B54" s="190"/>
      <c r="C54" s="190"/>
      <c r="D54" s="190"/>
      <c r="E54" s="190"/>
      <c r="F54" s="190"/>
      <c r="G54" s="22">
        <f>SUM(G13:G53)</f>
        <v>195940</v>
      </c>
      <c r="H54" s="22">
        <f t="shared" ref="H54:T54" si="5">SUM(H13:H53)</f>
        <v>0</v>
      </c>
      <c r="I54" s="22">
        <f t="shared" si="5"/>
        <v>0</v>
      </c>
      <c r="J54" s="22"/>
      <c r="K54" s="22"/>
      <c r="L54" s="22">
        <f t="shared" si="5"/>
        <v>51841</v>
      </c>
      <c r="M54" s="23">
        <f t="shared" si="5"/>
        <v>88105334</v>
      </c>
      <c r="N54" s="24">
        <f t="shared" si="5"/>
        <v>0</v>
      </c>
      <c r="O54" s="24">
        <f t="shared" si="5"/>
        <v>0</v>
      </c>
      <c r="P54" s="24">
        <f t="shared" si="5"/>
        <v>0</v>
      </c>
      <c r="Q54" s="24">
        <f t="shared" si="5"/>
        <v>10000</v>
      </c>
      <c r="R54" s="23">
        <f t="shared" si="5"/>
        <v>88115334</v>
      </c>
      <c r="S54" s="23">
        <f t="shared" si="5"/>
        <v>120000</v>
      </c>
      <c r="T54" s="23">
        <f t="shared" si="5"/>
        <v>88235334</v>
      </c>
      <c r="U54" s="146"/>
      <c r="X54" s="10">
        <f t="shared" si="3"/>
        <v>88105334</v>
      </c>
      <c r="Y54" s="2">
        <f t="shared" si="4"/>
        <v>10000</v>
      </c>
      <c r="Z54" s="10"/>
    </row>
    <row r="55" spans="1:26" s="25" customFormat="1" ht="18" customHeight="1" x14ac:dyDescent="0.25">
      <c r="A55" s="26"/>
      <c r="B55" s="26"/>
      <c r="C55" s="26"/>
      <c r="D55" s="26"/>
      <c r="E55" s="26"/>
      <c r="F55" s="26"/>
      <c r="G55" s="27"/>
      <c r="H55" s="27"/>
      <c r="I55" s="3"/>
      <c r="J55" s="3"/>
      <c r="K55" s="3"/>
      <c r="L55" s="28"/>
      <c r="M55" s="5"/>
      <c r="N55" s="29"/>
      <c r="O55" s="29"/>
      <c r="P55" s="29"/>
      <c r="Q55" s="29"/>
      <c r="R55" s="30"/>
      <c r="S55" s="30"/>
      <c r="T55" s="30"/>
      <c r="U55" s="30"/>
      <c r="X55" s="10">
        <f t="shared" si="3"/>
        <v>0</v>
      </c>
      <c r="Y55" s="2">
        <f t="shared" si="4"/>
        <v>0</v>
      </c>
      <c r="Z55" s="10"/>
    </row>
    <row r="56" spans="1:26" ht="18" customHeight="1" x14ac:dyDescent="0.25">
      <c r="A56" s="3"/>
      <c r="C56" s="3" t="s">
        <v>140</v>
      </c>
      <c r="D56" s="3"/>
      <c r="E56" s="3" t="s">
        <v>140</v>
      </c>
      <c r="I56" s="3" t="s">
        <v>0</v>
      </c>
      <c r="L56" s="31" t="s">
        <v>0</v>
      </c>
      <c r="X56" s="10">
        <f t="shared" si="3"/>
        <v>0</v>
      </c>
      <c r="Y56" s="2">
        <f t="shared" si="4"/>
        <v>0</v>
      </c>
      <c r="Z56" s="10"/>
    </row>
    <row r="57" spans="1:26" s="84" customFormat="1" ht="39" customHeight="1" x14ac:dyDescent="0.25">
      <c r="A57" s="9" t="s">
        <v>4</v>
      </c>
      <c r="B57" s="21" t="s">
        <v>5</v>
      </c>
      <c r="C57" s="21" t="s">
        <v>6</v>
      </c>
      <c r="D57" s="12"/>
      <c r="E57" s="9" t="s">
        <v>7</v>
      </c>
      <c r="F57" s="21" t="s">
        <v>8</v>
      </c>
      <c r="G57" s="21" t="s">
        <v>9</v>
      </c>
      <c r="H57" s="21" t="s">
        <v>10</v>
      </c>
      <c r="I57" s="21" t="s">
        <v>11</v>
      </c>
      <c r="J57" s="21" t="s">
        <v>12</v>
      </c>
      <c r="K57" s="21" t="s">
        <v>13</v>
      </c>
      <c r="L57" s="21" t="s">
        <v>14</v>
      </c>
      <c r="M57" s="143" t="s">
        <v>15</v>
      </c>
      <c r="N57" s="144" t="s">
        <v>16</v>
      </c>
      <c r="O57" s="144" t="s">
        <v>17</v>
      </c>
      <c r="P57" s="144" t="s">
        <v>18</v>
      </c>
      <c r="Q57" s="144" t="s">
        <v>19</v>
      </c>
      <c r="R57" s="143" t="s">
        <v>20</v>
      </c>
      <c r="S57" s="143" t="s">
        <v>3471</v>
      </c>
      <c r="T57" s="143" t="s">
        <v>3472</v>
      </c>
      <c r="U57" s="145"/>
      <c r="V57" s="145"/>
      <c r="W57" s="145"/>
      <c r="X57" s="145"/>
    </row>
    <row r="58" spans="1:26" ht="18" customHeight="1" x14ac:dyDescent="0.25">
      <c r="A58" s="34"/>
      <c r="B58" s="9"/>
      <c r="C58" s="15"/>
      <c r="D58" s="15"/>
      <c r="E58" s="15"/>
      <c r="F58" s="15"/>
      <c r="G58" s="15"/>
      <c r="H58" s="15"/>
      <c r="I58" s="15" t="s">
        <v>0</v>
      </c>
      <c r="J58" s="15"/>
      <c r="K58" s="15"/>
      <c r="L58" s="18" t="s">
        <v>0</v>
      </c>
      <c r="M58" s="19"/>
      <c r="N58" s="20"/>
      <c r="O58" s="20"/>
      <c r="P58" s="20"/>
      <c r="Q58" s="20"/>
      <c r="R58" s="19"/>
      <c r="S58" s="19"/>
      <c r="T58" s="19"/>
      <c r="U58" s="105"/>
      <c r="X58" s="10">
        <f t="shared" si="3"/>
        <v>0</v>
      </c>
      <c r="Y58" s="2">
        <f t="shared" si="4"/>
        <v>0</v>
      </c>
      <c r="Z58" s="10"/>
    </row>
    <row r="59" spans="1:26" ht="18" customHeight="1" x14ac:dyDescent="0.25">
      <c r="A59" s="14"/>
      <c r="B59" s="15"/>
      <c r="C59" s="14" t="s">
        <v>140</v>
      </c>
      <c r="D59" s="14"/>
      <c r="E59" s="35" t="s">
        <v>141</v>
      </c>
      <c r="F59" s="15"/>
      <c r="G59" s="36">
        <f>G54</f>
        <v>195940</v>
      </c>
      <c r="H59" s="36">
        <f t="shared" ref="H59:R59" si="6">H54</f>
        <v>0</v>
      </c>
      <c r="I59" s="36">
        <f t="shared" si="6"/>
        <v>0</v>
      </c>
      <c r="J59" s="36"/>
      <c r="K59" s="36"/>
      <c r="L59" s="36">
        <f t="shared" si="6"/>
        <v>51841</v>
      </c>
      <c r="M59" s="37">
        <f t="shared" si="6"/>
        <v>88105334</v>
      </c>
      <c r="N59" s="38">
        <f t="shared" si="6"/>
        <v>0</v>
      </c>
      <c r="O59" s="38">
        <f t="shared" si="6"/>
        <v>0</v>
      </c>
      <c r="P59" s="38">
        <f t="shared" si="6"/>
        <v>0</v>
      </c>
      <c r="Q59" s="38">
        <f t="shared" si="6"/>
        <v>10000</v>
      </c>
      <c r="R59" s="37">
        <f t="shared" si="6"/>
        <v>88115334</v>
      </c>
      <c r="S59" s="37">
        <f>S54</f>
        <v>120000</v>
      </c>
      <c r="T59" s="37">
        <f>T54</f>
        <v>88235334</v>
      </c>
      <c r="U59" s="147"/>
      <c r="X59" s="10">
        <f t="shared" si="3"/>
        <v>88105334</v>
      </c>
      <c r="Y59" s="2">
        <f t="shared" si="4"/>
        <v>10000</v>
      </c>
      <c r="Z59" s="10"/>
    </row>
    <row r="60" spans="1:26" ht="18" customHeight="1" x14ac:dyDescent="0.25">
      <c r="A60" s="11">
        <v>41</v>
      </c>
      <c r="B60" s="52">
        <v>514010608909</v>
      </c>
      <c r="C60" s="53" t="s">
        <v>142</v>
      </c>
      <c r="D60" s="14" t="s">
        <v>28</v>
      </c>
      <c r="E60" s="53" t="s">
        <v>143</v>
      </c>
      <c r="F60" s="53" t="s">
        <v>24</v>
      </c>
      <c r="G60" s="153">
        <v>3500</v>
      </c>
      <c r="H60" s="54" t="s">
        <v>25</v>
      </c>
      <c r="I60" s="54" t="s">
        <v>144</v>
      </c>
      <c r="J60" s="53">
        <v>1582</v>
      </c>
      <c r="K60" s="53">
        <v>2688656</v>
      </c>
      <c r="L60" s="41">
        <v>1582</v>
      </c>
      <c r="M60" s="41">
        <v>2688656</v>
      </c>
      <c r="N60" s="20">
        <v>0</v>
      </c>
      <c r="O60" s="102">
        <v>0</v>
      </c>
      <c r="P60" s="102">
        <v>0</v>
      </c>
      <c r="Q60" s="20">
        <v>0</v>
      </c>
      <c r="R60" s="19">
        <f>M60+N60+O60+P60+Q60</f>
        <v>2688656</v>
      </c>
      <c r="S60" s="19">
        <v>3000</v>
      </c>
      <c r="T60" s="19">
        <f t="shared" ref="T60:T99" si="7">R60+S60</f>
        <v>2691656</v>
      </c>
      <c r="U60" s="105"/>
      <c r="X60" s="10">
        <f t="shared" si="3"/>
        <v>2688656</v>
      </c>
      <c r="Y60" s="2">
        <f t="shared" si="4"/>
        <v>0</v>
      </c>
      <c r="Z60" s="10">
        <f t="shared" ref="Z60:Z99" si="8">Q60-Y60</f>
        <v>0</v>
      </c>
    </row>
    <row r="61" spans="1:26" ht="18" customHeight="1" x14ac:dyDescent="0.25">
      <c r="A61" s="11">
        <v>42</v>
      </c>
      <c r="B61" s="52">
        <v>514010608925</v>
      </c>
      <c r="C61" s="53" t="s">
        <v>145</v>
      </c>
      <c r="D61" s="14" t="s">
        <v>28</v>
      </c>
      <c r="E61" s="53" t="s">
        <v>146</v>
      </c>
      <c r="F61" s="53" t="s">
        <v>24</v>
      </c>
      <c r="G61" s="153">
        <v>560</v>
      </c>
      <c r="H61" s="54" t="s">
        <v>25</v>
      </c>
      <c r="I61" s="54" t="s">
        <v>147</v>
      </c>
      <c r="J61" s="53">
        <v>210</v>
      </c>
      <c r="K61" s="53">
        <v>356901</v>
      </c>
      <c r="L61" s="41">
        <v>210</v>
      </c>
      <c r="M61" s="41">
        <v>356901</v>
      </c>
      <c r="N61" s="20">
        <v>0</v>
      </c>
      <c r="O61" s="102">
        <v>0</v>
      </c>
      <c r="P61" s="102">
        <v>0</v>
      </c>
      <c r="Q61" s="20">
        <v>0</v>
      </c>
      <c r="R61" s="19">
        <f t="shared" ref="R61:R99" si="9">M61+N61+O61+P61+Q61</f>
        <v>356901</v>
      </c>
      <c r="S61" s="19">
        <v>3000</v>
      </c>
      <c r="T61" s="19">
        <f t="shared" si="7"/>
        <v>359901</v>
      </c>
      <c r="U61" s="105"/>
      <c r="X61" s="10">
        <f t="shared" si="3"/>
        <v>356901</v>
      </c>
      <c r="Y61" s="2">
        <f t="shared" si="4"/>
        <v>0</v>
      </c>
      <c r="Z61" s="10">
        <f t="shared" si="8"/>
        <v>0</v>
      </c>
    </row>
    <row r="62" spans="1:26" ht="18" customHeight="1" x14ac:dyDescent="0.25">
      <c r="A62" s="11">
        <v>43</v>
      </c>
      <c r="B62" s="52">
        <v>514010608933</v>
      </c>
      <c r="C62" s="53" t="s">
        <v>148</v>
      </c>
      <c r="D62" s="14" t="s">
        <v>28</v>
      </c>
      <c r="E62" s="53" t="s">
        <v>149</v>
      </c>
      <c r="F62" s="53" t="s">
        <v>24</v>
      </c>
      <c r="G62" s="153">
        <v>3500</v>
      </c>
      <c r="H62" s="54" t="s">
        <v>25</v>
      </c>
      <c r="I62" s="54" t="s">
        <v>150</v>
      </c>
      <c r="J62" s="53">
        <v>588</v>
      </c>
      <c r="K62" s="53">
        <v>999324</v>
      </c>
      <c r="L62" s="41">
        <v>588</v>
      </c>
      <c r="M62" s="41">
        <v>999324</v>
      </c>
      <c r="N62" s="20">
        <v>0</v>
      </c>
      <c r="O62" s="102">
        <v>0</v>
      </c>
      <c r="P62" s="102">
        <v>0</v>
      </c>
      <c r="Q62" s="20">
        <v>0</v>
      </c>
      <c r="R62" s="19">
        <f t="shared" si="9"/>
        <v>999324</v>
      </c>
      <c r="S62" s="19">
        <v>3000</v>
      </c>
      <c r="T62" s="19">
        <f t="shared" si="7"/>
        <v>1002324</v>
      </c>
      <c r="U62" s="105"/>
      <c r="X62" s="10">
        <f t="shared" si="3"/>
        <v>999324</v>
      </c>
      <c r="Y62" s="2">
        <f t="shared" si="4"/>
        <v>0</v>
      </c>
      <c r="Z62" s="10">
        <f t="shared" si="8"/>
        <v>0</v>
      </c>
    </row>
    <row r="63" spans="1:26" ht="18" customHeight="1" x14ac:dyDescent="0.25">
      <c r="A63" s="11">
        <v>44</v>
      </c>
      <c r="B63" s="52">
        <v>514010608982</v>
      </c>
      <c r="C63" s="53" t="s">
        <v>151</v>
      </c>
      <c r="D63" s="14" t="s">
        <v>28</v>
      </c>
      <c r="E63" s="53" t="s">
        <v>152</v>
      </c>
      <c r="F63" s="53" t="s">
        <v>24</v>
      </c>
      <c r="G63" s="153">
        <v>960</v>
      </c>
      <c r="H63" s="54" t="s">
        <v>25</v>
      </c>
      <c r="I63" s="54" t="s">
        <v>153</v>
      </c>
      <c r="J63" s="53">
        <v>360</v>
      </c>
      <c r="K63" s="53">
        <v>611831</v>
      </c>
      <c r="L63" s="41">
        <v>360</v>
      </c>
      <c r="M63" s="41">
        <v>611831</v>
      </c>
      <c r="N63" s="20">
        <v>0</v>
      </c>
      <c r="O63" s="102">
        <v>0</v>
      </c>
      <c r="P63" s="102">
        <v>0</v>
      </c>
      <c r="Q63" s="20">
        <v>0</v>
      </c>
      <c r="R63" s="19">
        <f t="shared" si="9"/>
        <v>611831</v>
      </c>
      <c r="S63" s="19">
        <v>3000</v>
      </c>
      <c r="T63" s="19">
        <f t="shared" si="7"/>
        <v>614831</v>
      </c>
      <c r="U63" s="105"/>
      <c r="X63" s="10">
        <f t="shared" si="3"/>
        <v>611831</v>
      </c>
      <c r="Y63" s="2">
        <f t="shared" si="4"/>
        <v>0</v>
      </c>
      <c r="Z63" s="10">
        <f t="shared" si="8"/>
        <v>0</v>
      </c>
    </row>
    <row r="64" spans="1:26" ht="18" customHeight="1" x14ac:dyDescent="0.25">
      <c r="A64" s="11">
        <v>45</v>
      </c>
      <c r="B64" s="52">
        <v>514010608990</v>
      </c>
      <c r="C64" s="53" t="s">
        <v>154</v>
      </c>
      <c r="D64" s="14" t="s">
        <v>28</v>
      </c>
      <c r="E64" s="53" t="s">
        <v>155</v>
      </c>
      <c r="F64" s="53" t="s">
        <v>24</v>
      </c>
      <c r="G64" s="153">
        <v>5500</v>
      </c>
      <c r="H64" s="54" t="s">
        <v>25</v>
      </c>
      <c r="I64" s="54" t="s">
        <v>156</v>
      </c>
      <c r="J64" s="53">
        <v>1202</v>
      </c>
      <c r="K64" s="53">
        <v>2042835</v>
      </c>
      <c r="L64" s="41">
        <v>1202</v>
      </c>
      <c r="M64" s="41">
        <v>2042835</v>
      </c>
      <c r="N64" s="20">
        <v>0</v>
      </c>
      <c r="O64" s="102">
        <v>0</v>
      </c>
      <c r="P64" s="102">
        <v>0</v>
      </c>
      <c r="Q64" s="20">
        <v>0</v>
      </c>
      <c r="R64" s="19">
        <f t="shared" si="9"/>
        <v>2042835</v>
      </c>
      <c r="S64" s="19">
        <v>3000</v>
      </c>
      <c r="T64" s="19">
        <f t="shared" si="7"/>
        <v>2045835</v>
      </c>
      <c r="U64" s="105"/>
      <c r="X64" s="10">
        <f t="shared" si="3"/>
        <v>2042835</v>
      </c>
      <c r="Y64" s="2">
        <f t="shared" si="4"/>
        <v>0</v>
      </c>
      <c r="Z64" s="10">
        <f t="shared" si="8"/>
        <v>0</v>
      </c>
    </row>
    <row r="65" spans="1:26" ht="18" customHeight="1" x14ac:dyDescent="0.25">
      <c r="A65" s="11">
        <v>46</v>
      </c>
      <c r="B65" s="52">
        <v>514010609806</v>
      </c>
      <c r="C65" s="53" t="s">
        <v>157</v>
      </c>
      <c r="D65" s="14" t="s">
        <v>28</v>
      </c>
      <c r="E65" s="53" t="s">
        <v>158</v>
      </c>
      <c r="F65" s="53" t="s">
        <v>24</v>
      </c>
      <c r="G65" s="153">
        <v>3500</v>
      </c>
      <c r="H65" s="54" t="s">
        <v>25</v>
      </c>
      <c r="I65" s="54" t="s">
        <v>159</v>
      </c>
      <c r="J65" s="53">
        <v>734</v>
      </c>
      <c r="K65" s="53">
        <v>1247455</v>
      </c>
      <c r="L65" s="41">
        <v>734</v>
      </c>
      <c r="M65" s="41">
        <v>1247455</v>
      </c>
      <c r="N65" s="20">
        <v>0</v>
      </c>
      <c r="O65" s="102">
        <v>0</v>
      </c>
      <c r="P65" s="102">
        <v>0</v>
      </c>
      <c r="Q65" s="20">
        <v>0</v>
      </c>
      <c r="R65" s="19">
        <f t="shared" si="9"/>
        <v>1247455</v>
      </c>
      <c r="S65" s="19">
        <v>3000</v>
      </c>
      <c r="T65" s="19">
        <f t="shared" si="7"/>
        <v>1250455</v>
      </c>
      <c r="U65" s="105"/>
      <c r="X65" s="10">
        <f t="shared" si="3"/>
        <v>1247455</v>
      </c>
      <c r="Y65" s="2">
        <f t="shared" si="4"/>
        <v>0</v>
      </c>
      <c r="Z65" s="10">
        <f t="shared" si="8"/>
        <v>0</v>
      </c>
    </row>
    <row r="66" spans="1:26" ht="18" customHeight="1" x14ac:dyDescent="0.25">
      <c r="A66" s="11">
        <v>47</v>
      </c>
      <c r="B66" s="52">
        <v>514010611993</v>
      </c>
      <c r="C66" s="53" t="s">
        <v>160</v>
      </c>
      <c r="D66" s="14" t="s">
        <v>28</v>
      </c>
      <c r="E66" s="53" t="s">
        <v>161</v>
      </c>
      <c r="F66" s="53" t="s">
        <v>24</v>
      </c>
      <c r="G66" s="153">
        <v>3500</v>
      </c>
      <c r="H66" s="54" t="s">
        <v>25</v>
      </c>
      <c r="I66" s="54" t="s">
        <v>162</v>
      </c>
      <c r="J66" s="53">
        <v>799</v>
      </c>
      <c r="K66" s="53">
        <v>1357924</v>
      </c>
      <c r="L66" s="41">
        <v>799</v>
      </c>
      <c r="M66" s="41">
        <v>1357924</v>
      </c>
      <c r="N66" s="20">
        <v>0</v>
      </c>
      <c r="O66" s="102">
        <v>0</v>
      </c>
      <c r="P66" s="102">
        <v>0</v>
      </c>
      <c r="Q66" s="20">
        <v>0</v>
      </c>
      <c r="R66" s="19">
        <f t="shared" si="9"/>
        <v>1357924</v>
      </c>
      <c r="S66" s="19">
        <v>3000</v>
      </c>
      <c r="T66" s="19">
        <f t="shared" si="7"/>
        <v>1360924</v>
      </c>
      <c r="U66" s="105"/>
      <c r="X66" s="10">
        <f t="shared" si="3"/>
        <v>1357924</v>
      </c>
      <c r="Y66" s="2">
        <f t="shared" si="4"/>
        <v>0</v>
      </c>
      <c r="Z66" s="10">
        <f t="shared" si="8"/>
        <v>0</v>
      </c>
    </row>
    <row r="67" spans="1:26" ht="18" customHeight="1" x14ac:dyDescent="0.25">
      <c r="A67" s="11">
        <v>48</v>
      </c>
      <c r="B67" s="52">
        <v>514010612011</v>
      </c>
      <c r="C67" s="53" t="s">
        <v>163</v>
      </c>
      <c r="D67" s="14" t="s">
        <v>28</v>
      </c>
      <c r="E67" s="53" t="s">
        <v>164</v>
      </c>
      <c r="F67" s="53" t="s">
        <v>24</v>
      </c>
      <c r="G67" s="153">
        <v>2800</v>
      </c>
      <c r="H67" s="54" t="s">
        <v>25</v>
      </c>
      <c r="I67" s="54" t="s">
        <v>165</v>
      </c>
      <c r="J67" s="53">
        <v>1050</v>
      </c>
      <c r="K67" s="53">
        <v>1784507</v>
      </c>
      <c r="L67" s="41">
        <v>1050</v>
      </c>
      <c r="M67" s="41">
        <v>1784507</v>
      </c>
      <c r="N67" s="20">
        <v>0</v>
      </c>
      <c r="O67" s="102">
        <v>0</v>
      </c>
      <c r="P67" s="102">
        <v>0</v>
      </c>
      <c r="Q67" s="20">
        <v>0</v>
      </c>
      <c r="R67" s="19">
        <f t="shared" si="9"/>
        <v>1784507</v>
      </c>
      <c r="S67" s="19">
        <v>3000</v>
      </c>
      <c r="T67" s="19">
        <f t="shared" si="7"/>
        <v>1787507</v>
      </c>
      <c r="U67" s="105"/>
      <c r="X67" s="10">
        <f t="shared" si="3"/>
        <v>1784507</v>
      </c>
      <c r="Y67" s="2">
        <f t="shared" si="4"/>
        <v>0</v>
      </c>
      <c r="Z67" s="10">
        <f t="shared" si="8"/>
        <v>0</v>
      </c>
    </row>
    <row r="68" spans="1:26" ht="18" customHeight="1" x14ac:dyDescent="0.25">
      <c r="A68" s="11">
        <v>49</v>
      </c>
      <c r="B68" s="52">
        <v>514010612029</v>
      </c>
      <c r="C68" s="53" t="s">
        <v>166</v>
      </c>
      <c r="D68" s="14" t="s">
        <v>28</v>
      </c>
      <c r="E68" s="53" t="s">
        <v>167</v>
      </c>
      <c r="F68" s="53" t="s">
        <v>24</v>
      </c>
      <c r="G68" s="153">
        <v>4400</v>
      </c>
      <c r="H68" s="54" t="s">
        <v>25</v>
      </c>
      <c r="I68" s="54" t="s">
        <v>168</v>
      </c>
      <c r="J68" s="53">
        <v>1902</v>
      </c>
      <c r="K68" s="53">
        <v>3232506</v>
      </c>
      <c r="L68" s="41">
        <v>1902</v>
      </c>
      <c r="M68" s="41">
        <v>3232506</v>
      </c>
      <c r="N68" s="20">
        <v>0</v>
      </c>
      <c r="O68" s="102">
        <v>0</v>
      </c>
      <c r="P68" s="102">
        <v>0</v>
      </c>
      <c r="Q68" s="20">
        <v>0</v>
      </c>
      <c r="R68" s="19">
        <f t="shared" si="9"/>
        <v>3232506</v>
      </c>
      <c r="S68" s="19">
        <v>3000</v>
      </c>
      <c r="T68" s="19">
        <f t="shared" si="7"/>
        <v>3235506</v>
      </c>
      <c r="U68" s="105"/>
      <c r="X68" s="10">
        <f t="shared" si="3"/>
        <v>3232506</v>
      </c>
      <c r="Y68" s="2">
        <f t="shared" si="4"/>
        <v>0</v>
      </c>
      <c r="Z68" s="10">
        <f t="shared" si="8"/>
        <v>0</v>
      </c>
    </row>
    <row r="69" spans="1:26" ht="18" customHeight="1" x14ac:dyDescent="0.25">
      <c r="A69" s="11">
        <v>50</v>
      </c>
      <c r="B69" s="52">
        <v>514010612045</v>
      </c>
      <c r="C69" s="53" t="s">
        <v>169</v>
      </c>
      <c r="D69" s="14" t="s">
        <v>28</v>
      </c>
      <c r="E69" s="53" t="s">
        <v>170</v>
      </c>
      <c r="F69" s="53" t="s">
        <v>24</v>
      </c>
      <c r="G69" s="153">
        <v>5500</v>
      </c>
      <c r="H69" s="54" t="s">
        <v>25</v>
      </c>
      <c r="I69" s="54" t="s">
        <v>171</v>
      </c>
      <c r="J69" s="53">
        <v>1660</v>
      </c>
      <c r="K69" s="53">
        <v>2821220</v>
      </c>
      <c r="L69" s="41">
        <v>1660</v>
      </c>
      <c r="M69" s="41">
        <v>2821220</v>
      </c>
      <c r="N69" s="20">
        <v>0</v>
      </c>
      <c r="O69" s="102">
        <v>0</v>
      </c>
      <c r="P69" s="102">
        <v>0</v>
      </c>
      <c r="Q69" s="20">
        <v>0</v>
      </c>
      <c r="R69" s="19">
        <f t="shared" si="9"/>
        <v>2821220</v>
      </c>
      <c r="S69" s="19">
        <v>3000</v>
      </c>
      <c r="T69" s="19">
        <f t="shared" si="7"/>
        <v>2824220</v>
      </c>
      <c r="U69" s="105"/>
      <c r="X69" s="10">
        <f t="shared" si="3"/>
        <v>2821220</v>
      </c>
      <c r="Y69" s="2">
        <f t="shared" si="4"/>
        <v>0</v>
      </c>
      <c r="Z69" s="10">
        <f t="shared" si="8"/>
        <v>0</v>
      </c>
    </row>
    <row r="70" spans="1:26" ht="18" customHeight="1" x14ac:dyDescent="0.25">
      <c r="A70" s="11">
        <v>51</v>
      </c>
      <c r="B70" s="52">
        <v>514010618924</v>
      </c>
      <c r="C70" s="53" t="s">
        <v>172</v>
      </c>
      <c r="D70" s="14" t="s">
        <v>28</v>
      </c>
      <c r="E70" s="53" t="s">
        <v>173</v>
      </c>
      <c r="F70" s="53" t="s">
        <v>24</v>
      </c>
      <c r="G70" s="153">
        <v>3500</v>
      </c>
      <c r="H70" s="54" t="s">
        <v>25</v>
      </c>
      <c r="I70" s="54" t="s">
        <v>174</v>
      </c>
      <c r="J70" s="53">
        <v>1131</v>
      </c>
      <c r="K70" s="53">
        <v>1922168</v>
      </c>
      <c r="L70" s="41">
        <v>1131</v>
      </c>
      <c r="M70" s="41">
        <v>1922168</v>
      </c>
      <c r="N70" s="20">
        <v>0</v>
      </c>
      <c r="O70" s="102">
        <v>0</v>
      </c>
      <c r="P70" s="102">
        <v>0</v>
      </c>
      <c r="Q70" s="20">
        <v>0</v>
      </c>
      <c r="R70" s="19">
        <f t="shared" si="9"/>
        <v>1922168</v>
      </c>
      <c r="S70" s="19">
        <v>3000</v>
      </c>
      <c r="T70" s="19">
        <f t="shared" si="7"/>
        <v>1925168</v>
      </c>
      <c r="U70" s="105"/>
      <c r="X70" s="10">
        <f t="shared" si="3"/>
        <v>1922168</v>
      </c>
      <c r="Y70" s="2">
        <f t="shared" si="4"/>
        <v>0</v>
      </c>
      <c r="Z70" s="10">
        <f t="shared" si="8"/>
        <v>0</v>
      </c>
    </row>
    <row r="71" spans="1:26" ht="18" customHeight="1" x14ac:dyDescent="0.25">
      <c r="A71" s="11">
        <v>52</v>
      </c>
      <c r="B71" s="52">
        <v>514010618932</v>
      </c>
      <c r="C71" s="53" t="s">
        <v>175</v>
      </c>
      <c r="D71" s="14" t="s">
        <v>68</v>
      </c>
      <c r="E71" s="53" t="s">
        <v>176</v>
      </c>
      <c r="F71" s="53" t="s">
        <v>24</v>
      </c>
      <c r="G71" s="153">
        <v>3500</v>
      </c>
      <c r="H71" s="54" t="s">
        <v>25</v>
      </c>
      <c r="I71" s="54" t="s">
        <v>177</v>
      </c>
      <c r="J71" s="53">
        <v>1053</v>
      </c>
      <c r="K71" s="53">
        <v>1789605</v>
      </c>
      <c r="L71" s="41">
        <v>1053</v>
      </c>
      <c r="M71" s="41">
        <v>1789605</v>
      </c>
      <c r="N71" s="20">
        <v>0</v>
      </c>
      <c r="O71" s="102">
        <v>0</v>
      </c>
      <c r="P71" s="102">
        <v>0</v>
      </c>
      <c r="Q71" s="20">
        <v>0</v>
      </c>
      <c r="R71" s="19">
        <f t="shared" si="9"/>
        <v>1789605</v>
      </c>
      <c r="S71" s="19">
        <v>3000</v>
      </c>
      <c r="T71" s="19">
        <f t="shared" si="7"/>
        <v>1792605</v>
      </c>
      <c r="U71" s="105"/>
      <c r="X71" s="10">
        <f t="shared" si="3"/>
        <v>1789605</v>
      </c>
      <c r="Y71" s="2">
        <f t="shared" si="4"/>
        <v>0</v>
      </c>
      <c r="Z71" s="10">
        <f t="shared" si="8"/>
        <v>0</v>
      </c>
    </row>
    <row r="72" spans="1:26" ht="18" customHeight="1" x14ac:dyDescent="0.25">
      <c r="A72" s="11">
        <v>53</v>
      </c>
      <c r="B72" s="52">
        <v>514010618940</v>
      </c>
      <c r="C72" s="53" t="s">
        <v>178</v>
      </c>
      <c r="D72" s="14" t="s">
        <v>68</v>
      </c>
      <c r="E72" s="53" t="s">
        <v>57</v>
      </c>
      <c r="F72" s="53" t="s">
        <v>24</v>
      </c>
      <c r="G72" s="153">
        <v>4400</v>
      </c>
      <c r="H72" s="54" t="s">
        <v>25</v>
      </c>
      <c r="I72" s="54" t="s">
        <v>179</v>
      </c>
      <c r="J72" s="53">
        <v>679</v>
      </c>
      <c r="K72" s="53">
        <v>1153981</v>
      </c>
      <c r="L72" s="41">
        <v>679</v>
      </c>
      <c r="M72" s="41">
        <v>1153981</v>
      </c>
      <c r="N72" s="20">
        <v>0</v>
      </c>
      <c r="O72" s="102">
        <v>0</v>
      </c>
      <c r="P72" s="102">
        <v>0</v>
      </c>
      <c r="Q72" s="20">
        <v>0</v>
      </c>
      <c r="R72" s="19">
        <f t="shared" si="9"/>
        <v>1153981</v>
      </c>
      <c r="S72" s="19">
        <v>3000</v>
      </c>
      <c r="T72" s="19">
        <f t="shared" si="7"/>
        <v>1156981</v>
      </c>
      <c r="U72" s="105"/>
      <c r="X72" s="10">
        <f t="shared" si="3"/>
        <v>1153981</v>
      </c>
      <c r="Y72" s="2">
        <f t="shared" si="4"/>
        <v>0</v>
      </c>
      <c r="Z72" s="10">
        <f t="shared" si="8"/>
        <v>0</v>
      </c>
    </row>
    <row r="73" spans="1:26" ht="18" customHeight="1" x14ac:dyDescent="0.25">
      <c r="A73" s="11">
        <v>54</v>
      </c>
      <c r="B73" s="52">
        <v>514010618965</v>
      </c>
      <c r="C73" s="53" t="s">
        <v>180</v>
      </c>
      <c r="D73" s="14" t="s">
        <v>68</v>
      </c>
      <c r="E73" s="53" t="s">
        <v>181</v>
      </c>
      <c r="F73" s="53" t="s">
        <v>24</v>
      </c>
      <c r="G73" s="153">
        <v>4400</v>
      </c>
      <c r="H73" s="54" t="s">
        <v>25</v>
      </c>
      <c r="I73" s="54" t="s">
        <v>182</v>
      </c>
      <c r="J73" s="53">
        <v>1612</v>
      </c>
      <c r="K73" s="53">
        <v>2739642</v>
      </c>
      <c r="L73" s="41">
        <v>1612</v>
      </c>
      <c r="M73" s="41">
        <v>2739642</v>
      </c>
      <c r="N73" s="20">
        <v>0</v>
      </c>
      <c r="O73" s="102">
        <v>0</v>
      </c>
      <c r="P73" s="102">
        <v>0</v>
      </c>
      <c r="Q73" s="20">
        <v>0</v>
      </c>
      <c r="R73" s="19">
        <f t="shared" si="9"/>
        <v>2739642</v>
      </c>
      <c r="S73" s="19">
        <v>3000</v>
      </c>
      <c r="T73" s="19">
        <f t="shared" si="7"/>
        <v>2742642</v>
      </c>
      <c r="U73" s="105"/>
      <c r="X73" s="10">
        <f t="shared" si="3"/>
        <v>2739642</v>
      </c>
      <c r="Y73" s="2">
        <f t="shared" si="4"/>
        <v>0</v>
      </c>
      <c r="Z73" s="10">
        <f t="shared" si="8"/>
        <v>0</v>
      </c>
    </row>
    <row r="74" spans="1:26" ht="18" customHeight="1" x14ac:dyDescent="0.25">
      <c r="A74" s="11">
        <v>55</v>
      </c>
      <c r="B74" s="52">
        <v>514010618981</v>
      </c>
      <c r="C74" s="53" t="s">
        <v>183</v>
      </c>
      <c r="D74" s="14" t="s">
        <v>28</v>
      </c>
      <c r="E74" s="53" t="s">
        <v>184</v>
      </c>
      <c r="F74" s="53" t="s">
        <v>24</v>
      </c>
      <c r="G74" s="153">
        <v>3500</v>
      </c>
      <c r="H74" s="54" t="s">
        <v>25</v>
      </c>
      <c r="I74" s="54" t="s">
        <v>185</v>
      </c>
      <c r="J74" s="53">
        <v>1121</v>
      </c>
      <c r="K74" s="53">
        <v>1905173</v>
      </c>
      <c r="L74" s="41">
        <v>1121</v>
      </c>
      <c r="M74" s="41">
        <v>1905173</v>
      </c>
      <c r="N74" s="20">
        <v>0</v>
      </c>
      <c r="O74" s="102">
        <v>0</v>
      </c>
      <c r="P74" s="102">
        <v>0</v>
      </c>
      <c r="Q74" s="20">
        <v>0</v>
      </c>
      <c r="R74" s="19">
        <f t="shared" si="9"/>
        <v>1905173</v>
      </c>
      <c r="S74" s="19">
        <v>3000</v>
      </c>
      <c r="T74" s="19">
        <f t="shared" si="7"/>
        <v>1908173</v>
      </c>
      <c r="U74" s="105"/>
      <c r="X74" s="10">
        <f t="shared" si="3"/>
        <v>1905173</v>
      </c>
      <c r="Y74" s="2">
        <f t="shared" si="4"/>
        <v>0</v>
      </c>
      <c r="Z74" s="10">
        <f t="shared" si="8"/>
        <v>0</v>
      </c>
    </row>
    <row r="75" spans="1:26" ht="18" customHeight="1" x14ac:dyDescent="0.25">
      <c r="A75" s="11">
        <v>56</v>
      </c>
      <c r="B75" s="52">
        <v>514010618999</v>
      </c>
      <c r="C75" s="53" t="s">
        <v>186</v>
      </c>
      <c r="D75" s="14" t="s">
        <v>68</v>
      </c>
      <c r="E75" s="53" t="s">
        <v>187</v>
      </c>
      <c r="F75" s="53" t="s">
        <v>24</v>
      </c>
      <c r="G75" s="153">
        <v>11000</v>
      </c>
      <c r="H75" s="54" t="s">
        <v>25</v>
      </c>
      <c r="I75" s="54" t="s">
        <v>188</v>
      </c>
      <c r="J75" s="53">
        <v>2389</v>
      </c>
      <c r="K75" s="53">
        <v>4060177</v>
      </c>
      <c r="L75" s="41">
        <v>2389</v>
      </c>
      <c r="M75" s="41">
        <v>4060177</v>
      </c>
      <c r="N75" s="20">
        <v>0</v>
      </c>
      <c r="O75" s="102">
        <v>0</v>
      </c>
      <c r="P75" s="102">
        <v>0</v>
      </c>
      <c r="Q75" s="20">
        <v>0</v>
      </c>
      <c r="R75" s="19">
        <f t="shared" si="9"/>
        <v>4060177</v>
      </c>
      <c r="S75" s="19">
        <v>3000</v>
      </c>
      <c r="T75" s="19">
        <f t="shared" si="7"/>
        <v>4063177</v>
      </c>
      <c r="U75" s="105"/>
      <c r="X75" s="10">
        <f t="shared" si="3"/>
        <v>4060177</v>
      </c>
      <c r="Y75" s="2">
        <f t="shared" si="4"/>
        <v>0</v>
      </c>
      <c r="Z75" s="10">
        <f t="shared" si="8"/>
        <v>0</v>
      </c>
    </row>
    <row r="76" spans="1:26" ht="18" customHeight="1" x14ac:dyDescent="0.25">
      <c r="A76" s="11">
        <v>57</v>
      </c>
      <c r="B76" s="52">
        <v>514010619009</v>
      </c>
      <c r="C76" s="53" t="s">
        <v>189</v>
      </c>
      <c r="D76" s="14" t="s">
        <v>22</v>
      </c>
      <c r="E76" s="53" t="s">
        <v>190</v>
      </c>
      <c r="F76" s="53" t="s">
        <v>24</v>
      </c>
      <c r="G76" s="153">
        <v>4400</v>
      </c>
      <c r="H76" s="54" t="s">
        <v>25</v>
      </c>
      <c r="I76" s="54" t="s">
        <v>191</v>
      </c>
      <c r="J76" s="53">
        <v>918</v>
      </c>
      <c r="K76" s="53">
        <v>1560169</v>
      </c>
      <c r="L76" s="41">
        <v>918</v>
      </c>
      <c r="M76" s="41">
        <v>1560169</v>
      </c>
      <c r="N76" s="20">
        <v>0</v>
      </c>
      <c r="O76" s="102">
        <v>0</v>
      </c>
      <c r="P76" s="102">
        <v>0</v>
      </c>
      <c r="Q76" s="20">
        <v>0</v>
      </c>
      <c r="R76" s="19">
        <f t="shared" si="9"/>
        <v>1560169</v>
      </c>
      <c r="S76" s="19">
        <v>3000</v>
      </c>
      <c r="T76" s="19">
        <f t="shared" si="7"/>
        <v>1563169</v>
      </c>
      <c r="U76" s="105"/>
      <c r="X76" s="10">
        <f t="shared" si="3"/>
        <v>1560169</v>
      </c>
      <c r="Y76" s="2">
        <f t="shared" si="4"/>
        <v>0</v>
      </c>
      <c r="Z76" s="10">
        <f t="shared" si="8"/>
        <v>0</v>
      </c>
    </row>
    <row r="77" spans="1:26" ht="18" customHeight="1" x14ac:dyDescent="0.25">
      <c r="A77" s="11">
        <v>58</v>
      </c>
      <c r="B77" s="52">
        <v>514010619017</v>
      </c>
      <c r="C77" s="53" t="s">
        <v>192</v>
      </c>
      <c r="D77" s="14" t="s">
        <v>28</v>
      </c>
      <c r="E77" s="53" t="s">
        <v>193</v>
      </c>
      <c r="F77" s="53" t="s">
        <v>24</v>
      </c>
      <c r="G77" s="153">
        <v>5500</v>
      </c>
      <c r="H77" s="54" t="s">
        <v>25</v>
      </c>
      <c r="I77" s="54" t="s">
        <v>194</v>
      </c>
      <c r="J77" s="53">
        <v>1673</v>
      </c>
      <c r="K77" s="53">
        <v>2843314</v>
      </c>
      <c r="L77" s="41">
        <v>1673</v>
      </c>
      <c r="M77" s="41">
        <v>2843314</v>
      </c>
      <c r="N77" s="20">
        <v>0</v>
      </c>
      <c r="O77" s="102">
        <v>0</v>
      </c>
      <c r="P77" s="102">
        <v>0</v>
      </c>
      <c r="Q77" s="20">
        <v>0</v>
      </c>
      <c r="R77" s="19">
        <f t="shared" si="9"/>
        <v>2843314</v>
      </c>
      <c r="S77" s="19">
        <v>3000</v>
      </c>
      <c r="T77" s="19">
        <f t="shared" si="7"/>
        <v>2846314</v>
      </c>
      <c r="U77" s="105"/>
      <c r="X77" s="10">
        <f t="shared" si="3"/>
        <v>2843314</v>
      </c>
      <c r="Y77" s="2">
        <f t="shared" si="4"/>
        <v>0</v>
      </c>
      <c r="Z77" s="10">
        <f t="shared" si="8"/>
        <v>0</v>
      </c>
    </row>
    <row r="78" spans="1:26" ht="18" customHeight="1" x14ac:dyDescent="0.25">
      <c r="A78" s="11">
        <v>59</v>
      </c>
      <c r="B78" s="52">
        <v>514010619025</v>
      </c>
      <c r="C78" s="53" t="s">
        <v>195</v>
      </c>
      <c r="D78" s="14" t="s">
        <v>28</v>
      </c>
      <c r="E78" s="53" t="s">
        <v>196</v>
      </c>
      <c r="F78" s="53" t="s">
        <v>24</v>
      </c>
      <c r="G78" s="153">
        <v>13200</v>
      </c>
      <c r="H78" s="54" t="s">
        <v>25</v>
      </c>
      <c r="I78" s="54" t="s">
        <v>197</v>
      </c>
      <c r="J78" s="53">
        <v>1367</v>
      </c>
      <c r="K78" s="53">
        <v>2323258</v>
      </c>
      <c r="L78" s="41">
        <v>1367</v>
      </c>
      <c r="M78" s="41">
        <v>2323258</v>
      </c>
      <c r="N78" s="20">
        <v>0</v>
      </c>
      <c r="O78" s="102">
        <v>0</v>
      </c>
      <c r="P78" s="102">
        <v>0</v>
      </c>
      <c r="Q78" s="20">
        <v>0</v>
      </c>
      <c r="R78" s="19">
        <f t="shared" si="9"/>
        <v>2323258</v>
      </c>
      <c r="S78" s="19">
        <v>3000</v>
      </c>
      <c r="T78" s="19">
        <f t="shared" si="7"/>
        <v>2326258</v>
      </c>
      <c r="U78" s="105"/>
      <c r="X78" s="10">
        <f t="shared" ref="X78:X142" si="10">M78+N78+O78+P78</f>
        <v>2323258</v>
      </c>
      <c r="Y78" s="2">
        <f t="shared" ref="Y78:Y142" si="11">IF(X78&gt;5000000,10000,IF(V78&lt;5000000,0,IF(V78=5000000,10000)))</f>
        <v>0</v>
      </c>
      <c r="Z78" s="10">
        <f t="shared" si="8"/>
        <v>0</v>
      </c>
    </row>
    <row r="79" spans="1:26" ht="18" customHeight="1" x14ac:dyDescent="0.25">
      <c r="A79" s="11">
        <v>60</v>
      </c>
      <c r="B79" s="52">
        <v>514010619041</v>
      </c>
      <c r="C79" s="53" t="s">
        <v>198</v>
      </c>
      <c r="D79" s="14" t="s">
        <v>28</v>
      </c>
      <c r="E79" s="53" t="s">
        <v>199</v>
      </c>
      <c r="F79" s="53" t="s">
        <v>24</v>
      </c>
      <c r="G79" s="153">
        <v>11000</v>
      </c>
      <c r="H79" s="54" t="s">
        <v>25</v>
      </c>
      <c r="I79" s="54" t="s">
        <v>200</v>
      </c>
      <c r="J79" s="53">
        <v>2462</v>
      </c>
      <c r="K79" s="53">
        <v>4184243</v>
      </c>
      <c r="L79" s="41">
        <v>2462</v>
      </c>
      <c r="M79" s="41">
        <v>4184243</v>
      </c>
      <c r="N79" s="20">
        <v>0</v>
      </c>
      <c r="O79" s="102">
        <v>0</v>
      </c>
      <c r="P79" s="102">
        <v>0</v>
      </c>
      <c r="Q79" s="20">
        <v>0</v>
      </c>
      <c r="R79" s="19">
        <f t="shared" si="9"/>
        <v>4184243</v>
      </c>
      <c r="S79" s="19">
        <v>3000</v>
      </c>
      <c r="T79" s="19">
        <f t="shared" si="7"/>
        <v>4187243</v>
      </c>
      <c r="U79" s="105"/>
      <c r="X79" s="10">
        <f t="shared" si="10"/>
        <v>4184243</v>
      </c>
      <c r="Y79" s="2">
        <f t="shared" si="11"/>
        <v>0</v>
      </c>
      <c r="Z79" s="10">
        <f t="shared" si="8"/>
        <v>0</v>
      </c>
    </row>
    <row r="80" spans="1:26" ht="18" customHeight="1" x14ac:dyDescent="0.25">
      <c r="A80" s="11">
        <v>61</v>
      </c>
      <c r="B80" s="52">
        <v>514010619058</v>
      </c>
      <c r="C80" s="53" t="s">
        <v>201</v>
      </c>
      <c r="D80" s="14" t="s">
        <v>28</v>
      </c>
      <c r="E80" s="53" t="s">
        <v>202</v>
      </c>
      <c r="F80" s="53" t="s">
        <v>24</v>
      </c>
      <c r="G80" s="153">
        <v>4400</v>
      </c>
      <c r="H80" s="54" t="s">
        <v>25</v>
      </c>
      <c r="I80" s="54" t="s">
        <v>203</v>
      </c>
      <c r="J80" s="53">
        <v>738</v>
      </c>
      <c r="K80" s="53">
        <v>1254253</v>
      </c>
      <c r="L80" s="41">
        <v>738</v>
      </c>
      <c r="M80" s="41">
        <v>1254253</v>
      </c>
      <c r="N80" s="20">
        <v>0</v>
      </c>
      <c r="O80" s="102">
        <v>0</v>
      </c>
      <c r="P80" s="102">
        <v>0</v>
      </c>
      <c r="Q80" s="20">
        <v>0</v>
      </c>
      <c r="R80" s="19">
        <f t="shared" si="9"/>
        <v>1254253</v>
      </c>
      <c r="S80" s="19">
        <v>3000</v>
      </c>
      <c r="T80" s="19">
        <f t="shared" si="7"/>
        <v>1257253</v>
      </c>
      <c r="U80" s="105"/>
      <c r="X80" s="10">
        <f t="shared" si="10"/>
        <v>1254253</v>
      </c>
      <c r="Y80" s="2">
        <f t="shared" si="11"/>
        <v>0</v>
      </c>
      <c r="Z80" s="10">
        <f t="shared" si="8"/>
        <v>0</v>
      </c>
    </row>
    <row r="81" spans="1:26" ht="18" customHeight="1" x14ac:dyDescent="0.25">
      <c r="A81" s="11">
        <v>62</v>
      </c>
      <c r="B81" s="52">
        <v>514010619066</v>
      </c>
      <c r="C81" s="53" t="s">
        <v>204</v>
      </c>
      <c r="D81" s="14" t="s">
        <v>22</v>
      </c>
      <c r="E81" s="53" t="s">
        <v>205</v>
      </c>
      <c r="F81" s="53" t="s">
        <v>24</v>
      </c>
      <c r="G81" s="153">
        <v>7700</v>
      </c>
      <c r="H81" s="54" t="s">
        <v>25</v>
      </c>
      <c r="I81" s="54" t="s">
        <v>206</v>
      </c>
      <c r="J81" s="53">
        <v>1081</v>
      </c>
      <c r="K81" s="53">
        <v>1837192</v>
      </c>
      <c r="L81" s="41">
        <v>1081</v>
      </c>
      <c r="M81" s="41">
        <v>1837192</v>
      </c>
      <c r="N81" s="20">
        <v>0</v>
      </c>
      <c r="O81" s="102">
        <v>0</v>
      </c>
      <c r="P81" s="102">
        <v>0</v>
      </c>
      <c r="Q81" s="20">
        <v>0</v>
      </c>
      <c r="R81" s="19">
        <f t="shared" si="9"/>
        <v>1837192</v>
      </c>
      <c r="S81" s="19">
        <v>3000</v>
      </c>
      <c r="T81" s="19">
        <f t="shared" si="7"/>
        <v>1840192</v>
      </c>
      <c r="U81" s="105"/>
      <c r="X81" s="10">
        <f t="shared" si="10"/>
        <v>1837192</v>
      </c>
      <c r="Y81" s="2">
        <f t="shared" si="11"/>
        <v>0</v>
      </c>
      <c r="Z81" s="10">
        <f t="shared" si="8"/>
        <v>0</v>
      </c>
    </row>
    <row r="82" spans="1:26" ht="18" customHeight="1" x14ac:dyDescent="0.25">
      <c r="A82" s="11">
        <v>63</v>
      </c>
      <c r="B82" s="52">
        <v>514010619074</v>
      </c>
      <c r="C82" s="53" t="s">
        <v>207</v>
      </c>
      <c r="D82" s="14" t="s">
        <v>28</v>
      </c>
      <c r="E82" s="53" t="s">
        <v>205</v>
      </c>
      <c r="F82" s="53" t="s">
        <v>24</v>
      </c>
      <c r="G82" s="153">
        <v>5500</v>
      </c>
      <c r="H82" s="54" t="s">
        <v>25</v>
      </c>
      <c r="I82" s="54" t="s">
        <v>208</v>
      </c>
      <c r="J82" s="53">
        <v>593</v>
      </c>
      <c r="K82" s="53">
        <v>1007821</v>
      </c>
      <c r="L82" s="41">
        <v>593</v>
      </c>
      <c r="M82" s="41">
        <v>1007821</v>
      </c>
      <c r="N82" s="20">
        <v>0</v>
      </c>
      <c r="O82" s="102">
        <v>0</v>
      </c>
      <c r="P82" s="102">
        <v>0</v>
      </c>
      <c r="Q82" s="20">
        <v>0</v>
      </c>
      <c r="R82" s="19">
        <f t="shared" si="9"/>
        <v>1007821</v>
      </c>
      <c r="S82" s="19">
        <v>3000</v>
      </c>
      <c r="T82" s="19">
        <f t="shared" si="7"/>
        <v>1010821</v>
      </c>
      <c r="U82" s="105"/>
      <c r="X82" s="10">
        <f t="shared" si="10"/>
        <v>1007821</v>
      </c>
      <c r="Y82" s="2">
        <f t="shared" si="11"/>
        <v>0</v>
      </c>
      <c r="Z82" s="10">
        <f t="shared" si="8"/>
        <v>0</v>
      </c>
    </row>
    <row r="83" spans="1:26" ht="18" customHeight="1" x14ac:dyDescent="0.25">
      <c r="A83" s="11">
        <v>64</v>
      </c>
      <c r="B83" s="52">
        <v>514010619082</v>
      </c>
      <c r="C83" s="53" t="s">
        <v>209</v>
      </c>
      <c r="D83" s="14" t="s">
        <v>22</v>
      </c>
      <c r="E83" s="53" t="s">
        <v>210</v>
      </c>
      <c r="F83" s="53" t="s">
        <v>24</v>
      </c>
      <c r="G83" s="153">
        <v>4400</v>
      </c>
      <c r="H83" s="54" t="s">
        <v>25</v>
      </c>
      <c r="I83" s="54" t="s">
        <v>211</v>
      </c>
      <c r="J83" s="53">
        <v>1210</v>
      </c>
      <c r="K83" s="53">
        <v>2056431</v>
      </c>
      <c r="L83" s="41">
        <v>1210</v>
      </c>
      <c r="M83" s="41">
        <v>2056431</v>
      </c>
      <c r="N83" s="20">
        <v>0</v>
      </c>
      <c r="O83" s="102">
        <v>0</v>
      </c>
      <c r="P83" s="102">
        <v>0</v>
      </c>
      <c r="Q83" s="20">
        <v>0</v>
      </c>
      <c r="R83" s="19">
        <f t="shared" si="9"/>
        <v>2056431</v>
      </c>
      <c r="S83" s="19">
        <v>3000</v>
      </c>
      <c r="T83" s="19">
        <f t="shared" si="7"/>
        <v>2059431</v>
      </c>
      <c r="U83" s="105"/>
      <c r="X83" s="10">
        <f t="shared" si="10"/>
        <v>2056431</v>
      </c>
      <c r="Y83" s="2">
        <f t="shared" si="11"/>
        <v>0</v>
      </c>
      <c r="Z83" s="10">
        <f t="shared" si="8"/>
        <v>0</v>
      </c>
    </row>
    <row r="84" spans="1:26" ht="18" customHeight="1" x14ac:dyDescent="0.25">
      <c r="A84" s="11">
        <v>65</v>
      </c>
      <c r="B84" s="52">
        <v>514010619090</v>
      </c>
      <c r="C84" s="53" t="s">
        <v>212</v>
      </c>
      <c r="D84" s="14" t="s">
        <v>28</v>
      </c>
      <c r="E84" s="53" t="s">
        <v>213</v>
      </c>
      <c r="F84" s="53" t="s">
        <v>24</v>
      </c>
      <c r="G84" s="153">
        <v>4400</v>
      </c>
      <c r="H84" s="54" t="s">
        <v>25</v>
      </c>
      <c r="I84" s="54" t="s">
        <v>214</v>
      </c>
      <c r="J84" s="53">
        <v>805</v>
      </c>
      <c r="K84" s="53">
        <v>1368122</v>
      </c>
      <c r="L84" s="41">
        <v>805</v>
      </c>
      <c r="M84" s="41">
        <v>1368122</v>
      </c>
      <c r="N84" s="20">
        <v>0</v>
      </c>
      <c r="O84" s="102">
        <v>0</v>
      </c>
      <c r="P84" s="102">
        <v>0</v>
      </c>
      <c r="Q84" s="20">
        <v>0</v>
      </c>
      <c r="R84" s="19">
        <f t="shared" si="9"/>
        <v>1368122</v>
      </c>
      <c r="S84" s="19">
        <v>3000</v>
      </c>
      <c r="T84" s="19">
        <f t="shared" si="7"/>
        <v>1371122</v>
      </c>
      <c r="U84" s="105"/>
      <c r="X84" s="10">
        <f t="shared" si="10"/>
        <v>1368122</v>
      </c>
      <c r="Y84" s="2">
        <f t="shared" si="11"/>
        <v>0</v>
      </c>
      <c r="Z84" s="10">
        <f t="shared" si="8"/>
        <v>0</v>
      </c>
    </row>
    <row r="85" spans="1:26" ht="18" customHeight="1" x14ac:dyDescent="0.25">
      <c r="A85" s="11">
        <v>66</v>
      </c>
      <c r="B85" s="52">
        <v>514010619104</v>
      </c>
      <c r="C85" s="53" t="s">
        <v>215</v>
      </c>
      <c r="D85" s="14" t="s">
        <v>28</v>
      </c>
      <c r="E85" s="53" t="s">
        <v>158</v>
      </c>
      <c r="F85" s="53" t="s">
        <v>24</v>
      </c>
      <c r="G85" s="153">
        <v>5500</v>
      </c>
      <c r="H85" s="54" t="s">
        <v>25</v>
      </c>
      <c r="I85" s="54" t="s">
        <v>216</v>
      </c>
      <c r="J85" s="53">
        <v>1466</v>
      </c>
      <c r="K85" s="53">
        <v>2491511</v>
      </c>
      <c r="L85" s="41">
        <v>1466</v>
      </c>
      <c r="M85" s="41">
        <v>2491511</v>
      </c>
      <c r="N85" s="20">
        <v>0</v>
      </c>
      <c r="O85" s="102">
        <v>0</v>
      </c>
      <c r="P85" s="102">
        <v>0</v>
      </c>
      <c r="Q85" s="20">
        <v>0</v>
      </c>
      <c r="R85" s="19">
        <f t="shared" si="9"/>
        <v>2491511</v>
      </c>
      <c r="S85" s="19">
        <v>3000</v>
      </c>
      <c r="T85" s="19">
        <f t="shared" si="7"/>
        <v>2494511</v>
      </c>
      <c r="U85" s="105"/>
      <c r="X85" s="10">
        <f t="shared" si="10"/>
        <v>2491511</v>
      </c>
      <c r="Y85" s="2">
        <f t="shared" si="11"/>
        <v>0</v>
      </c>
      <c r="Z85" s="10">
        <f t="shared" si="8"/>
        <v>0</v>
      </c>
    </row>
    <row r="86" spans="1:26" ht="18" customHeight="1" x14ac:dyDescent="0.25">
      <c r="A86" s="11">
        <v>67</v>
      </c>
      <c r="B86" s="52">
        <v>514010619120</v>
      </c>
      <c r="C86" s="53" t="s">
        <v>217</v>
      </c>
      <c r="D86" s="14" t="s">
        <v>28</v>
      </c>
      <c r="E86" s="53" t="s">
        <v>218</v>
      </c>
      <c r="F86" s="53" t="s">
        <v>24</v>
      </c>
      <c r="G86" s="153">
        <v>5500</v>
      </c>
      <c r="H86" s="54" t="s">
        <v>25</v>
      </c>
      <c r="I86" s="54" t="s">
        <v>219</v>
      </c>
      <c r="J86" s="53">
        <v>2434</v>
      </c>
      <c r="K86" s="53">
        <v>4136656</v>
      </c>
      <c r="L86" s="41">
        <v>2434</v>
      </c>
      <c r="M86" s="41">
        <v>4136656</v>
      </c>
      <c r="N86" s="20">
        <v>0</v>
      </c>
      <c r="O86" s="102">
        <v>0</v>
      </c>
      <c r="P86" s="102">
        <v>0</v>
      </c>
      <c r="Q86" s="20">
        <v>0</v>
      </c>
      <c r="R86" s="19">
        <f t="shared" si="9"/>
        <v>4136656</v>
      </c>
      <c r="S86" s="19">
        <v>3000</v>
      </c>
      <c r="T86" s="19">
        <f t="shared" si="7"/>
        <v>4139656</v>
      </c>
      <c r="U86" s="105"/>
      <c r="X86" s="10">
        <f t="shared" si="10"/>
        <v>4136656</v>
      </c>
      <c r="Y86" s="2">
        <f t="shared" si="11"/>
        <v>0</v>
      </c>
      <c r="Z86" s="10">
        <f t="shared" si="8"/>
        <v>0</v>
      </c>
    </row>
    <row r="87" spans="1:26" ht="18" customHeight="1" x14ac:dyDescent="0.25">
      <c r="A87" s="11">
        <v>68</v>
      </c>
      <c r="B87" s="52">
        <v>514010619138</v>
      </c>
      <c r="C87" s="53" t="s">
        <v>220</v>
      </c>
      <c r="D87" s="14" t="s">
        <v>28</v>
      </c>
      <c r="E87" s="53" t="s">
        <v>193</v>
      </c>
      <c r="F87" s="53" t="s">
        <v>24</v>
      </c>
      <c r="G87" s="153">
        <v>5500</v>
      </c>
      <c r="H87" s="54" t="s">
        <v>25</v>
      </c>
      <c r="I87" s="54" t="s">
        <v>221</v>
      </c>
      <c r="J87" s="53">
        <v>1979</v>
      </c>
      <c r="K87" s="53">
        <v>3363370</v>
      </c>
      <c r="L87" s="41">
        <v>1979</v>
      </c>
      <c r="M87" s="41">
        <v>3363370</v>
      </c>
      <c r="N87" s="20">
        <v>0</v>
      </c>
      <c r="O87" s="102">
        <v>0</v>
      </c>
      <c r="P87" s="102">
        <v>0</v>
      </c>
      <c r="Q87" s="20">
        <v>0</v>
      </c>
      <c r="R87" s="19">
        <f t="shared" si="9"/>
        <v>3363370</v>
      </c>
      <c r="S87" s="19">
        <v>3000</v>
      </c>
      <c r="T87" s="19">
        <f t="shared" si="7"/>
        <v>3366370</v>
      </c>
      <c r="U87" s="105"/>
      <c r="X87" s="10">
        <f t="shared" si="10"/>
        <v>3363370</v>
      </c>
      <c r="Y87" s="2">
        <f t="shared" si="11"/>
        <v>0</v>
      </c>
      <c r="Z87" s="10">
        <f t="shared" si="8"/>
        <v>0</v>
      </c>
    </row>
    <row r="88" spans="1:26" ht="18" customHeight="1" x14ac:dyDescent="0.25">
      <c r="A88" s="11">
        <v>69</v>
      </c>
      <c r="B88" s="52">
        <v>514010619161</v>
      </c>
      <c r="C88" s="53" t="s">
        <v>222</v>
      </c>
      <c r="D88" s="14" t="s">
        <v>22</v>
      </c>
      <c r="E88" s="53" t="s">
        <v>223</v>
      </c>
      <c r="F88" s="53" t="s">
        <v>24</v>
      </c>
      <c r="G88" s="153">
        <v>4400</v>
      </c>
      <c r="H88" s="54" t="s">
        <v>25</v>
      </c>
      <c r="I88" s="54" t="s">
        <v>224</v>
      </c>
      <c r="J88" s="53">
        <v>520</v>
      </c>
      <c r="K88" s="53">
        <v>883756</v>
      </c>
      <c r="L88" s="41">
        <v>520</v>
      </c>
      <c r="M88" s="41">
        <v>883756</v>
      </c>
      <c r="N88" s="20">
        <v>0</v>
      </c>
      <c r="O88" s="102">
        <v>0</v>
      </c>
      <c r="P88" s="102">
        <v>0</v>
      </c>
      <c r="Q88" s="20">
        <v>0</v>
      </c>
      <c r="R88" s="19">
        <f t="shared" si="9"/>
        <v>883756</v>
      </c>
      <c r="S88" s="19">
        <v>3000</v>
      </c>
      <c r="T88" s="19">
        <f t="shared" si="7"/>
        <v>886756</v>
      </c>
      <c r="U88" s="105"/>
      <c r="X88" s="10">
        <f t="shared" si="10"/>
        <v>883756</v>
      </c>
      <c r="Y88" s="2">
        <f t="shared" si="11"/>
        <v>0</v>
      </c>
      <c r="Z88" s="10">
        <f t="shared" si="8"/>
        <v>0</v>
      </c>
    </row>
    <row r="89" spans="1:26" ht="18" customHeight="1" x14ac:dyDescent="0.25">
      <c r="A89" s="11">
        <v>70</v>
      </c>
      <c r="B89" s="52">
        <v>514010619179</v>
      </c>
      <c r="C89" s="53" t="s">
        <v>225</v>
      </c>
      <c r="D89" s="14" t="s">
        <v>22</v>
      </c>
      <c r="E89" s="53" t="s">
        <v>223</v>
      </c>
      <c r="F89" s="53" t="s">
        <v>24</v>
      </c>
      <c r="G89" s="153">
        <v>4400</v>
      </c>
      <c r="H89" s="54" t="s">
        <v>25</v>
      </c>
      <c r="I89" s="54" t="s">
        <v>226</v>
      </c>
      <c r="J89" s="53">
        <v>579</v>
      </c>
      <c r="K89" s="53">
        <v>984028</v>
      </c>
      <c r="L89" s="41">
        <v>579</v>
      </c>
      <c r="M89" s="41">
        <v>984028</v>
      </c>
      <c r="N89" s="20">
        <v>0</v>
      </c>
      <c r="O89" s="102">
        <v>0</v>
      </c>
      <c r="P89" s="102">
        <v>0</v>
      </c>
      <c r="Q89" s="20">
        <v>0</v>
      </c>
      <c r="R89" s="19">
        <f t="shared" si="9"/>
        <v>984028</v>
      </c>
      <c r="S89" s="19">
        <v>3000</v>
      </c>
      <c r="T89" s="19">
        <f t="shared" si="7"/>
        <v>987028</v>
      </c>
      <c r="U89" s="105"/>
      <c r="X89" s="10">
        <f t="shared" si="10"/>
        <v>984028</v>
      </c>
      <c r="Y89" s="2">
        <f t="shared" si="11"/>
        <v>0</v>
      </c>
      <c r="Z89" s="10">
        <f t="shared" si="8"/>
        <v>0</v>
      </c>
    </row>
    <row r="90" spans="1:26" ht="18" customHeight="1" x14ac:dyDescent="0.25">
      <c r="A90" s="11">
        <v>71</v>
      </c>
      <c r="B90" s="52">
        <v>514010619187</v>
      </c>
      <c r="C90" s="53" t="s">
        <v>227</v>
      </c>
      <c r="D90" s="14" t="s">
        <v>22</v>
      </c>
      <c r="E90" s="53" t="s">
        <v>228</v>
      </c>
      <c r="F90" s="53" t="s">
        <v>24</v>
      </c>
      <c r="G90" s="153">
        <v>4400</v>
      </c>
      <c r="H90" s="54" t="s">
        <v>25</v>
      </c>
      <c r="I90" s="54" t="s">
        <v>229</v>
      </c>
      <c r="J90" s="53">
        <v>1521</v>
      </c>
      <c r="K90" s="53">
        <v>2584985</v>
      </c>
      <c r="L90" s="41">
        <v>1521</v>
      </c>
      <c r="M90" s="41">
        <v>2584985</v>
      </c>
      <c r="N90" s="20">
        <v>0</v>
      </c>
      <c r="O90" s="102">
        <v>0</v>
      </c>
      <c r="P90" s="102">
        <v>0</v>
      </c>
      <c r="Q90" s="20">
        <v>0</v>
      </c>
      <c r="R90" s="19">
        <f t="shared" si="9"/>
        <v>2584985</v>
      </c>
      <c r="S90" s="19">
        <v>3000</v>
      </c>
      <c r="T90" s="19">
        <f t="shared" si="7"/>
        <v>2587985</v>
      </c>
      <c r="U90" s="105"/>
      <c r="X90" s="10">
        <f t="shared" si="10"/>
        <v>2584985</v>
      </c>
      <c r="Y90" s="2">
        <f t="shared" si="11"/>
        <v>0</v>
      </c>
      <c r="Z90" s="10">
        <f t="shared" si="8"/>
        <v>0</v>
      </c>
    </row>
    <row r="91" spans="1:26" ht="18" customHeight="1" x14ac:dyDescent="0.25">
      <c r="A91" s="11">
        <v>72</v>
      </c>
      <c r="B91" s="52">
        <v>514010619216</v>
      </c>
      <c r="C91" s="53" t="s">
        <v>230</v>
      </c>
      <c r="D91" s="14" t="s">
        <v>28</v>
      </c>
      <c r="E91" s="53" t="s">
        <v>231</v>
      </c>
      <c r="F91" s="53" t="s">
        <v>24</v>
      </c>
      <c r="G91" s="153">
        <v>5500</v>
      </c>
      <c r="H91" s="54" t="s">
        <v>25</v>
      </c>
      <c r="I91" s="54" t="s">
        <v>232</v>
      </c>
      <c r="J91" s="53">
        <v>1619</v>
      </c>
      <c r="K91" s="53">
        <v>2751539</v>
      </c>
      <c r="L91" s="41">
        <v>1619</v>
      </c>
      <c r="M91" s="41">
        <v>2751539</v>
      </c>
      <c r="N91" s="20">
        <v>0</v>
      </c>
      <c r="O91" s="102">
        <v>0</v>
      </c>
      <c r="P91" s="102">
        <v>0</v>
      </c>
      <c r="Q91" s="20">
        <v>0</v>
      </c>
      <c r="R91" s="19">
        <f t="shared" si="9"/>
        <v>2751539</v>
      </c>
      <c r="S91" s="19">
        <v>3000</v>
      </c>
      <c r="T91" s="19">
        <f t="shared" si="7"/>
        <v>2754539</v>
      </c>
      <c r="U91" s="105"/>
      <c r="X91" s="10">
        <f t="shared" si="10"/>
        <v>2751539</v>
      </c>
      <c r="Y91" s="2">
        <f t="shared" si="11"/>
        <v>0</v>
      </c>
      <c r="Z91" s="10">
        <f t="shared" si="8"/>
        <v>0</v>
      </c>
    </row>
    <row r="92" spans="1:26" ht="18" customHeight="1" x14ac:dyDescent="0.25">
      <c r="A92" s="11">
        <v>73</v>
      </c>
      <c r="B92" s="52">
        <v>514010619240</v>
      </c>
      <c r="C92" s="53" t="s">
        <v>233</v>
      </c>
      <c r="D92" s="14" t="s">
        <v>22</v>
      </c>
      <c r="E92" s="53" t="s">
        <v>152</v>
      </c>
      <c r="F92" s="53" t="s">
        <v>24</v>
      </c>
      <c r="G92" s="153">
        <v>4400</v>
      </c>
      <c r="H92" s="54" t="s">
        <v>25</v>
      </c>
      <c r="I92" s="54" t="s">
        <v>234</v>
      </c>
      <c r="J92" s="53">
        <v>1150</v>
      </c>
      <c r="K92" s="53">
        <v>1954460</v>
      </c>
      <c r="L92" s="41">
        <v>1150</v>
      </c>
      <c r="M92" s="41">
        <v>1954460</v>
      </c>
      <c r="N92" s="20">
        <v>0</v>
      </c>
      <c r="O92" s="102">
        <v>0</v>
      </c>
      <c r="P92" s="102">
        <v>0</v>
      </c>
      <c r="Q92" s="20">
        <v>0</v>
      </c>
      <c r="R92" s="19">
        <f t="shared" si="9"/>
        <v>1954460</v>
      </c>
      <c r="S92" s="19">
        <v>3000</v>
      </c>
      <c r="T92" s="19">
        <f t="shared" si="7"/>
        <v>1957460</v>
      </c>
      <c r="U92" s="105"/>
      <c r="X92" s="10">
        <f t="shared" si="10"/>
        <v>1954460</v>
      </c>
      <c r="Y92" s="2">
        <f t="shared" si="11"/>
        <v>0</v>
      </c>
      <c r="Z92" s="10">
        <f t="shared" si="8"/>
        <v>0</v>
      </c>
    </row>
    <row r="93" spans="1:26" ht="18" customHeight="1" x14ac:dyDescent="0.25">
      <c r="A93" s="11">
        <v>74</v>
      </c>
      <c r="B93" s="52">
        <v>514010619257</v>
      </c>
      <c r="C93" s="53" t="s">
        <v>235</v>
      </c>
      <c r="D93" s="14" t="s">
        <v>28</v>
      </c>
      <c r="E93" s="53" t="s">
        <v>181</v>
      </c>
      <c r="F93" s="53" t="s">
        <v>24</v>
      </c>
      <c r="G93" s="153">
        <v>4400</v>
      </c>
      <c r="H93" s="54" t="s">
        <v>25</v>
      </c>
      <c r="I93" s="54" t="s">
        <v>236</v>
      </c>
      <c r="J93" s="53">
        <v>968</v>
      </c>
      <c r="K93" s="53">
        <v>1645145</v>
      </c>
      <c r="L93" s="41">
        <v>968</v>
      </c>
      <c r="M93" s="41">
        <v>1645145</v>
      </c>
      <c r="N93" s="20">
        <v>0</v>
      </c>
      <c r="O93" s="102">
        <v>0</v>
      </c>
      <c r="P93" s="102">
        <v>0</v>
      </c>
      <c r="Q93" s="20">
        <v>0</v>
      </c>
      <c r="R93" s="19">
        <f t="shared" si="9"/>
        <v>1645145</v>
      </c>
      <c r="S93" s="19">
        <v>3000</v>
      </c>
      <c r="T93" s="19">
        <f t="shared" si="7"/>
        <v>1648145</v>
      </c>
      <c r="U93" s="105"/>
      <c r="X93" s="10">
        <f t="shared" si="10"/>
        <v>1645145</v>
      </c>
      <c r="Y93" s="2">
        <f t="shared" si="11"/>
        <v>0</v>
      </c>
      <c r="Z93" s="10">
        <f t="shared" si="8"/>
        <v>0</v>
      </c>
    </row>
    <row r="94" spans="1:26" ht="18" customHeight="1" x14ac:dyDescent="0.25">
      <c r="A94" s="11">
        <v>75</v>
      </c>
      <c r="B94" s="52">
        <v>514010619265</v>
      </c>
      <c r="C94" s="53" t="s">
        <v>237</v>
      </c>
      <c r="D94" s="14" t="s">
        <v>22</v>
      </c>
      <c r="E94" s="53" t="s">
        <v>104</v>
      </c>
      <c r="F94" s="53" t="s">
        <v>24</v>
      </c>
      <c r="G94" s="153">
        <v>5500</v>
      </c>
      <c r="H94" s="54" t="s">
        <v>25</v>
      </c>
      <c r="I94" s="54" t="s">
        <v>238</v>
      </c>
      <c r="J94" s="53">
        <v>1601</v>
      </c>
      <c r="K94" s="53">
        <v>2720948</v>
      </c>
      <c r="L94" s="41">
        <v>1601</v>
      </c>
      <c r="M94" s="41">
        <v>2720948</v>
      </c>
      <c r="N94" s="20">
        <v>0</v>
      </c>
      <c r="O94" s="102">
        <v>0</v>
      </c>
      <c r="P94" s="102">
        <v>0</v>
      </c>
      <c r="Q94" s="20">
        <v>0</v>
      </c>
      <c r="R94" s="19">
        <f t="shared" si="9"/>
        <v>2720948</v>
      </c>
      <c r="S94" s="19">
        <v>3000</v>
      </c>
      <c r="T94" s="19">
        <f t="shared" si="7"/>
        <v>2723948</v>
      </c>
      <c r="U94" s="105"/>
      <c r="X94" s="10">
        <f t="shared" si="10"/>
        <v>2720948</v>
      </c>
      <c r="Y94" s="2">
        <f t="shared" si="11"/>
        <v>0</v>
      </c>
      <c r="Z94" s="10">
        <f t="shared" si="8"/>
        <v>0</v>
      </c>
    </row>
    <row r="95" spans="1:26" ht="18" customHeight="1" x14ac:dyDescent="0.25">
      <c r="A95" s="11">
        <v>76</v>
      </c>
      <c r="B95" s="52">
        <v>514010619273</v>
      </c>
      <c r="C95" s="53" t="s">
        <v>239</v>
      </c>
      <c r="D95" s="14" t="s">
        <v>240</v>
      </c>
      <c r="E95" s="53" t="s">
        <v>91</v>
      </c>
      <c r="F95" s="53" t="s">
        <v>24</v>
      </c>
      <c r="G95" s="153">
        <v>7700</v>
      </c>
      <c r="H95" s="54" t="s">
        <v>25</v>
      </c>
      <c r="I95" s="54" t="s">
        <v>241</v>
      </c>
      <c r="J95" s="53">
        <v>1658</v>
      </c>
      <c r="K95" s="53">
        <v>2817821</v>
      </c>
      <c r="L95" s="41">
        <v>1658</v>
      </c>
      <c r="M95" s="41">
        <v>2817821</v>
      </c>
      <c r="N95" s="20">
        <v>0</v>
      </c>
      <c r="O95" s="102">
        <v>0</v>
      </c>
      <c r="P95" s="102">
        <v>0</v>
      </c>
      <c r="Q95" s="20">
        <v>0</v>
      </c>
      <c r="R95" s="19">
        <f t="shared" si="9"/>
        <v>2817821</v>
      </c>
      <c r="S95" s="19">
        <v>3000</v>
      </c>
      <c r="T95" s="19">
        <f t="shared" si="7"/>
        <v>2820821</v>
      </c>
      <c r="U95" s="105"/>
      <c r="X95" s="10">
        <f t="shared" si="10"/>
        <v>2817821</v>
      </c>
      <c r="Y95" s="2">
        <f t="shared" si="11"/>
        <v>0</v>
      </c>
      <c r="Z95" s="10">
        <f t="shared" si="8"/>
        <v>0</v>
      </c>
    </row>
    <row r="96" spans="1:26" ht="18" customHeight="1" x14ac:dyDescent="0.25">
      <c r="A96" s="11">
        <v>77</v>
      </c>
      <c r="B96" s="52">
        <v>514010619281</v>
      </c>
      <c r="C96" s="53" t="s">
        <v>242</v>
      </c>
      <c r="D96" s="14" t="s">
        <v>22</v>
      </c>
      <c r="E96" s="53" t="s">
        <v>181</v>
      </c>
      <c r="F96" s="53" t="s">
        <v>24</v>
      </c>
      <c r="G96" s="153">
        <v>7120</v>
      </c>
      <c r="H96" s="54" t="s">
        <v>25</v>
      </c>
      <c r="I96" s="54" t="s">
        <v>243</v>
      </c>
      <c r="J96" s="53">
        <v>2670</v>
      </c>
      <c r="K96" s="53">
        <v>4537745</v>
      </c>
      <c r="L96" s="41">
        <v>2670</v>
      </c>
      <c r="M96" s="41">
        <v>4537745</v>
      </c>
      <c r="N96" s="20">
        <v>0</v>
      </c>
      <c r="O96" s="102">
        <v>0</v>
      </c>
      <c r="P96" s="102">
        <v>0</v>
      </c>
      <c r="Q96" s="20">
        <v>0</v>
      </c>
      <c r="R96" s="19">
        <f t="shared" si="9"/>
        <v>4537745</v>
      </c>
      <c r="S96" s="19">
        <v>3000</v>
      </c>
      <c r="T96" s="19">
        <f t="shared" si="7"/>
        <v>4540745</v>
      </c>
      <c r="U96" s="105"/>
      <c r="X96" s="10">
        <f t="shared" si="10"/>
        <v>4537745</v>
      </c>
      <c r="Y96" s="2">
        <f t="shared" si="11"/>
        <v>0</v>
      </c>
      <c r="Z96" s="10">
        <f t="shared" si="8"/>
        <v>0</v>
      </c>
    </row>
    <row r="97" spans="1:26" ht="18" customHeight="1" x14ac:dyDescent="0.25">
      <c r="A97" s="11">
        <v>78</v>
      </c>
      <c r="B97" s="52">
        <v>514010619311</v>
      </c>
      <c r="C97" s="53" t="s">
        <v>244</v>
      </c>
      <c r="D97" s="14" t="s">
        <v>28</v>
      </c>
      <c r="E97" s="53" t="s">
        <v>210</v>
      </c>
      <c r="F97" s="53" t="s">
        <v>24</v>
      </c>
      <c r="G97" s="153">
        <v>5500</v>
      </c>
      <c r="H97" s="54" t="s">
        <v>25</v>
      </c>
      <c r="I97" s="54" t="s">
        <v>245</v>
      </c>
      <c r="J97" s="53">
        <v>452</v>
      </c>
      <c r="K97" s="53">
        <v>768188</v>
      </c>
      <c r="L97" s="41">
        <v>452</v>
      </c>
      <c r="M97" s="41">
        <v>768188</v>
      </c>
      <c r="N97" s="20">
        <v>0</v>
      </c>
      <c r="O97" s="102">
        <v>0</v>
      </c>
      <c r="P97" s="102">
        <v>0</v>
      </c>
      <c r="Q97" s="20">
        <v>0</v>
      </c>
      <c r="R97" s="19">
        <f t="shared" si="9"/>
        <v>768188</v>
      </c>
      <c r="S97" s="19">
        <v>3000</v>
      </c>
      <c r="T97" s="19">
        <f t="shared" si="7"/>
        <v>771188</v>
      </c>
      <c r="U97" s="105"/>
      <c r="X97" s="10">
        <f t="shared" si="10"/>
        <v>768188</v>
      </c>
      <c r="Y97" s="2">
        <f t="shared" si="11"/>
        <v>0</v>
      </c>
      <c r="Z97" s="10">
        <f t="shared" si="8"/>
        <v>0</v>
      </c>
    </row>
    <row r="98" spans="1:26" ht="18" customHeight="1" x14ac:dyDescent="0.25">
      <c r="A98" s="11">
        <v>79</v>
      </c>
      <c r="B98" s="52">
        <v>514010619337</v>
      </c>
      <c r="C98" s="53" t="s">
        <v>246</v>
      </c>
      <c r="D98" s="14" t="s">
        <v>28</v>
      </c>
      <c r="E98" s="53" t="s">
        <v>97</v>
      </c>
      <c r="F98" s="53" t="s">
        <v>24</v>
      </c>
      <c r="G98" s="153">
        <v>16500</v>
      </c>
      <c r="H98" s="54" t="s">
        <v>25</v>
      </c>
      <c r="I98" s="54" t="s">
        <v>247</v>
      </c>
      <c r="J98" s="53">
        <v>2449</v>
      </c>
      <c r="K98" s="53">
        <v>4162149</v>
      </c>
      <c r="L98" s="41">
        <v>2449</v>
      </c>
      <c r="M98" s="41">
        <v>4162149</v>
      </c>
      <c r="N98" s="20">
        <v>0</v>
      </c>
      <c r="O98" s="102">
        <v>0</v>
      </c>
      <c r="P98" s="102">
        <v>0</v>
      </c>
      <c r="Q98" s="20">
        <v>0</v>
      </c>
      <c r="R98" s="19">
        <f t="shared" si="9"/>
        <v>4162149</v>
      </c>
      <c r="S98" s="19">
        <v>3000</v>
      </c>
      <c r="T98" s="19">
        <f t="shared" si="7"/>
        <v>4165149</v>
      </c>
      <c r="U98" s="105"/>
      <c r="X98" s="10">
        <f t="shared" si="10"/>
        <v>4162149</v>
      </c>
      <c r="Y98" s="2">
        <f t="shared" si="11"/>
        <v>0</v>
      </c>
      <c r="Z98" s="10">
        <f t="shared" si="8"/>
        <v>0</v>
      </c>
    </row>
    <row r="99" spans="1:26" ht="18" customHeight="1" x14ac:dyDescent="0.25">
      <c r="A99" s="11">
        <v>80</v>
      </c>
      <c r="B99" s="52">
        <v>514010619352</v>
      </c>
      <c r="C99" s="53" t="s">
        <v>248</v>
      </c>
      <c r="D99" s="14" t="s">
        <v>28</v>
      </c>
      <c r="E99" s="53" t="s">
        <v>249</v>
      </c>
      <c r="F99" s="53" t="s">
        <v>24</v>
      </c>
      <c r="G99" s="153">
        <v>4400</v>
      </c>
      <c r="H99" s="54" t="s">
        <v>25</v>
      </c>
      <c r="I99" s="54" t="s">
        <v>250</v>
      </c>
      <c r="J99" s="53">
        <v>2561</v>
      </c>
      <c r="K99" s="53">
        <v>4352496</v>
      </c>
      <c r="L99" s="41">
        <v>2561</v>
      </c>
      <c r="M99" s="41">
        <v>4352496</v>
      </c>
      <c r="N99" s="20">
        <v>0</v>
      </c>
      <c r="O99" s="102">
        <v>0</v>
      </c>
      <c r="P99" s="102">
        <v>0</v>
      </c>
      <c r="Q99" s="20">
        <v>0</v>
      </c>
      <c r="R99" s="19">
        <f t="shared" si="9"/>
        <v>4352496</v>
      </c>
      <c r="S99" s="19">
        <v>3000</v>
      </c>
      <c r="T99" s="19">
        <f t="shared" si="7"/>
        <v>4355496</v>
      </c>
      <c r="U99" s="105"/>
      <c r="X99" s="10">
        <f t="shared" si="10"/>
        <v>4352496</v>
      </c>
      <c r="Y99" s="2">
        <f t="shared" si="11"/>
        <v>0</v>
      </c>
      <c r="Z99" s="10">
        <f t="shared" si="8"/>
        <v>0</v>
      </c>
    </row>
    <row r="100" spans="1:26" ht="18" customHeight="1" x14ac:dyDescent="0.25">
      <c r="A100" s="11"/>
      <c r="B100" s="52"/>
      <c r="C100" s="53"/>
      <c r="D100" s="14"/>
      <c r="E100" s="53"/>
      <c r="F100" s="53"/>
      <c r="G100" s="153"/>
      <c r="H100" s="54"/>
      <c r="I100" s="54"/>
      <c r="J100" s="53"/>
      <c r="K100" s="53"/>
      <c r="L100" s="41"/>
      <c r="M100" s="41"/>
      <c r="N100" s="20"/>
      <c r="O100" s="102"/>
      <c r="P100" s="102"/>
      <c r="Q100" s="20"/>
      <c r="R100" s="19"/>
      <c r="S100" s="19"/>
      <c r="T100" s="19"/>
      <c r="U100" s="105"/>
      <c r="X100" s="10"/>
      <c r="Z100" s="10"/>
    </row>
    <row r="101" spans="1:26" s="25" customFormat="1" ht="33" customHeight="1" x14ac:dyDescent="0.25">
      <c r="A101" s="182" t="s">
        <v>139</v>
      </c>
      <c r="B101" s="182"/>
      <c r="C101" s="182"/>
      <c r="D101" s="182"/>
      <c r="E101" s="182"/>
      <c r="F101" s="182"/>
      <c r="G101" s="36">
        <f>SUM(G59:G99)</f>
        <v>411180</v>
      </c>
      <c r="H101" s="36"/>
      <c r="I101" s="36"/>
      <c r="J101" s="36"/>
      <c r="K101" s="36"/>
      <c r="L101" s="36">
        <f t="shared" ref="L101:R101" si="12">SUM(L59:L99)</f>
        <v>104387</v>
      </c>
      <c r="M101" s="37">
        <f t="shared" si="12"/>
        <v>177408839</v>
      </c>
      <c r="N101" s="38">
        <f t="shared" si="12"/>
        <v>0</v>
      </c>
      <c r="O101" s="38">
        <f t="shared" si="12"/>
        <v>0</v>
      </c>
      <c r="P101" s="38">
        <f t="shared" si="12"/>
        <v>0</v>
      </c>
      <c r="Q101" s="38">
        <f t="shared" si="12"/>
        <v>10000</v>
      </c>
      <c r="R101" s="37">
        <f t="shared" si="12"/>
        <v>177418839</v>
      </c>
      <c r="S101" s="37">
        <f>SUM(S59:S99)</f>
        <v>240000</v>
      </c>
      <c r="T101" s="37">
        <f>SUM(T59:T99)</f>
        <v>177658839</v>
      </c>
      <c r="U101" s="147"/>
      <c r="X101" s="10">
        <f t="shared" si="10"/>
        <v>177408839</v>
      </c>
      <c r="Y101" s="2">
        <f t="shared" si="11"/>
        <v>10000</v>
      </c>
      <c r="Z101" s="10"/>
    </row>
    <row r="102" spans="1:26" s="25" customFormat="1" ht="18" customHeight="1" x14ac:dyDescent="0.25">
      <c r="A102" s="7"/>
      <c r="B102" s="7"/>
      <c r="C102" s="7"/>
      <c r="D102" s="7"/>
      <c r="E102" s="7"/>
      <c r="F102" s="7"/>
      <c r="G102" s="39"/>
      <c r="H102" s="39"/>
      <c r="I102" s="3"/>
      <c r="J102" s="3"/>
      <c r="K102" s="3"/>
      <c r="L102" s="28"/>
      <c r="M102" s="5"/>
      <c r="N102" s="29"/>
      <c r="O102" s="29"/>
      <c r="P102" s="29"/>
      <c r="Q102" s="29"/>
      <c r="R102" s="30"/>
      <c r="S102" s="30"/>
      <c r="T102" s="30"/>
      <c r="U102" s="30"/>
      <c r="X102" s="10">
        <f t="shared" si="10"/>
        <v>0</v>
      </c>
      <c r="Y102" s="2">
        <f t="shared" si="11"/>
        <v>0</v>
      </c>
      <c r="Z102" s="10"/>
    </row>
    <row r="103" spans="1:26" ht="18" customHeight="1" x14ac:dyDescent="0.25">
      <c r="A103" s="3"/>
      <c r="C103" s="3" t="s">
        <v>140</v>
      </c>
      <c r="D103" s="3"/>
      <c r="E103" s="3" t="s">
        <v>140</v>
      </c>
      <c r="I103" s="3" t="s">
        <v>0</v>
      </c>
      <c r="L103" s="31" t="s">
        <v>0</v>
      </c>
      <c r="X103" s="10">
        <f t="shared" si="10"/>
        <v>0</v>
      </c>
      <c r="Y103" s="2">
        <f t="shared" si="11"/>
        <v>0</v>
      </c>
      <c r="Z103" s="10"/>
    </row>
    <row r="104" spans="1:26" s="84" customFormat="1" ht="39" customHeight="1" x14ac:dyDescent="0.25">
      <c r="A104" s="9" t="s">
        <v>4</v>
      </c>
      <c r="B104" s="21" t="s">
        <v>5</v>
      </c>
      <c r="C104" s="21" t="s">
        <v>6</v>
      </c>
      <c r="D104" s="12"/>
      <c r="E104" s="9" t="s">
        <v>7</v>
      </c>
      <c r="F104" s="21" t="s">
        <v>8</v>
      </c>
      <c r="G104" s="21" t="s">
        <v>9</v>
      </c>
      <c r="H104" s="21" t="s">
        <v>10</v>
      </c>
      <c r="I104" s="21" t="s">
        <v>11</v>
      </c>
      <c r="J104" s="21" t="s">
        <v>12</v>
      </c>
      <c r="K104" s="21" t="s">
        <v>13</v>
      </c>
      <c r="L104" s="21" t="s">
        <v>14</v>
      </c>
      <c r="M104" s="143" t="s">
        <v>15</v>
      </c>
      <c r="N104" s="144" t="s">
        <v>16</v>
      </c>
      <c r="O104" s="144" t="s">
        <v>17</v>
      </c>
      <c r="P104" s="144" t="s">
        <v>18</v>
      </c>
      <c r="Q104" s="144" t="s">
        <v>19</v>
      </c>
      <c r="R104" s="143" t="s">
        <v>20</v>
      </c>
      <c r="S104" s="143" t="s">
        <v>3471</v>
      </c>
      <c r="T104" s="143" t="s">
        <v>3472</v>
      </c>
      <c r="U104" s="145"/>
      <c r="V104" s="145"/>
      <c r="W104" s="145"/>
      <c r="X104" s="145"/>
    </row>
    <row r="105" spans="1:26" ht="18" customHeight="1" x14ac:dyDescent="0.25">
      <c r="A105" s="34"/>
      <c r="B105" s="9"/>
      <c r="C105" s="15"/>
      <c r="D105" s="15"/>
      <c r="E105" s="15"/>
      <c r="F105" s="15"/>
      <c r="G105" s="15"/>
      <c r="H105" s="15"/>
      <c r="I105" s="15" t="s">
        <v>0</v>
      </c>
      <c r="J105" s="15"/>
      <c r="K105" s="15"/>
      <c r="L105" s="18" t="s">
        <v>0</v>
      </c>
      <c r="M105" s="19"/>
      <c r="N105" s="20"/>
      <c r="O105" s="20"/>
      <c r="P105" s="20"/>
      <c r="Q105" s="20"/>
      <c r="R105" s="19"/>
      <c r="S105" s="19"/>
      <c r="T105" s="19"/>
      <c r="U105" s="105"/>
      <c r="X105" s="10">
        <f t="shared" si="10"/>
        <v>0</v>
      </c>
      <c r="Y105" s="2">
        <f t="shared" si="11"/>
        <v>0</v>
      </c>
      <c r="Z105" s="10"/>
    </row>
    <row r="106" spans="1:26" ht="18" customHeight="1" x14ac:dyDescent="0.25">
      <c r="A106" s="14"/>
      <c r="B106" s="15"/>
      <c r="C106" s="14" t="s">
        <v>140</v>
      </c>
      <c r="D106" s="14"/>
      <c r="E106" s="35" t="s">
        <v>141</v>
      </c>
      <c r="F106" s="15"/>
      <c r="G106" s="36">
        <f>G101</f>
        <v>411180</v>
      </c>
      <c r="H106" s="36">
        <f t="shared" ref="H106:R106" si="13">H101</f>
        <v>0</v>
      </c>
      <c r="I106" s="36">
        <f t="shared" si="13"/>
        <v>0</v>
      </c>
      <c r="J106" s="36"/>
      <c r="K106" s="36"/>
      <c r="L106" s="36">
        <f t="shared" si="13"/>
        <v>104387</v>
      </c>
      <c r="M106" s="37">
        <f t="shared" si="13"/>
        <v>177408839</v>
      </c>
      <c r="N106" s="38">
        <f t="shared" si="13"/>
        <v>0</v>
      </c>
      <c r="O106" s="38">
        <f t="shared" si="13"/>
        <v>0</v>
      </c>
      <c r="P106" s="38">
        <f t="shared" si="13"/>
        <v>0</v>
      </c>
      <c r="Q106" s="38">
        <f t="shared" si="13"/>
        <v>10000</v>
      </c>
      <c r="R106" s="37">
        <f t="shared" si="13"/>
        <v>177418839</v>
      </c>
      <c r="S106" s="37">
        <f>S101</f>
        <v>240000</v>
      </c>
      <c r="T106" s="37">
        <f>T101</f>
        <v>177658839</v>
      </c>
      <c r="U106" s="147"/>
      <c r="X106" s="10">
        <f t="shared" si="10"/>
        <v>177408839</v>
      </c>
      <c r="Y106" s="2">
        <f t="shared" si="11"/>
        <v>10000</v>
      </c>
      <c r="Z106" s="10"/>
    </row>
    <row r="107" spans="1:26" ht="18" customHeight="1" x14ac:dyDescent="0.25">
      <c r="A107" s="11">
        <v>81</v>
      </c>
      <c r="B107" s="52">
        <v>514010619378</v>
      </c>
      <c r="C107" s="53" t="s">
        <v>251</v>
      </c>
      <c r="D107" s="14" t="s">
        <v>28</v>
      </c>
      <c r="E107" s="53" t="s">
        <v>252</v>
      </c>
      <c r="F107" s="53" t="s">
        <v>24</v>
      </c>
      <c r="G107" s="153">
        <v>7700</v>
      </c>
      <c r="H107" s="54" t="s">
        <v>25</v>
      </c>
      <c r="I107" s="54" t="s">
        <v>253</v>
      </c>
      <c r="J107" s="53">
        <v>2670</v>
      </c>
      <c r="K107" s="53">
        <v>4537745</v>
      </c>
      <c r="L107" s="41">
        <v>2670</v>
      </c>
      <c r="M107" s="44">
        <v>4537745</v>
      </c>
      <c r="N107" s="20">
        <v>0</v>
      </c>
      <c r="O107" s="42">
        <v>0</v>
      </c>
      <c r="P107" s="42">
        <v>0</v>
      </c>
      <c r="Q107" s="20">
        <v>0</v>
      </c>
      <c r="R107" s="19">
        <f>M107+N107+O107+P107+Q107</f>
        <v>4537745</v>
      </c>
      <c r="S107" s="19">
        <v>3000</v>
      </c>
      <c r="T107" s="19">
        <f t="shared" ref="T107:T146" si="14">R107+S107</f>
        <v>4540745</v>
      </c>
      <c r="U107" s="105"/>
      <c r="X107" s="10">
        <f t="shared" si="10"/>
        <v>4537745</v>
      </c>
      <c r="Y107" s="2">
        <f t="shared" si="11"/>
        <v>0</v>
      </c>
      <c r="Z107" s="10">
        <f t="shared" ref="Z107:Z146" si="15">Q107-Y107</f>
        <v>0</v>
      </c>
    </row>
    <row r="108" spans="1:26" ht="18" customHeight="1" x14ac:dyDescent="0.25">
      <c r="A108" s="11">
        <v>82</v>
      </c>
      <c r="B108" s="52">
        <v>514010619386</v>
      </c>
      <c r="C108" s="53" t="s">
        <v>254</v>
      </c>
      <c r="D108" s="14" t="s">
        <v>28</v>
      </c>
      <c r="E108" s="53" t="s">
        <v>255</v>
      </c>
      <c r="F108" s="53" t="s">
        <v>24</v>
      </c>
      <c r="G108" s="153">
        <v>4400</v>
      </c>
      <c r="H108" s="54" t="s">
        <v>25</v>
      </c>
      <c r="I108" s="54" t="s">
        <v>256</v>
      </c>
      <c r="J108" s="53">
        <v>2470</v>
      </c>
      <c r="K108" s="53">
        <v>4197839</v>
      </c>
      <c r="L108" s="41">
        <v>2470</v>
      </c>
      <c r="M108" s="44">
        <v>4197839</v>
      </c>
      <c r="N108" s="20">
        <v>0</v>
      </c>
      <c r="O108" s="42">
        <v>0</v>
      </c>
      <c r="P108" s="42">
        <v>0</v>
      </c>
      <c r="Q108" s="20">
        <v>0</v>
      </c>
      <c r="R108" s="19">
        <f t="shared" ref="R108:R146" si="16">M108+N108+O108+P108+Q108</f>
        <v>4197839</v>
      </c>
      <c r="S108" s="19">
        <v>3000</v>
      </c>
      <c r="T108" s="19">
        <f t="shared" si="14"/>
        <v>4200839</v>
      </c>
      <c r="U108" s="105"/>
      <c r="X108" s="10">
        <f t="shared" si="10"/>
        <v>4197839</v>
      </c>
      <c r="Y108" s="2">
        <f t="shared" si="11"/>
        <v>0</v>
      </c>
      <c r="Z108" s="10">
        <f t="shared" si="15"/>
        <v>0</v>
      </c>
    </row>
    <row r="109" spans="1:26" ht="18" customHeight="1" x14ac:dyDescent="0.25">
      <c r="A109" s="11">
        <v>83</v>
      </c>
      <c r="B109" s="52">
        <v>514010619415</v>
      </c>
      <c r="C109" s="53" t="s">
        <v>257</v>
      </c>
      <c r="D109" s="14" t="s">
        <v>28</v>
      </c>
      <c r="E109" s="53" t="s">
        <v>258</v>
      </c>
      <c r="F109" s="53" t="s">
        <v>24</v>
      </c>
      <c r="G109" s="153">
        <v>5500</v>
      </c>
      <c r="H109" s="54" t="s">
        <v>25</v>
      </c>
      <c r="I109" s="54" t="s">
        <v>259</v>
      </c>
      <c r="J109" s="53">
        <v>2096</v>
      </c>
      <c r="K109" s="53">
        <v>3562215</v>
      </c>
      <c r="L109" s="41">
        <v>2096</v>
      </c>
      <c r="M109" s="44">
        <v>3562215</v>
      </c>
      <c r="N109" s="20">
        <v>0</v>
      </c>
      <c r="O109" s="42">
        <v>0</v>
      </c>
      <c r="P109" s="42">
        <v>0</v>
      </c>
      <c r="Q109" s="20">
        <v>0</v>
      </c>
      <c r="R109" s="19">
        <f t="shared" si="16"/>
        <v>3562215</v>
      </c>
      <c r="S109" s="19">
        <v>3000</v>
      </c>
      <c r="T109" s="19">
        <f t="shared" si="14"/>
        <v>3565215</v>
      </c>
      <c r="U109" s="105"/>
      <c r="X109" s="10">
        <f t="shared" si="10"/>
        <v>3562215</v>
      </c>
      <c r="Y109" s="2">
        <f t="shared" si="11"/>
        <v>0</v>
      </c>
      <c r="Z109" s="10">
        <f t="shared" si="15"/>
        <v>0</v>
      </c>
    </row>
    <row r="110" spans="1:26" ht="18" customHeight="1" x14ac:dyDescent="0.25">
      <c r="A110" s="11">
        <v>84</v>
      </c>
      <c r="B110" s="52">
        <v>514010619423</v>
      </c>
      <c r="C110" s="53" t="s">
        <v>260</v>
      </c>
      <c r="D110" s="14" t="s">
        <v>22</v>
      </c>
      <c r="E110" s="53" t="s">
        <v>261</v>
      </c>
      <c r="F110" s="53" t="s">
        <v>24</v>
      </c>
      <c r="G110" s="153">
        <v>4400</v>
      </c>
      <c r="H110" s="54" t="s">
        <v>25</v>
      </c>
      <c r="I110" s="54" t="s">
        <v>262</v>
      </c>
      <c r="J110" s="53">
        <v>2682</v>
      </c>
      <c r="K110" s="53">
        <v>4558139</v>
      </c>
      <c r="L110" s="41">
        <v>2682</v>
      </c>
      <c r="M110" s="44">
        <v>4558139</v>
      </c>
      <c r="N110" s="20">
        <v>0</v>
      </c>
      <c r="O110" s="42">
        <v>0</v>
      </c>
      <c r="P110" s="42">
        <v>0</v>
      </c>
      <c r="Q110" s="20">
        <v>0</v>
      </c>
      <c r="R110" s="19">
        <f t="shared" si="16"/>
        <v>4558139</v>
      </c>
      <c r="S110" s="19">
        <v>3000</v>
      </c>
      <c r="T110" s="19">
        <f t="shared" si="14"/>
        <v>4561139</v>
      </c>
      <c r="U110" s="105"/>
      <c r="X110" s="10">
        <f t="shared" si="10"/>
        <v>4558139</v>
      </c>
      <c r="Y110" s="2">
        <f t="shared" si="11"/>
        <v>0</v>
      </c>
      <c r="Z110" s="10">
        <f t="shared" si="15"/>
        <v>0</v>
      </c>
    </row>
    <row r="111" spans="1:26" ht="18" customHeight="1" x14ac:dyDescent="0.25">
      <c r="A111" s="11">
        <v>85</v>
      </c>
      <c r="B111" s="52">
        <v>514010619431</v>
      </c>
      <c r="C111" s="53" t="s">
        <v>263</v>
      </c>
      <c r="D111" s="14" t="s">
        <v>28</v>
      </c>
      <c r="E111" s="53" t="s">
        <v>264</v>
      </c>
      <c r="F111" s="53" t="s">
        <v>24</v>
      </c>
      <c r="G111" s="153">
        <v>3500</v>
      </c>
      <c r="H111" s="54" t="s">
        <v>25</v>
      </c>
      <c r="I111" s="54" t="s">
        <v>265</v>
      </c>
      <c r="J111" s="53">
        <v>633</v>
      </c>
      <c r="K111" s="53">
        <v>1075802</v>
      </c>
      <c r="L111" s="41">
        <v>633</v>
      </c>
      <c r="M111" s="44">
        <v>1075802</v>
      </c>
      <c r="N111" s="20">
        <v>0</v>
      </c>
      <c r="O111" s="42">
        <v>0</v>
      </c>
      <c r="P111" s="42">
        <v>0</v>
      </c>
      <c r="Q111" s="20">
        <v>0</v>
      </c>
      <c r="R111" s="19">
        <f t="shared" si="16"/>
        <v>1075802</v>
      </c>
      <c r="S111" s="19">
        <v>3000</v>
      </c>
      <c r="T111" s="19">
        <f t="shared" si="14"/>
        <v>1078802</v>
      </c>
      <c r="U111" s="105"/>
      <c r="X111" s="10">
        <f t="shared" si="10"/>
        <v>1075802</v>
      </c>
      <c r="Y111" s="2">
        <f t="shared" si="11"/>
        <v>0</v>
      </c>
      <c r="Z111" s="10">
        <f t="shared" si="15"/>
        <v>0</v>
      </c>
    </row>
    <row r="112" spans="1:26" ht="18" customHeight="1" x14ac:dyDescent="0.25">
      <c r="A112" s="11">
        <v>86</v>
      </c>
      <c r="B112" s="52">
        <v>514010662535</v>
      </c>
      <c r="C112" s="53" t="s">
        <v>266</v>
      </c>
      <c r="D112" s="14" t="s">
        <v>22</v>
      </c>
      <c r="E112" s="53" t="s">
        <v>49</v>
      </c>
      <c r="F112" s="53" t="s">
        <v>24</v>
      </c>
      <c r="G112" s="153">
        <v>6360</v>
      </c>
      <c r="H112" s="54" t="s">
        <v>25</v>
      </c>
      <c r="I112" s="54" t="s">
        <v>267</v>
      </c>
      <c r="J112" s="53">
        <v>2385</v>
      </c>
      <c r="K112" s="53">
        <v>4053379</v>
      </c>
      <c r="L112" s="41">
        <v>2385</v>
      </c>
      <c r="M112" s="44">
        <v>4053379</v>
      </c>
      <c r="N112" s="20">
        <v>0</v>
      </c>
      <c r="O112" s="42">
        <v>0</v>
      </c>
      <c r="P112" s="42">
        <v>0</v>
      </c>
      <c r="Q112" s="20">
        <v>0</v>
      </c>
      <c r="R112" s="19">
        <f t="shared" si="16"/>
        <v>4053379</v>
      </c>
      <c r="S112" s="19">
        <v>3000</v>
      </c>
      <c r="T112" s="19">
        <f t="shared" si="14"/>
        <v>4056379</v>
      </c>
      <c r="U112" s="105"/>
      <c r="X112" s="10">
        <f t="shared" si="10"/>
        <v>4053379</v>
      </c>
      <c r="Y112" s="2">
        <f t="shared" si="11"/>
        <v>0</v>
      </c>
      <c r="Z112" s="10">
        <f t="shared" si="15"/>
        <v>0</v>
      </c>
    </row>
    <row r="113" spans="1:26" ht="18" customHeight="1" x14ac:dyDescent="0.25">
      <c r="A113" s="11">
        <v>87</v>
      </c>
      <c r="B113" s="52">
        <v>514010662550</v>
      </c>
      <c r="C113" s="53" t="s">
        <v>268</v>
      </c>
      <c r="D113" s="14" t="s">
        <v>22</v>
      </c>
      <c r="E113" s="53" t="s">
        <v>110</v>
      </c>
      <c r="F113" s="53" t="s">
        <v>24</v>
      </c>
      <c r="G113" s="153">
        <v>5500</v>
      </c>
      <c r="H113" s="54" t="s">
        <v>25</v>
      </c>
      <c r="I113" s="54" t="s">
        <v>269</v>
      </c>
      <c r="J113" s="53">
        <v>1242</v>
      </c>
      <c r="K113" s="53">
        <v>2110816</v>
      </c>
      <c r="L113" s="41">
        <v>1242</v>
      </c>
      <c r="M113" s="44">
        <v>2110816</v>
      </c>
      <c r="N113" s="20">
        <v>0</v>
      </c>
      <c r="O113" s="42">
        <v>0</v>
      </c>
      <c r="P113" s="42">
        <v>0</v>
      </c>
      <c r="Q113" s="20">
        <v>0</v>
      </c>
      <c r="R113" s="19">
        <f t="shared" si="16"/>
        <v>2110816</v>
      </c>
      <c r="S113" s="19">
        <v>3000</v>
      </c>
      <c r="T113" s="19">
        <f t="shared" si="14"/>
        <v>2113816</v>
      </c>
      <c r="U113" s="105"/>
      <c r="X113" s="10">
        <f t="shared" si="10"/>
        <v>2110816</v>
      </c>
      <c r="Y113" s="2">
        <f t="shared" si="11"/>
        <v>0</v>
      </c>
      <c r="Z113" s="10">
        <f t="shared" si="15"/>
        <v>0</v>
      </c>
    </row>
    <row r="114" spans="1:26" ht="18" customHeight="1" x14ac:dyDescent="0.25">
      <c r="A114" s="11">
        <v>88</v>
      </c>
      <c r="B114" s="52">
        <v>514010662576</v>
      </c>
      <c r="C114" s="53" t="s">
        <v>270</v>
      </c>
      <c r="D114" s="14" t="s">
        <v>22</v>
      </c>
      <c r="E114" s="53" t="s">
        <v>271</v>
      </c>
      <c r="F114" s="53" t="s">
        <v>24</v>
      </c>
      <c r="G114" s="153">
        <v>9500</v>
      </c>
      <c r="H114" s="54" t="s">
        <v>25</v>
      </c>
      <c r="I114" s="54" t="s">
        <v>272</v>
      </c>
      <c r="J114" s="53">
        <v>384</v>
      </c>
      <c r="K114" s="53">
        <v>652620</v>
      </c>
      <c r="L114" s="41">
        <v>384</v>
      </c>
      <c r="M114" s="44">
        <v>652620</v>
      </c>
      <c r="N114" s="20">
        <v>0</v>
      </c>
      <c r="O114" s="42">
        <v>0</v>
      </c>
      <c r="P114" s="42">
        <v>0</v>
      </c>
      <c r="Q114" s="20">
        <v>0</v>
      </c>
      <c r="R114" s="19">
        <f t="shared" si="16"/>
        <v>652620</v>
      </c>
      <c r="S114" s="19">
        <v>3000</v>
      </c>
      <c r="T114" s="19">
        <f t="shared" si="14"/>
        <v>655620</v>
      </c>
      <c r="U114" s="105"/>
      <c r="X114" s="10">
        <f t="shared" si="10"/>
        <v>652620</v>
      </c>
      <c r="Y114" s="2">
        <f t="shared" si="11"/>
        <v>0</v>
      </c>
      <c r="Z114" s="10">
        <f t="shared" si="15"/>
        <v>0</v>
      </c>
    </row>
    <row r="115" spans="1:26" ht="18" customHeight="1" x14ac:dyDescent="0.25">
      <c r="A115" s="11">
        <v>89</v>
      </c>
      <c r="B115" s="52">
        <v>514010662584</v>
      </c>
      <c r="C115" s="53" t="s">
        <v>273</v>
      </c>
      <c r="D115" s="14" t="s">
        <v>28</v>
      </c>
      <c r="E115" s="53" t="s">
        <v>274</v>
      </c>
      <c r="F115" s="53" t="s">
        <v>24</v>
      </c>
      <c r="G115" s="153">
        <v>3500</v>
      </c>
      <c r="H115" s="54" t="s">
        <v>25</v>
      </c>
      <c r="I115" s="54" t="s">
        <v>275</v>
      </c>
      <c r="J115" s="53">
        <v>1313</v>
      </c>
      <c r="K115" s="53">
        <v>2231483</v>
      </c>
      <c r="L115" s="41">
        <v>1313</v>
      </c>
      <c r="M115" s="44">
        <v>2231483</v>
      </c>
      <c r="N115" s="20">
        <v>0</v>
      </c>
      <c r="O115" s="42">
        <v>0</v>
      </c>
      <c r="P115" s="42">
        <v>0</v>
      </c>
      <c r="Q115" s="20">
        <v>0</v>
      </c>
      <c r="R115" s="19">
        <f t="shared" si="16"/>
        <v>2231483</v>
      </c>
      <c r="S115" s="19">
        <v>3000</v>
      </c>
      <c r="T115" s="19">
        <f t="shared" si="14"/>
        <v>2234483</v>
      </c>
      <c r="U115" s="105"/>
      <c r="X115" s="10">
        <f t="shared" si="10"/>
        <v>2231483</v>
      </c>
      <c r="Y115" s="2">
        <f t="shared" si="11"/>
        <v>0</v>
      </c>
      <c r="Z115" s="10">
        <f t="shared" si="15"/>
        <v>0</v>
      </c>
    </row>
    <row r="116" spans="1:26" ht="18" customHeight="1" x14ac:dyDescent="0.25">
      <c r="A116" s="11">
        <v>90</v>
      </c>
      <c r="B116" s="52">
        <v>514010662639</v>
      </c>
      <c r="C116" s="53" t="s">
        <v>276</v>
      </c>
      <c r="D116" s="14" t="s">
        <v>22</v>
      </c>
      <c r="E116" s="53" t="s">
        <v>277</v>
      </c>
      <c r="F116" s="53" t="s">
        <v>24</v>
      </c>
      <c r="G116" s="153">
        <v>5940</v>
      </c>
      <c r="H116" s="54" t="s">
        <v>25</v>
      </c>
      <c r="I116" s="54" t="s">
        <v>278</v>
      </c>
      <c r="J116" s="53">
        <v>2228</v>
      </c>
      <c r="K116" s="53">
        <v>3786553</v>
      </c>
      <c r="L116" s="41">
        <v>2228</v>
      </c>
      <c r="M116" s="44">
        <v>3786553</v>
      </c>
      <c r="N116" s="20">
        <v>0</v>
      </c>
      <c r="O116" s="42">
        <v>0</v>
      </c>
      <c r="P116" s="42">
        <v>0</v>
      </c>
      <c r="Q116" s="20">
        <v>0</v>
      </c>
      <c r="R116" s="19">
        <f t="shared" si="16"/>
        <v>3786553</v>
      </c>
      <c r="S116" s="19">
        <v>3000</v>
      </c>
      <c r="T116" s="19">
        <f t="shared" si="14"/>
        <v>3789553</v>
      </c>
      <c r="U116" s="105"/>
      <c r="X116" s="10">
        <f t="shared" si="10"/>
        <v>3786553</v>
      </c>
      <c r="Y116" s="2">
        <f t="shared" si="11"/>
        <v>0</v>
      </c>
      <c r="Z116" s="10">
        <f t="shared" si="15"/>
        <v>0</v>
      </c>
    </row>
    <row r="117" spans="1:26" ht="18" customHeight="1" x14ac:dyDescent="0.25">
      <c r="A117" s="11">
        <v>91</v>
      </c>
      <c r="B117" s="52">
        <v>514010662654</v>
      </c>
      <c r="C117" s="53" t="s">
        <v>279</v>
      </c>
      <c r="D117" s="14" t="s">
        <v>28</v>
      </c>
      <c r="E117" s="53" t="s">
        <v>280</v>
      </c>
      <c r="F117" s="53" t="s">
        <v>24</v>
      </c>
      <c r="G117" s="153">
        <v>5040</v>
      </c>
      <c r="H117" s="54" t="s">
        <v>25</v>
      </c>
      <c r="I117" s="54" t="s">
        <v>281</v>
      </c>
      <c r="J117" s="53">
        <v>1890</v>
      </c>
      <c r="K117" s="53">
        <v>3212112</v>
      </c>
      <c r="L117" s="41">
        <v>1890</v>
      </c>
      <c r="M117" s="44">
        <v>3212112</v>
      </c>
      <c r="N117" s="20">
        <v>0</v>
      </c>
      <c r="O117" s="42">
        <v>0</v>
      </c>
      <c r="P117" s="42">
        <v>0</v>
      </c>
      <c r="Q117" s="20">
        <v>0</v>
      </c>
      <c r="R117" s="19">
        <f t="shared" si="16"/>
        <v>3212112</v>
      </c>
      <c r="S117" s="19">
        <v>3000</v>
      </c>
      <c r="T117" s="19">
        <f t="shared" si="14"/>
        <v>3215112</v>
      </c>
      <c r="U117" s="105"/>
      <c r="X117" s="10">
        <f t="shared" si="10"/>
        <v>3212112</v>
      </c>
      <c r="Y117" s="2">
        <f t="shared" si="11"/>
        <v>0</v>
      </c>
      <c r="Z117" s="10">
        <f t="shared" si="15"/>
        <v>0</v>
      </c>
    </row>
    <row r="118" spans="1:26" ht="18" customHeight="1" x14ac:dyDescent="0.25">
      <c r="A118" s="11">
        <v>92</v>
      </c>
      <c r="B118" s="52">
        <v>514010662662</v>
      </c>
      <c r="C118" s="53" t="s">
        <v>282</v>
      </c>
      <c r="D118" s="14" t="s">
        <v>28</v>
      </c>
      <c r="E118" s="53" t="s">
        <v>283</v>
      </c>
      <c r="F118" s="53" t="s">
        <v>24</v>
      </c>
      <c r="G118" s="153">
        <v>5500</v>
      </c>
      <c r="H118" s="54" t="s">
        <v>25</v>
      </c>
      <c r="I118" s="54" t="s">
        <v>284</v>
      </c>
      <c r="J118" s="53">
        <v>1603</v>
      </c>
      <c r="K118" s="53">
        <v>2724347</v>
      </c>
      <c r="L118" s="41">
        <v>1603</v>
      </c>
      <c r="M118" s="44">
        <v>2724347</v>
      </c>
      <c r="N118" s="20">
        <v>0</v>
      </c>
      <c r="O118" s="42">
        <v>0</v>
      </c>
      <c r="P118" s="42">
        <v>0</v>
      </c>
      <c r="Q118" s="20">
        <v>0</v>
      </c>
      <c r="R118" s="19">
        <f t="shared" si="16"/>
        <v>2724347</v>
      </c>
      <c r="S118" s="19">
        <v>3000</v>
      </c>
      <c r="T118" s="19">
        <f t="shared" si="14"/>
        <v>2727347</v>
      </c>
      <c r="U118" s="105"/>
      <c r="X118" s="10">
        <f t="shared" si="10"/>
        <v>2724347</v>
      </c>
      <c r="Y118" s="2">
        <f t="shared" si="11"/>
        <v>0</v>
      </c>
      <c r="Z118" s="10">
        <f t="shared" si="15"/>
        <v>0</v>
      </c>
    </row>
    <row r="119" spans="1:26" ht="18" customHeight="1" x14ac:dyDescent="0.25">
      <c r="A119" s="11">
        <v>93</v>
      </c>
      <c r="B119" s="52">
        <v>514010662670</v>
      </c>
      <c r="C119" s="53" t="s">
        <v>285</v>
      </c>
      <c r="D119" s="14" t="s">
        <v>28</v>
      </c>
      <c r="E119" s="53" t="s">
        <v>286</v>
      </c>
      <c r="F119" s="53" t="s">
        <v>24</v>
      </c>
      <c r="G119" s="153">
        <v>15210</v>
      </c>
      <c r="H119" s="54" t="s">
        <v>25</v>
      </c>
      <c r="I119" s="54" t="s">
        <v>287</v>
      </c>
      <c r="J119" s="53">
        <v>5704</v>
      </c>
      <c r="K119" s="53">
        <v>9694119</v>
      </c>
      <c r="L119" s="41">
        <v>5704</v>
      </c>
      <c r="M119" s="44">
        <v>9694119</v>
      </c>
      <c r="N119" s="20">
        <v>0</v>
      </c>
      <c r="O119" s="42">
        <v>0</v>
      </c>
      <c r="P119" s="42">
        <v>0</v>
      </c>
      <c r="Q119" s="20">
        <v>10000</v>
      </c>
      <c r="R119" s="19">
        <f t="shared" si="16"/>
        <v>9704119</v>
      </c>
      <c r="S119" s="19">
        <v>3000</v>
      </c>
      <c r="T119" s="19">
        <f t="shared" si="14"/>
        <v>9707119</v>
      </c>
      <c r="U119" s="105"/>
      <c r="X119" s="10">
        <f t="shared" si="10"/>
        <v>9694119</v>
      </c>
      <c r="Y119" s="2">
        <f t="shared" si="11"/>
        <v>10000</v>
      </c>
      <c r="Z119" s="10">
        <f t="shared" si="15"/>
        <v>0</v>
      </c>
    </row>
    <row r="120" spans="1:26" ht="18" customHeight="1" x14ac:dyDescent="0.25">
      <c r="A120" s="11">
        <v>94</v>
      </c>
      <c r="B120" s="52">
        <v>514010662734</v>
      </c>
      <c r="C120" s="53" t="s">
        <v>288</v>
      </c>
      <c r="D120" s="14" t="s">
        <v>22</v>
      </c>
      <c r="E120" s="53" t="s">
        <v>54</v>
      </c>
      <c r="F120" s="53" t="s">
        <v>24</v>
      </c>
      <c r="G120" s="153">
        <v>12640</v>
      </c>
      <c r="H120" s="54" t="s">
        <v>25</v>
      </c>
      <c r="I120" s="54" t="s">
        <v>289</v>
      </c>
      <c r="J120" s="53">
        <v>4740</v>
      </c>
      <c r="K120" s="53">
        <v>8055772</v>
      </c>
      <c r="L120" s="41">
        <v>4740</v>
      </c>
      <c r="M120" s="44">
        <v>8055772</v>
      </c>
      <c r="N120" s="20">
        <v>0</v>
      </c>
      <c r="O120" s="42">
        <v>0</v>
      </c>
      <c r="P120" s="42">
        <v>0</v>
      </c>
      <c r="Q120" s="20">
        <v>10000</v>
      </c>
      <c r="R120" s="19">
        <f t="shared" si="16"/>
        <v>8065772</v>
      </c>
      <c r="S120" s="19">
        <v>3000</v>
      </c>
      <c r="T120" s="19">
        <f t="shared" si="14"/>
        <v>8068772</v>
      </c>
      <c r="U120" s="105"/>
      <c r="X120" s="10">
        <f t="shared" si="10"/>
        <v>8055772</v>
      </c>
      <c r="Y120" s="2">
        <f t="shared" si="11"/>
        <v>10000</v>
      </c>
      <c r="Z120" s="10">
        <f t="shared" si="15"/>
        <v>0</v>
      </c>
    </row>
    <row r="121" spans="1:26" ht="18" customHeight="1" x14ac:dyDescent="0.25">
      <c r="A121" s="11">
        <v>95</v>
      </c>
      <c r="B121" s="52">
        <v>514010662759</v>
      </c>
      <c r="C121" s="53" t="s">
        <v>290</v>
      </c>
      <c r="D121" s="14" t="s">
        <v>22</v>
      </c>
      <c r="E121" s="53" t="s">
        <v>291</v>
      </c>
      <c r="F121" s="53" t="s">
        <v>24</v>
      </c>
      <c r="G121" s="153">
        <v>7700</v>
      </c>
      <c r="H121" s="54" t="s">
        <v>25</v>
      </c>
      <c r="I121" s="54" t="s">
        <v>292</v>
      </c>
      <c r="J121" s="53">
        <v>1510</v>
      </c>
      <c r="K121" s="53">
        <v>2566290</v>
      </c>
      <c r="L121" s="41">
        <v>1510</v>
      </c>
      <c r="M121" s="44">
        <v>2566290</v>
      </c>
      <c r="N121" s="20">
        <v>0</v>
      </c>
      <c r="O121" s="42">
        <v>0</v>
      </c>
      <c r="P121" s="42">
        <v>0</v>
      </c>
      <c r="Q121" s="20">
        <v>0</v>
      </c>
      <c r="R121" s="19">
        <f t="shared" si="16"/>
        <v>2566290</v>
      </c>
      <c r="S121" s="19">
        <v>3000</v>
      </c>
      <c r="T121" s="19">
        <f t="shared" si="14"/>
        <v>2569290</v>
      </c>
      <c r="U121" s="105"/>
      <c r="X121" s="10">
        <f t="shared" si="10"/>
        <v>2566290</v>
      </c>
      <c r="Y121" s="2">
        <f t="shared" si="11"/>
        <v>0</v>
      </c>
      <c r="Z121" s="10">
        <f t="shared" si="15"/>
        <v>0</v>
      </c>
    </row>
    <row r="122" spans="1:26" ht="18" customHeight="1" x14ac:dyDescent="0.25">
      <c r="A122" s="11">
        <v>96</v>
      </c>
      <c r="B122" s="52">
        <v>514010665819</v>
      </c>
      <c r="C122" s="53" t="s">
        <v>293</v>
      </c>
      <c r="D122" s="14" t="s">
        <v>22</v>
      </c>
      <c r="E122" s="53" t="s">
        <v>94</v>
      </c>
      <c r="F122" s="53" t="s">
        <v>24</v>
      </c>
      <c r="G122" s="153">
        <v>4400</v>
      </c>
      <c r="H122" s="54" t="s">
        <v>25</v>
      </c>
      <c r="I122" s="54" t="s">
        <v>294</v>
      </c>
      <c r="J122" s="53">
        <v>1407</v>
      </c>
      <c r="K122" s="53">
        <v>2391239</v>
      </c>
      <c r="L122" s="41">
        <v>1407</v>
      </c>
      <c r="M122" s="44">
        <v>2391239</v>
      </c>
      <c r="N122" s="20">
        <v>0</v>
      </c>
      <c r="O122" s="42">
        <v>0</v>
      </c>
      <c r="P122" s="42">
        <v>0</v>
      </c>
      <c r="Q122" s="20">
        <v>0</v>
      </c>
      <c r="R122" s="19">
        <f t="shared" si="16"/>
        <v>2391239</v>
      </c>
      <c r="S122" s="19">
        <v>3000</v>
      </c>
      <c r="T122" s="19">
        <f t="shared" si="14"/>
        <v>2394239</v>
      </c>
      <c r="U122" s="105"/>
      <c r="X122" s="10">
        <f t="shared" si="10"/>
        <v>2391239</v>
      </c>
      <c r="Y122" s="2">
        <f t="shared" si="11"/>
        <v>0</v>
      </c>
      <c r="Z122" s="10">
        <f t="shared" si="15"/>
        <v>0</v>
      </c>
    </row>
    <row r="123" spans="1:26" ht="18" customHeight="1" x14ac:dyDescent="0.25">
      <c r="A123" s="11">
        <v>97</v>
      </c>
      <c r="B123" s="52">
        <v>514010665827</v>
      </c>
      <c r="C123" s="53" t="s">
        <v>295</v>
      </c>
      <c r="D123" s="14" t="s">
        <v>22</v>
      </c>
      <c r="E123" s="53" t="s">
        <v>249</v>
      </c>
      <c r="F123" s="53" t="s">
        <v>24</v>
      </c>
      <c r="G123" s="153">
        <v>2820</v>
      </c>
      <c r="H123" s="54" t="s">
        <v>25</v>
      </c>
      <c r="I123" s="54" t="s">
        <v>296</v>
      </c>
      <c r="J123" s="53">
        <v>1058</v>
      </c>
      <c r="K123" s="53">
        <v>1798103</v>
      </c>
      <c r="L123" s="41">
        <v>1058</v>
      </c>
      <c r="M123" s="44">
        <v>1798103</v>
      </c>
      <c r="N123" s="20">
        <v>0</v>
      </c>
      <c r="O123" s="42">
        <v>0</v>
      </c>
      <c r="P123" s="42">
        <v>0</v>
      </c>
      <c r="Q123" s="20">
        <v>0</v>
      </c>
      <c r="R123" s="19">
        <f t="shared" si="16"/>
        <v>1798103</v>
      </c>
      <c r="S123" s="19">
        <v>3000</v>
      </c>
      <c r="T123" s="19">
        <f t="shared" si="14"/>
        <v>1801103</v>
      </c>
      <c r="U123" s="105"/>
      <c r="X123" s="10">
        <f t="shared" si="10"/>
        <v>1798103</v>
      </c>
      <c r="Y123" s="2">
        <f t="shared" si="11"/>
        <v>0</v>
      </c>
      <c r="Z123" s="10">
        <f t="shared" si="15"/>
        <v>0</v>
      </c>
    </row>
    <row r="124" spans="1:26" ht="18" customHeight="1" x14ac:dyDescent="0.25">
      <c r="A124" s="11">
        <v>98</v>
      </c>
      <c r="B124" s="52">
        <v>514010665835</v>
      </c>
      <c r="C124" s="53" t="s">
        <v>297</v>
      </c>
      <c r="D124" s="14" t="s">
        <v>28</v>
      </c>
      <c r="E124" s="53" t="s">
        <v>125</v>
      </c>
      <c r="F124" s="53" t="s">
        <v>24</v>
      </c>
      <c r="G124" s="153">
        <v>4400</v>
      </c>
      <c r="H124" s="54" t="s">
        <v>25</v>
      </c>
      <c r="I124" s="54" t="s">
        <v>298</v>
      </c>
      <c r="J124" s="53">
        <v>1370</v>
      </c>
      <c r="K124" s="53">
        <v>2328356</v>
      </c>
      <c r="L124" s="41">
        <v>1370</v>
      </c>
      <c r="M124" s="44">
        <v>2328356</v>
      </c>
      <c r="N124" s="20">
        <v>0</v>
      </c>
      <c r="O124" s="42">
        <v>0</v>
      </c>
      <c r="P124" s="42">
        <v>0</v>
      </c>
      <c r="Q124" s="20">
        <v>0</v>
      </c>
      <c r="R124" s="19">
        <f t="shared" si="16"/>
        <v>2328356</v>
      </c>
      <c r="S124" s="19">
        <v>3000</v>
      </c>
      <c r="T124" s="19">
        <f t="shared" si="14"/>
        <v>2331356</v>
      </c>
      <c r="U124" s="105"/>
      <c r="X124" s="10">
        <f t="shared" si="10"/>
        <v>2328356</v>
      </c>
      <c r="Y124" s="2">
        <f t="shared" si="11"/>
        <v>0</v>
      </c>
      <c r="Z124" s="10">
        <f t="shared" si="15"/>
        <v>0</v>
      </c>
    </row>
    <row r="125" spans="1:26" ht="18" customHeight="1" x14ac:dyDescent="0.25">
      <c r="A125" s="11">
        <v>99</v>
      </c>
      <c r="B125" s="52">
        <v>514010665850</v>
      </c>
      <c r="C125" s="53" t="s">
        <v>299</v>
      </c>
      <c r="D125" s="14" t="s">
        <v>28</v>
      </c>
      <c r="E125" s="53" t="s">
        <v>155</v>
      </c>
      <c r="F125" s="53" t="s">
        <v>24</v>
      </c>
      <c r="G125" s="153">
        <v>5500</v>
      </c>
      <c r="H125" s="54" t="s">
        <v>25</v>
      </c>
      <c r="I125" s="54" t="s">
        <v>300</v>
      </c>
      <c r="J125" s="53">
        <v>1540</v>
      </c>
      <c r="K125" s="53">
        <v>2617276</v>
      </c>
      <c r="L125" s="41">
        <v>1540</v>
      </c>
      <c r="M125" s="44">
        <v>2617276</v>
      </c>
      <c r="N125" s="20">
        <v>0</v>
      </c>
      <c r="O125" s="42">
        <v>0</v>
      </c>
      <c r="P125" s="42">
        <v>0</v>
      </c>
      <c r="Q125" s="20">
        <v>0</v>
      </c>
      <c r="R125" s="19">
        <f t="shared" si="16"/>
        <v>2617276</v>
      </c>
      <c r="S125" s="19">
        <v>3000</v>
      </c>
      <c r="T125" s="19">
        <f t="shared" si="14"/>
        <v>2620276</v>
      </c>
      <c r="U125" s="105"/>
      <c r="X125" s="10">
        <f t="shared" si="10"/>
        <v>2617276</v>
      </c>
      <c r="Y125" s="2">
        <f t="shared" si="11"/>
        <v>0</v>
      </c>
      <c r="Z125" s="10">
        <f t="shared" si="15"/>
        <v>0</v>
      </c>
    </row>
    <row r="126" spans="1:26" ht="18" customHeight="1" x14ac:dyDescent="0.25">
      <c r="A126" s="11">
        <v>100</v>
      </c>
      <c r="B126" s="52">
        <v>514010665906</v>
      </c>
      <c r="C126" s="53" t="s">
        <v>301</v>
      </c>
      <c r="D126" s="14" t="s">
        <v>28</v>
      </c>
      <c r="E126" s="53" t="s">
        <v>302</v>
      </c>
      <c r="F126" s="53" t="s">
        <v>24</v>
      </c>
      <c r="G126" s="153">
        <v>4400</v>
      </c>
      <c r="H126" s="54" t="s">
        <v>25</v>
      </c>
      <c r="I126" s="54" t="s">
        <v>303</v>
      </c>
      <c r="J126" s="53">
        <v>2157</v>
      </c>
      <c r="K126" s="53">
        <v>3665886</v>
      </c>
      <c r="L126" s="41">
        <v>2157</v>
      </c>
      <c r="M126" s="44">
        <v>3665886</v>
      </c>
      <c r="N126" s="20">
        <v>0</v>
      </c>
      <c r="O126" s="42">
        <v>0</v>
      </c>
      <c r="P126" s="42">
        <v>0</v>
      </c>
      <c r="Q126" s="20">
        <v>0</v>
      </c>
      <c r="R126" s="19">
        <f t="shared" si="16"/>
        <v>3665886</v>
      </c>
      <c r="S126" s="19">
        <v>3000</v>
      </c>
      <c r="T126" s="19">
        <f t="shared" si="14"/>
        <v>3668886</v>
      </c>
      <c r="U126" s="105"/>
      <c r="X126" s="10">
        <f t="shared" si="10"/>
        <v>3665886</v>
      </c>
      <c r="Y126" s="2">
        <f t="shared" si="11"/>
        <v>0</v>
      </c>
      <c r="Z126" s="10">
        <f t="shared" si="15"/>
        <v>0</v>
      </c>
    </row>
    <row r="127" spans="1:26" ht="18" customHeight="1" x14ac:dyDescent="0.25">
      <c r="A127" s="11">
        <v>101</v>
      </c>
      <c r="B127" s="52">
        <v>514010665914</v>
      </c>
      <c r="C127" s="53" t="s">
        <v>304</v>
      </c>
      <c r="D127" s="14" t="s">
        <v>22</v>
      </c>
      <c r="E127" s="53" t="s">
        <v>91</v>
      </c>
      <c r="F127" s="53" t="s">
        <v>24</v>
      </c>
      <c r="G127" s="153">
        <v>4400</v>
      </c>
      <c r="H127" s="54" t="s">
        <v>25</v>
      </c>
      <c r="I127" s="54" t="s">
        <v>305</v>
      </c>
      <c r="J127" s="53">
        <v>1128</v>
      </c>
      <c r="K127" s="53">
        <v>1917070</v>
      </c>
      <c r="L127" s="41">
        <v>1128</v>
      </c>
      <c r="M127" s="44">
        <v>1917070</v>
      </c>
      <c r="N127" s="20">
        <v>0</v>
      </c>
      <c r="O127" s="42">
        <v>0</v>
      </c>
      <c r="P127" s="42">
        <v>0</v>
      </c>
      <c r="Q127" s="20">
        <v>0</v>
      </c>
      <c r="R127" s="19">
        <f t="shared" si="16"/>
        <v>1917070</v>
      </c>
      <c r="S127" s="19">
        <v>3000</v>
      </c>
      <c r="T127" s="19">
        <f t="shared" si="14"/>
        <v>1920070</v>
      </c>
      <c r="U127" s="105"/>
      <c r="X127" s="10">
        <f t="shared" si="10"/>
        <v>1917070</v>
      </c>
      <c r="Y127" s="2">
        <f t="shared" si="11"/>
        <v>0</v>
      </c>
      <c r="Z127" s="10">
        <f t="shared" si="15"/>
        <v>0</v>
      </c>
    </row>
    <row r="128" spans="1:26" ht="18" customHeight="1" x14ac:dyDescent="0.25">
      <c r="A128" s="11">
        <v>102</v>
      </c>
      <c r="B128" s="52">
        <v>514010665930</v>
      </c>
      <c r="C128" s="53" t="s">
        <v>306</v>
      </c>
      <c r="D128" s="14" t="s">
        <v>28</v>
      </c>
      <c r="E128" s="53" t="s">
        <v>307</v>
      </c>
      <c r="F128" s="53" t="s">
        <v>24</v>
      </c>
      <c r="G128" s="153">
        <v>3500</v>
      </c>
      <c r="H128" s="54" t="s">
        <v>25</v>
      </c>
      <c r="I128" s="54" t="s">
        <v>308</v>
      </c>
      <c r="J128" s="53">
        <v>705</v>
      </c>
      <c r="K128" s="53">
        <v>1198169</v>
      </c>
      <c r="L128" s="41">
        <v>705</v>
      </c>
      <c r="M128" s="44">
        <v>1198169</v>
      </c>
      <c r="N128" s="20">
        <v>0</v>
      </c>
      <c r="O128" s="42">
        <v>0</v>
      </c>
      <c r="P128" s="42">
        <v>0</v>
      </c>
      <c r="Q128" s="20">
        <v>0</v>
      </c>
      <c r="R128" s="19">
        <f t="shared" si="16"/>
        <v>1198169</v>
      </c>
      <c r="S128" s="19">
        <v>3000</v>
      </c>
      <c r="T128" s="19">
        <f t="shared" si="14"/>
        <v>1201169</v>
      </c>
      <c r="U128" s="105"/>
      <c r="X128" s="10">
        <f t="shared" si="10"/>
        <v>1198169</v>
      </c>
      <c r="Y128" s="2">
        <f t="shared" si="11"/>
        <v>0</v>
      </c>
      <c r="Z128" s="10">
        <f t="shared" si="15"/>
        <v>0</v>
      </c>
    </row>
    <row r="129" spans="1:26" ht="18" customHeight="1" x14ac:dyDescent="0.25">
      <c r="A129" s="11">
        <v>103</v>
      </c>
      <c r="B129" s="52">
        <v>514010665948</v>
      </c>
      <c r="C129" s="53" t="s">
        <v>309</v>
      </c>
      <c r="D129" s="14" t="s">
        <v>28</v>
      </c>
      <c r="E129" s="53" t="s">
        <v>310</v>
      </c>
      <c r="F129" s="53" t="s">
        <v>24</v>
      </c>
      <c r="G129" s="153">
        <v>4400</v>
      </c>
      <c r="H129" s="54" t="s">
        <v>25</v>
      </c>
      <c r="I129" s="54" t="s">
        <v>311</v>
      </c>
      <c r="J129" s="53">
        <v>2432</v>
      </c>
      <c r="K129" s="53">
        <v>4133257</v>
      </c>
      <c r="L129" s="41">
        <v>2432</v>
      </c>
      <c r="M129" s="44">
        <v>4133257</v>
      </c>
      <c r="N129" s="20">
        <v>0</v>
      </c>
      <c r="O129" s="42">
        <v>0</v>
      </c>
      <c r="P129" s="42">
        <v>0</v>
      </c>
      <c r="Q129" s="20">
        <v>0</v>
      </c>
      <c r="R129" s="19">
        <f t="shared" si="16"/>
        <v>4133257</v>
      </c>
      <c r="S129" s="19">
        <v>3000</v>
      </c>
      <c r="T129" s="19">
        <f t="shared" si="14"/>
        <v>4136257</v>
      </c>
      <c r="U129" s="105"/>
      <c r="X129" s="10">
        <f t="shared" si="10"/>
        <v>4133257</v>
      </c>
      <c r="Y129" s="2">
        <f t="shared" si="11"/>
        <v>0</v>
      </c>
      <c r="Z129" s="10">
        <f t="shared" si="15"/>
        <v>0</v>
      </c>
    </row>
    <row r="130" spans="1:26" ht="18" customHeight="1" x14ac:dyDescent="0.25">
      <c r="A130" s="11">
        <v>104</v>
      </c>
      <c r="B130" s="52">
        <v>514010665955</v>
      </c>
      <c r="C130" s="53" t="s">
        <v>312</v>
      </c>
      <c r="D130" s="14" t="s">
        <v>28</v>
      </c>
      <c r="E130" s="53" t="s">
        <v>164</v>
      </c>
      <c r="F130" s="53" t="s">
        <v>24</v>
      </c>
      <c r="G130" s="153">
        <v>3040</v>
      </c>
      <c r="H130" s="54" t="s">
        <v>25</v>
      </c>
      <c r="I130" s="54" t="s">
        <v>313</v>
      </c>
      <c r="J130" s="53">
        <v>1140</v>
      </c>
      <c r="K130" s="53">
        <v>1937464</v>
      </c>
      <c r="L130" s="41">
        <v>1140</v>
      </c>
      <c r="M130" s="44">
        <v>1937464</v>
      </c>
      <c r="N130" s="20">
        <v>0</v>
      </c>
      <c r="O130" s="42">
        <v>0</v>
      </c>
      <c r="P130" s="42">
        <v>0</v>
      </c>
      <c r="Q130" s="20">
        <v>0</v>
      </c>
      <c r="R130" s="19">
        <f t="shared" si="16"/>
        <v>1937464</v>
      </c>
      <c r="S130" s="19">
        <v>3000</v>
      </c>
      <c r="T130" s="19">
        <f t="shared" si="14"/>
        <v>1940464</v>
      </c>
      <c r="U130" s="105"/>
      <c r="X130" s="10">
        <f t="shared" si="10"/>
        <v>1937464</v>
      </c>
      <c r="Y130" s="2">
        <f t="shared" si="11"/>
        <v>0</v>
      </c>
      <c r="Z130" s="10">
        <f t="shared" si="15"/>
        <v>0</v>
      </c>
    </row>
    <row r="131" spans="1:26" ht="18" customHeight="1" x14ac:dyDescent="0.25">
      <c r="A131" s="11">
        <v>105</v>
      </c>
      <c r="B131" s="52">
        <v>514010665963</v>
      </c>
      <c r="C131" s="53" t="s">
        <v>314</v>
      </c>
      <c r="D131" s="14" t="s">
        <v>28</v>
      </c>
      <c r="E131" s="53" t="s">
        <v>315</v>
      </c>
      <c r="F131" s="53" t="s">
        <v>24</v>
      </c>
      <c r="G131" s="153">
        <v>3600</v>
      </c>
      <c r="H131" s="54" t="s">
        <v>25</v>
      </c>
      <c r="I131" s="54" t="s">
        <v>316</v>
      </c>
      <c r="J131" s="53">
        <v>1350</v>
      </c>
      <c r="K131" s="53">
        <v>2294366</v>
      </c>
      <c r="L131" s="41">
        <v>1350</v>
      </c>
      <c r="M131" s="44">
        <v>2294366</v>
      </c>
      <c r="N131" s="20">
        <v>0</v>
      </c>
      <c r="O131" s="42">
        <v>0</v>
      </c>
      <c r="P131" s="42">
        <v>0</v>
      </c>
      <c r="Q131" s="20">
        <v>0</v>
      </c>
      <c r="R131" s="19">
        <f t="shared" si="16"/>
        <v>2294366</v>
      </c>
      <c r="S131" s="19">
        <v>3000</v>
      </c>
      <c r="T131" s="19">
        <f t="shared" si="14"/>
        <v>2297366</v>
      </c>
      <c r="U131" s="105"/>
      <c r="X131" s="10">
        <f t="shared" si="10"/>
        <v>2294366</v>
      </c>
      <c r="Y131" s="2">
        <f t="shared" si="11"/>
        <v>0</v>
      </c>
      <c r="Z131" s="10">
        <f t="shared" si="15"/>
        <v>0</v>
      </c>
    </row>
    <row r="132" spans="1:26" ht="18" customHeight="1" x14ac:dyDescent="0.25">
      <c r="A132" s="11">
        <v>106</v>
      </c>
      <c r="B132" s="52">
        <v>514010665971</v>
      </c>
      <c r="C132" s="53" t="s">
        <v>317</v>
      </c>
      <c r="D132" s="14" t="s">
        <v>22</v>
      </c>
      <c r="E132" s="53" t="s">
        <v>318</v>
      </c>
      <c r="F132" s="53" t="s">
        <v>24</v>
      </c>
      <c r="G132" s="153">
        <v>3500</v>
      </c>
      <c r="H132" s="54" t="s">
        <v>25</v>
      </c>
      <c r="I132" s="54" t="s">
        <v>319</v>
      </c>
      <c r="J132" s="53">
        <v>883</v>
      </c>
      <c r="K132" s="53">
        <v>1500685</v>
      </c>
      <c r="L132" s="41">
        <v>883</v>
      </c>
      <c r="M132" s="44">
        <v>1500685</v>
      </c>
      <c r="N132" s="20">
        <v>0</v>
      </c>
      <c r="O132" s="42">
        <v>0</v>
      </c>
      <c r="P132" s="42">
        <v>0</v>
      </c>
      <c r="Q132" s="20">
        <v>0</v>
      </c>
      <c r="R132" s="19">
        <f t="shared" si="16"/>
        <v>1500685</v>
      </c>
      <c r="S132" s="19">
        <v>3000</v>
      </c>
      <c r="T132" s="19">
        <f t="shared" si="14"/>
        <v>1503685</v>
      </c>
      <c r="U132" s="105"/>
      <c r="X132" s="10">
        <f t="shared" si="10"/>
        <v>1500685</v>
      </c>
      <c r="Y132" s="2">
        <f t="shared" si="11"/>
        <v>0</v>
      </c>
      <c r="Z132" s="10">
        <f t="shared" si="15"/>
        <v>0</v>
      </c>
    </row>
    <row r="133" spans="1:26" ht="18" customHeight="1" x14ac:dyDescent="0.25">
      <c r="A133" s="11">
        <v>107</v>
      </c>
      <c r="B133" s="52">
        <v>514010665989</v>
      </c>
      <c r="C133" s="53" t="s">
        <v>320</v>
      </c>
      <c r="D133" s="14" t="s">
        <v>28</v>
      </c>
      <c r="E133" s="53" t="s">
        <v>321</v>
      </c>
      <c r="F133" s="53" t="s">
        <v>24</v>
      </c>
      <c r="G133" s="153">
        <v>3500</v>
      </c>
      <c r="H133" s="54" t="s">
        <v>25</v>
      </c>
      <c r="I133" s="54" t="s">
        <v>322</v>
      </c>
      <c r="J133" s="53">
        <v>408</v>
      </c>
      <c r="K133" s="53">
        <v>693408</v>
      </c>
      <c r="L133" s="41">
        <v>408</v>
      </c>
      <c r="M133" s="44">
        <v>693408</v>
      </c>
      <c r="N133" s="20">
        <v>0</v>
      </c>
      <c r="O133" s="42">
        <v>0</v>
      </c>
      <c r="P133" s="42">
        <v>0</v>
      </c>
      <c r="Q133" s="20">
        <v>0</v>
      </c>
      <c r="R133" s="19">
        <f t="shared" si="16"/>
        <v>693408</v>
      </c>
      <c r="S133" s="19">
        <v>3000</v>
      </c>
      <c r="T133" s="19">
        <f t="shared" si="14"/>
        <v>696408</v>
      </c>
      <c r="U133" s="105"/>
      <c r="X133" s="10">
        <f t="shared" si="10"/>
        <v>693408</v>
      </c>
      <c r="Y133" s="2">
        <f t="shared" si="11"/>
        <v>0</v>
      </c>
      <c r="Z133" s="10">
        <f t="shared" si="15"/>
        <v>0</v>
      </c>
    </row>
    <row r="134" spans="1:26" ht="18" customHeight="1" x14ac:dyDescent="0.25">
      <c r="A134" s="11">
        <v>108</v>
      </c>
      <c r="B134" s="52">
        <v>514010665997</v>
      </c>
      <c r="C134" s="53" t="s">
        <v>323</v>
      </c>
      <c r="D134" s="14" t="s">
        <v>22</v>
      </c>
      <c r="E134" s="53" t="s">
        <v>85</v>
      </c>
      <c r="F134" s="53" t="s">
        <v>24</v>
      </c>
      <c r="G134" s="153">
        <v>4400</v>
      </c>
      <c r="H134" s="54" t="s">
        <v>25</v>
      </c>
      <c r="I134" s="54" t="s">
        <v>324</v>
      </c>
      <c r="J134" s="53">
        <v>176</v>
      </c>
      <c r="K134" s="53">
        <v>299117</v>
      </c>
      <c r="L134" s="41">
        <v>176</v>
      </c>
      <c r="M134" s="44">
        <v>299117</v>
      </c>
      <c r="N134" s="20">
        <v>0</v>
      </c>
      <c r="O134" s="42">
        <v>0</v>
      </c>
      <c r="P134" s="42">
        <v>0</v>
      </c>
      <c r="Q134" s="20">
        <v>0</v>
      </c>
      <c r="R134" s="19">
        <f t="shared" si="16"/>
        <v>299117</v>
      </c>
      <c r="S134" s="19">
        <v>3000</v>
      </c>
      <c r="T134" s="19">
        <f t="shared" si="14"/>
        <v>302117</v>
      </c>
      <c r="U134" s="105"/>
      <c r="X134" s="10">
        <f t="shared" si="10"/>
        <v>299117</v>
      </c>
      <c r="Y134" s="2">
        <f t="shared" si="11"/>
        <v>0</v>
      </c>
      <c r="Z134" s="10">
        <f t="shared" si="15"/>
        <v>0</v>
      </c>
    </row>
    <row r="135" spans="1:26" ht="18" customHeight="1" x14ac:dyDescent="0.25">
      <c r="A135" s="11">
        <v>109</v>
      </c>
      <c r="B135" s="52">
        <v>514010666007</v>
      </c>
      <c r="C135" s="53" t="s">
        <v>325</v>
      </c>
      <c r="D135" s="14" t="s">
        <v>28</v>
      </c>
      <c r="E135" s="53" t="s">
        <v>326</v>
      </c>
      <c r="F135" s="53" t="s">
        <v>24</v>
      </c>
      <c r="G135" s="153">
        <v>5500</v>
      </c>
      <c r="H135" s="54" t="s">
        <v>25</v>
      </c>
      <c r="I135" s="54" t="s">
        <v>327</v>
      </c>
      <c r="J135" s="53">
        <v>1147</v>
      </c>
      <c r="K135" s="53">
        <v>1949361</v>
      </c>
      <c r="L135" s="41">
        <v>1147</v>
      </c>
      <c r="M135" s="44">
        <v>1949361</v>
      </c>
      <c r="N135" s="20">
        <v>0</v>
      </c>
      <c r="O135" s="42">
        <v>0</v>
      </c>
      <c r="P135" s="42">
        <v>0</v>
      </c>
      <c r="Q135" s="20">
        <v>0</v>
      </c>
      <c r="R135" s="19">
        <f t="shared" si="16"/>
        <v>1949361</v>
      </c>
      <c r="S135" s="19">
        <v>3000</v>
      </c>
      <c r="T135" s="19">
        <f t="shared" si="14"/>
        <v>1952361</v>
      </c>
      <c r="U135" s="105"/>
      <c r="X135" s="10">
        <f t="shared" si="10"/>
        <v>1949361</v>
      </c>
      <c r="Y135" s="2">
        <f t="shared" si="11"/>
        <v>0</v>
      </c>
      <c r="Z135" s="10">
        <f t="shared" si="15"/>
        <v>0</v>
      </c>
    </row>
    <row r="136" spans="1:26" ht="18" customHeight="1" x14ac:dyDescent="0.25">
      <c r="A136" s="11">
        <v>110</v>
      </c>
      <c r="B136" s="52">
        <v>514010666015</v>
      </c>
      <c r="C136" s="53" t="s">
        <v>328</v>
      </c>
      <c r="D136" s="14" t="s">
        <v>22</v>
      </c>
      <c r="E136" s="53" t="s">
        <v>329</v>
      </c>
      <c r="F136" s="53" t="s">
        <v>24</v>
      </c>
      <c r="G136" s="153">
        <v>5500</v>
      </c>
      <c r="H136" s="54" t="s">
        <v>25</v>
      </c>
      <c r="I136" s="54" t="s">
        <v>330</v>
      </c>
      <c r="J136" s="53">
        <v>1088</v>
      </c>
      <c r="K136" s="53">
        <v>1849089</v>
      </c>
      <c r="L136" s="41">
        <v>1088</v>
      </c>
      <c r="M136" s="44">
        <v>1849089</v>
      </c>
      <c r="N136" s="20">
        <v>0</v>
      </c>
      <c r="O136" s="42">
        <v>0</v>
      </c>
      <c r="P136" s="42">
        <v>0</v>
      </c>
      <c r="Q136" s="20">
        <v>0</v>
      </c>
      <c r="R136" s="19">
        <f t="shared" si="16"/>
        <v>1849089</v>
      </c>
      <c r="S136" s="19">
        <v>3000</v>
      </c>
      <c r="T136" s="19">
        <f t="shared" si="14"/>
        <v>1852089</v>
      </c>
      <c r="U136" s="105"/>
      <c r="X136" s="10">
        <f t="shared" si="10"/>
        <v>1849089</v>
      </c>
      <c r="Y136" s="2">
        <f t="shared" si="11"/>
        <v>0</v>
      </c>
      <c r="Z136" s="10">
        <f t="shared" si="15"/>
        <v>0</v>
      </c>
    </row>
    <row r="137" spans="1:26" ht="18" customHeight="1" x14ac:dyDescent="0.25">
      <c r="A137" s="11">
        <v>111</v>
      </c>
      <c r="B137" s="52">
        <v>514010666023</v>
      </c>
      <c r="C137" s="53" t="s">
        <v>331</v>
      </c>
      <c r="D137" s="14" t="s">
        <v>22</v>
      </c>
      <c r="E137" s="53" t="s">
        <v>332</v>
      </c>
      <c r="F137" s="53" t="s">
        <v>24</v>
      </c>
      <c r="G137" s="153">
        <v>3500</v>
      </c>
      <c r="H137" s="54" t="s">
        <v>25</v>
      </c>
      <c r="I137" s="54" t="s">
        <v>333</v>
      </c>
      <c r="J137" s="53">
        <v>808</v>
      </c>
      <c r="K137" s="53">
        <v>1373220</v>
      </c>
      <c r="L137" s="41">
        <v>808</v>
      </c>
      <c r="M137" s="44">
        <v>1373220</v>
      </c>
      <c r="N137" s="20">
        <v>0</v>
      </c>
      <c r="O137" s="42">
        <v>0</v>
      </c>
      <c r="P137" s="42">
        <v>0</v>
      </c>
      <c r="Q137" s="20">
        <v>0</v>
      </c>
      <c r="R137" s="19">
        <f t="shared" si="16"/>
        <v>1373220</v>
      </c>
      <c r="S137" s="19">
        <v>3000</v>
      </c>
      <c r="T137" s="19">
        <f t="shared" si="14"/>
        <v>1376220</v>
      </c>
      <c r="U137" s="105"/>
      <c r="X137" s="10">
        <f t="shared" si="10"/>
        <v>1373220</v>
      </c>
      <c r="Y137" s="2">
        <f t="shared" si="11"/>
        <v>0</v>
      </c>
      <c r="Z137" s="10">
        <f t="shared" si="15"/>
        <v>0</v>
      </c>
    </row>
    <row r="138" spans="1:26" ht="18" customHeight="1" x14ac:dyDescent="0.25">
      <c r="A138" s="11">
        <v>112</v>
      </c>
      <c r="B138" s="52">
        <v>514010666031</v>
      </c>
      <c r="C138" s="53" t="s">
        <v>334</v>
      </c>
      <c r="D138" s="14" t="s">
        <v>22</v>
      </c>
      <c r="E138" s="53" t="s">
        <v>335</v>
      </c>
      <c r="F138" s="53" t="s">
        <v>24</v>
      </c>
      <c r="G138" s="153">
        <v>3650</v>
      </c>
      <c r="H138" s="54" t="s">
        <v>25</v>
      </c>
      <c r="I138" s="54" t="s">
        <v>336</v>
      </c>
      <c r="J138" s="53">
        <v>1369</v>
      </c>
      <c r="K138" s="53">
        <v>2326657</v>
      </c>
      <c r="L138" s="41">
        <v>1369</v>
      </c>
      <c r="M138" s="44">
        <v>2326657</v>
      </c>
      <c r="N138" s="20">
        <v>0</v>
      </c>
      <c r="O138" s="42">
        <v>0</v>
      </c>
      <c r="P138" s="42">
        <v>0</v>
      </c>
      <c r="Q138" s="20">
        <v>0</v>
      </c>
      <c r="R138" s="19">
        <f t="shared" si="16"/>
        <v>2326657</v>
      </c>
      <c r="S138" s="19">
        <v>3000</v>
      </c>
      <c r="T138" s="19">
        <f t="shared" si="14"/>
        <v>2329657</v>
      </c>
      <c r="U138" s="105"/>
      <c r="X138" s="10">
        <f t="shared" si="10"/>
        <v>2326657</v>
      </c>
      <c r="Y138" s="2">
        <f t="shared" si="11"/>
        <v>0</v>
      </c>
      <c r="Z138" s="10">
        <f t="shared" si="15"/>
        <v>0</v>
      </c>
    </row>
    <row r="139" spans="1:26" ht="18" customHeight="1" x14ac:dyDescent="0.25">
      <c r="A139" s="11">
        <v>113</v>
      </c>
      <c r="B139" s="52">
        <v>514010666080</v>
      </c>
      <c r="C139" s="53" t="s">
        <v>337</v>
      </c>
      <c r="D139" s="14" t="s">
        <v>22</v>
      </c>
      <c r="E139" s="53" t="s">
        <v>338</v>
      </c>
      <c r="F139" s="53" t="s">
        <v>24</v>
      </c>
      <c r="G139" s="153">
        <v>3500</v>
      </c>
      <c r="H139" s="54" t="s">
        <v>25</v>
      </c>
      <c r="I139" s="54" t="s">
        <v>339</v>
      </c>
      <c r="J139" s="53">
        <v>140</v>
      </c>
      <c r="K139" s="53">
        <v>237934</v>
      </c>
      <c r="L139" s="41">
        <v>140</v>
      </c>
      <c r="M139" s="44">
        <v>237934</v>
      </c>
      <c r="N139" s="20">
        <v>0</v>
      </c>
      <c r="O139" s="42">
        <v>0</v>
      </c>
      <c r="P139" s="42">
        <v>0</v>
      </c>
      <c r="Q139" s="20">
        <v>0</v>
      </c>
      <c r="R139" s="19">
        <f t="shared" si="16"/>
        <v>237934</v>
      </c>
      <c r="S139" s="19">
        <v>3000</v>
      </c>
      <c r="T139" s="19">
        <f t="shared" si="14"/>
        <v>240934</v>
      </c>
      <c r="U139" s="105"/>
      <c r="X139" s="10">
        <f t="shared" si="10"/>
        <v>237934</v>
      </c>
      <c r="Y139" s="2">
        <f t="shared" si="11"/>
        <v>0</v>
      </c>
      <c r="Z139" s="10">
        <f t="shared" si="15"/>
        <v>0</v>
      </c>
    </row>
    <row r="140" spans="1:26" ht="18" customHeight="1" x14ac:dyDescent="0.25">
      <c r="A140" s="11">
        <v>114</v>
      </c>
      <c r="B140" s="52">
        <v>514010666098</v>
      </c>
      <c r="C140" s="53" t="s">
        <v>340</v>
      </c>
      <c r="D140" s="14" t="s">
        <v>22</v>
      </c>
      <c r="E140" s="53" t="s">
        <v>341</v>
      </c>
      <c r="F140" s="53" t="s">
        <v>24</v>
      </c>
      <c r="G140" s="153">
        <v>3500</v>
      </c>
      <c r="H140" s="54" t="s">
        <v>25</v>
      </c>
      <c r="I140" s="54" t="s">
        <v>342</v>
      </c>
      <c r="J140" s="53">
        <v>1064</v>
      </c>
      <c r="K140" s="53">
        <v>1808300</v>
      </c>
      <c r="L140" s="41">
        <v>1064</v>
      </c>
      <c r="M140" s="44">
        <v>1808300</v>
      </c>
      <c r="N140" s="20">
        <v>0</v>
      </c>
      <c r="O140" s="42">
        <v>0</v>
      </c>
      <c r="P140" s="42">
        <v>0</v>
      </c>
      <c r="Q140" s="20">
        <v>0</v>
      </c>
      <c r="R140" s="19">
        <f t="shared" si="16"/>
        <v>1808300</v>
      </c>
      <c r="S140" s="19">
        <v>3000</v>
      </c>
      <c r="T140" s="19">
        <f t="shared" si="14"/>
        <v>1811300</v>
      </c>
      <c r="U140" s="105"/>
      <c r="X140" s="10">
        <f t="shared" si="10"/>
        <v>1808300</v>
      </c>
      <c r="Y140" s="2">
        <f t="shared" si="11"/>
        <v>0</v>
      </c>
      <c r="Z140" s="10">
        <f t="shared" si="15"/>
        <v>0</v>
      </c>
    </row>
    <row r="141" spans="1:26" ht="18" customHeight="1" x14ac:dyDescent="0.25">
      <c r="A141" s="11">
        <v>115</v>
      </c>
      <c r="B141" s="52">
        <v>514010666102</v>
      </c>
      <c r="C141" s="53" t="s">
        <v>343</v>
      </c>
      <c r="D141" s="14" t="s">
        <v>28</v>
      </c>
      <c r="E141" s="53" t="s">
        <v>344</v>
      </c>
      <c r="F141" s="53" t="s">
        <v>24</v>
      </c>
      <c r="G141" s="153">
        <v>1200</v>
      </c>
      <c r="H141" s="54" t="s">
        <v>25</v>
      </c>
      <c r="I141" s="54" t="s">
        <v>345</v>
      </c>
      <c r="J141" s="53">
        <v>450</v>
      </c>
      <c r="K141" s="53">
        <v>764789</v>
      </c>
      <c r="L141" s="41">
        <v>450</v>
      </c>
      <c r="M141" s="44">
        <v>764789</v>
      </c>
      <c r="N141" s="20">
        <v>0</v>
      </c>
      <c r="O141" s="42">
        <v>0</v>
      </c>
      <c r="P141" s="42">
        <v>0</v>
      </c>
      <c r="Q141" s="20">
        <v>0</v>
      </c>
      <c r="R141" s="19">
        <f t="shared" si="16"/>
        <v>764789</v>
      </c>
      <c r="S141" s="19">
        <v>3000</v>
      </c>
      <c r="T141" s="19">
        <f t="shared" si="14"/>
        <v>767789</v>
      </c>
      <c r="U141" s="105"/>
      <c r="X141" s="10">
        <f t="shared" si="10"/>
        <v>764789</v>
      </c>
      <c r="Y141" s="2">
        <f t="shared" si="11"/>
        <v>0</v>
      </c>
      <c r="Z141" s="10">
        <f t="shared" si="15"/>
        <v>0</v>
      </c>
    </row>
    <row r="142" spans="1:26" ht="18" customHeight="1" x14ac:dyDescent="0.25">
      <c r="A142" s="11">
        <v>116</v>
      </c>
      <c r="B142" s="52">
        <v>514010666110</v>
      </c>
      <c r="C142" s="53" t="s">
        <v>346</v>
      </c>
      <c r="D142" s="14" t="s">
        <v>28</v>
      </c>
      <c r="E142" s="53" t="s">
        <v>347</v>
      </c>
      <c r="F142" s="53" t="s">
        <v>24</v>
      </c>
      <c r="G142" s="153">
        <v>5500</v>
      </c>
      <c r="H142" s="54" t="s">
        <v>25</v>
      </c>
      <c r="I142" s="54" t="s">
        <v>348</v>
      </c>
      <c r="J142" s="53">
        <v>2371</v>
      </c>
      <c r="K142" s="53">
        <v>4029586</v>
      </c>
      <c r="L142" s="41">
        <v>2371</v>
      </c>
      <c r="M142" s="44">
        <v>4029586</v>
      </c>
      <c r="N142" s="20">
        <v>0</v>
      </c>
      <c r="O142" s="42">
        <v>0</v>
      </c>
      <c r="P142" s="42">
        <v>0</v>
      </c>
      <c r="Q142" s="20">
        <v>0</v>
      </c>
      <c r="R142" s="19">
        <f t="shared" si="16"/>
        <v>4029586</v>
      </c>
      <c r="S142" s="19">
        <v>3000</v>
      </c>
      <c r="T142" s="19">
        <f t="shared" si="14"/>
        <v>4032586</v>
      </c>
      <c r="U142" s="105"/>
      <c r="X142" s="10">
        <f t="shared" si="10"/>
        <v>4029586</v>
      </c>
      <c r="Y142" s="2">
        <f t="shared" si="11"/>
        <v>0</v>
      </c>
      <c r="Z142" s="10">
        <f t="shared" si="15"/>
        <v>0</v>
      </c>
    </row>
    <row r="143" spans="1:26" ht="18" customHeight="1" x14ac:dyDescent="0.25">
      <c r="A143" s="11">
        <v>117</v>
      </c>
      <c r="B143" s="52">
        <v>514010666144</v>
      </c>
      <c r="C143" s="53" t="s">
        <v>349</v>
      </c>
      <c r="D143" s="14" t="s">
        <v>28</v>
      </c>
      <c r="E143" s="53" t="s">
        <v>350</v>
      </c>
      <c r="F143" s="53" t="s">
        <v>24</v>
      </c>
      <c r="G143" s="153">
        <v>5500</v>
      </c>
      <c r="H143" s="54" t="s">
        <v>25</v>
      </c>
      <c r="I143" s="54" t="s">
        <v>351</v>
      </c>
      <c r="J143" s="53">
        <v>1780</v>
      </c>
      <c r="K143" s="53">
        <v>3025163</v>
      </c>
      <c r="L143" s="41">
        <v>1780</v>
      </c>
      <c r="M143" s="44">
        <v>3025163</v>
      </c>
      <c r="N143" s="20">
        <v>0</v>
      </c>
      <c r="O143" s="42">
        <v>0</v>
      </c>
      <c r="P143" s="42">
        <v>0</v>
      </c>
      <c r="Q143" s="20">
        <v>0</v>
      </c>
      <c r="R143" s="19">
        <f t="shared" si="16"/>
        <v>3025163</v>
      </c>
      <c r="S143" s="19">
        <v>3000</v>
      </c>
      <c r="T143" s="19">
        <f t="shared" si="14"/>
        <v>3028163</v>
      </c>
      <c r="U143" s="105"/>
      <c r="X143" s="10">
        <f t="shared" ref="X143:X210" si="17">M143+N143+O143+P143</f>
        <v>3025163</v>
      </c>
      <c r="Y143" s="2">
        <f t="shared" ref="Y143:Y210" si="18">IF(X143&gt;5000000,10000,IF(V143&lt;5000000,0,IF(V143=5000000,10000)))</f>
        <v>0</v>
      </c>
      <c r="Z143" s="10">
        <f t="shared" si="15"/>
        <v>0</v>
      </c>
    </row>
    <row r="144" spans="1:26" ht="18" customHeight="1" x14ac:dyDescent="0.25">
      <c r="A144" s="11">
        <v>118</v>
      </c>
      <c r="B144" s="52">
        <v>514010666169</v>
      </c>
      <c r="C144" s="53" t="s">
        <v>352</v>
      </c>
      <c r="D144" s="14" t="s">
        <v>28</v>
      </c>
      <c r="E144" s="53" t="s">
        <v>353</v>
      </c>
      <c r="F144" s="53" t="s">
        <v>24</v>
      </c>
      <c r="G144" s="153">
        <v>4400</v>
      </c>
      <c r="H144" s="54" t="s">
        <v>25</v>
      </c>
      <c r="I144" s="54" t="s">
        <v>354</v>
      </c>
      <c r="J144" s="53">
        <v>1866</v>
      </c>
      <c r="K144" s="53">
        <v>3171323</v>
      </c>
      <c r="L144" s="41">
        <v>1866</v>
      </c>
      <c r="M144" s="44">
        <v>3171323</v>
      </c>
      <c r="N144" s="20">
        <v>0</v>
      </c>
      <c r="O144" s="42">
        <v>0</v>
      </c>
      <c r="P144" s="42">
        <v>0</v>
      </c>
      <c r="Q144" s="20">
        <v>0</v>
      </c>
      <c r="R144" s="19">
        <f t="shared" si="16"/>
        <v>3171323</v>
      </c>
      <c r="S144" s="19">
        <v>3000</v>
      </c>
      <c r="T144" s="19">
        <f t="shared" si="14"/>
        <v>3174323</v>
      </c>
      <c r="U144" s="105"/>
      <c r="X144" s="10">
        <f t="shared" si="17"/>
        <v>3171323</v>
      </c>
      <c r="Y144" s="2">
        <f t="shared" si="18"/>
        <v>0</v>
      </c>
      <c r="Z144" s="10">
        <f t="shared" si="15"/>
        <v>0</v>
      </c>
    </row>
    <row r="145" spans="1:26" ht="18" customHeight="1" x14ac:dyDescent="0.25">
      <c r="A145" s="11">
        <v>119</v>
      </c>
      <c r="B145" s="52">
        <v>514010666185</v>
      </c>
      <c r="C145" s="53" t="s">
        <v>355</v>
      </c>
      <c r="D145" s="14" t="s">
        <v>28</v>
      </c>
      <c r="E145" s="53" t="s">
        <v>356</v>
      </c>
      <c r="F145" s="53" t="s">
        <v>24</v>
      </c>
      <c r="G145" s="153">
        <v>4400</v>
      </c>
      <c r="H145" s="54" t="s">
        <v>25</v>
      </c>
      <c r="I145" s="54" t="s">
        <v>357</v>
      </c>
      <c r="J145" s="53">
        <v>879</v>
      </c>
      <c r="K145" s="53">
        <v>1493887</v>
      </c>
      <c r="L145" s="41">
        <v>879</v>
      </c>
      <c r="M145" s="44">
        <v>1493887</v>
      </c>
      <c r="N145" s="20">
        <v>0</v>
      </c>
      <c r="O145" s="42">
        <v>0</v>
      </c>
      <c r="P145" s="42">
        <v>0</v>
      </c>
      <c r="Q145" s="20">
        <v>0</v>
      </c>
      <c r="R145" s="19">
        <f t="shared" si="16"/>
        <v>1493887</v>
      </c>
      <c r="S145" s="19">
        <v>3000</v>
      </c>
      <c r="T145" s="19">
        <f t="shared" si="14"/>
        <v>1496887</v>
      </c>
      <c r="U145" s="105"/>
      <c r="X145" s="10">
        <f t="shared" si="17"/>
        <v>1493887</v>
      </c>
      <c r="Y145" s="2">
        <f t="shared" si="18"/>
        <v>0</v>
      </c>
      <c r="Z145" s="10">
        <f t="shared" si="15"/>
        <v>0</v>
      </c>
    </row>
    <row r="146" spans="1:26" ht="18" customHeight="1" x14ac:dyDescent="0.25">
      <c r="A146" s="11">
        <v>120</v>
      </c>
      <c r="B146" s="52">
        <v>514010666214</v>
      </c>
      <c r="C146" s="53" t="s">
        <v>358</v>
      </c>
      <c r="D146" s="14" t="s">
        <v>22</v>
      </c>
      <c r="E146" s="53" t="s">
        <v>359</v>
      </c>
      <c r="F146" s="53" t="s">
        <v>24</v>
      </c>
      <c r="G146" s="153">
        <v>3500</v>
      </c>
      <c r="H146" s="54" t="s">
        <v>25</v>
      </c>
      <c r="I146" s="54" t="s">
        <v>360</v>
      </c>
      <c r="J146" s="53">
        <v>714</v>
      </c>
      <c r="K146" s="53">
        <v>1213464</v>
      </c>
      <c r="L146" s="41">
        <v>714</v>
      </c>
      <c r="M146" s="44">
        <v>1213464</v>
      </c>
      <c r="N146" s="20">
        <v>0</v>
      </c>
      <c r="O146" s="42">
        <v>0</v>
      </c>
      <c r="P146" s="42">
        <v>0</v>
      </c>
      <c r="Q146" s="20">
        <v>0</v>
      </c>
      <c r="R146" s="19">
        <f t="shared" si="16"/>
        <v>1213464</v>
      </c>
      <c r="S146" s="19">
        <v>3000</v>
      </c>
      <c r="T146" s="19">
        <f t="shared" si="14"/>
        <v>1216464</v>
      </c>
      <c r="U146" s="105"/>
      <c r="X146" s="10">
        <f t="shared" si="17"/>
        <v>1213464</v>
      </c>
      <c r="Y146" s="2">
        <f t="shared" si="18"/>
        <v>0</v>
      </c>
      <c r="Z146" s="10">
        <f t="shared" si="15"/>
        <v>0</v>
      </c>
    </row>
    <row r="147" spans="1:26" ht="18" customHeight="1" x14ac:dyDescent="0.25">
      <c r="A147" s="11"/>
      <c r="B147" s="52"/>
      <c r="C147" s="53"/>
      <c r="D147" s="14"/>
      <c r="E147" s="53"/>
      <c r="F147" s="53"/>
      <c r="G147" s="153"/>
      <c r="H147" s="54"/>
      <c r="I147" s="54"/>
      <c r="J147" s="53"/>
      <c r="K147" s="53"/>
      <c r="L147" s="41"/>
      <c r="M147" s="44"/>
      <c r="N147" s="20"/>
      <c r="O147" s="42"/>
      <c r="P147" s="42"/>
      <c r="Q147" s="20"/>
      <c r="R147" s="19"/>
      <c r="S147" s="19"/>
      <c r="T147" s="19"/>
      <c r="U147" s="105"/>
      <c r="X147" s="10"/>
      <c r="Z147" s="10"/>
    </row>
    <row r="148" spans="1:26" s="25" customFormat="1" ht="33" customHeight="1" x14ac:dyDescent="0.25">
      <c r="A148" s="190" t="s">
        <v>139</v>
      </c>
      <c r="B148" s="190"/>
      <c r="C148" s="190"/>
      <c r="D148" s="190"/>
      <c r="E148" s="190"/>
      <c r="F148" s="190"/>
      <c r="G148" s="36">
        <f t="shared" ref="G148:T148" si="19">SUM(G106:G146)</f>
        <v>615080</v>
      </c>
      <c r="H148" s="54"/>
      <c r="I148" s="36">
        <f t="shared" si="19"/>
        <v>0</v>
      </c>
      <c r="J148" s="36"/>
      <c r="K148" s="36"/>
      <c r="L148" s="36">
        <f t="shared" si="19"/>
        <v>167367</v>
      </c>
      <c r="M148" s="37">
        <f t="shared" si="19"/>
        <v>284445239</v>
      </c>
      <c r="N148" s="38">
        <f t="shared" si="19"/>
        <v>0</v>
      </c>
      <c r="O148" s="38">
        <f t="shared" si="19"/>
        <v>0</v>
      </c>
      <c r="P148" s="38">
        <f t="shared" si="19"/>
        <v>0</v>
      </c>
      <c r="Q148" s="38">
        <f t="shared" si="19"/>
        <v>30000</v>
      </c>
      <c r="R148" s="37">
        <f t="shared" si="19"/>
        <v>284475239</v>
      </c>
      <c r="S148" s="37">
        <f t="shared" si="19"/>
        <v>360000</v>
      </c>
      <c r="T148" s="37">
        <f t="shared" si="19"/>
        <v>284835239</v>
      </c>
      <c r="U148" s="147"/>
      <c r="X148" s="10">
        <f t="shared" si="17"/>
        <v>284445239</v>
      </c>
      <c r="Y148" s="2">
        <f t="shared" si="18"/>
        <v>10000</v>
      </c>
      <c r="Z148" s="10"/>
    </row>
    <row r="149" spans="1:26" ht="18" customHeight="1" x14ac:dyDescent="0.25">
      <c r="L149" s="31"/>
      <c r="X149" s="10">
        <f t="shared" si="17"/>
        <v>0</v>
      </c>
      <c r="Y149" s="2">
        <f t="shared" si="18"/>
        <v>0</v>
      </c>
      <c r="Z149" s="10"/>
    </row>
    <row r="150" spans="1:26" ht="18" customHeight="1" x14ac:dyDescent="0.25">
      <c r="L150" s="31"/>
      <c r="X150" s="10"/>
      <c r="Z150" s="10"/>
    </row>
    <row r="151" spans="1:26" s="84" customFormat="1" ht="39" customHeight="1" x14ac:dyDescent="0.25">
      <c r="A151" s="9" t="s">
        <v>4</v>
      </c>
      <c r="B151" s="21" t="s">
        <v>5</v>
      </c>
      <c r="C151" s="21" t="s">
        <v>6</v>
      </c>
      <c r="D151" s="12"/>
      <c r="E151" s="9" t="s">
        <v>7</v>
      </c>
      <c r="F151" s="21" t="s">
        <v>8</v>
      </c>
      <c r="G151" s="21" t="s">
        <v>9</v>
      </c>
      <c r="H151" s="21" t="s">
        <v>10</v>
      </c>
      <c r="I151" s="21" t="s">
        <v>11</v>
      </c>
      <c r="J151" s="21" t="s">
        <v>12</v>
      </c>
      <c r="K151" s="21" t="s">
        <v>13</v>
      </c>
      <c r="L151" s="21" t="s">
        <v>14</v>
      </c>
      <c r="M151" s="143" t="s">
        <v>15</v>
      </c>
      <c r="N151" s="144" t="s">
        <v>16</v>
      </c>
      <c r="O151" s="144" t="s">
        <v>17</v>
      </c>
      <c r="P151" s="144" t="s">
        <v>18</v>
      </c>
      <c r="Q151" s="144" t="s">
        <v>19</v>
      </c>
      <c r="R151" s="143" t="s">
        <v>20</v>
      </c>
      <c r="S151" s="143" t="s">
        <v>3471</v>
      </c>
      <c r="T151" s="143" t="s">
        <v>3472</v>
      </c>
      <c r="U151" s="145"/>
      <c r="V151" s="145"/>
      <c r="W151" s="145"/>
      <c r="X151" s="145"/>
    </row>
    <row r="152" spans="1:26" ht="18" customHeight="1" x14ac:dyDescent="0.25">
      <c r="A152" s="14"/>
      <c r="B152" s="15"/>
      <c r="C152" s="15"/>
      <c r="D152" s="15"/>
      <c r="E152" s="15"/>
      <c r="F152" s="15"/>
      <c r="G152" s="15"/>
      <c r="H152" s="15"/>
      <c r="I152" s="15" t="s">
        <v>0</v>
      </c>
      <c r="J152" s="15"/>
      <c r="K152" s="15"/>
      <c r="L152" s="18" t="s">
        <v>0</v>
      </c>
      <c r="M152" s="19"/>
      <c r="N152" s="20"/>
      <c r="O152" s="20"/>
      <c r="P152" s="20"/>
      <c r="Q152" s="20"/>
      <c r="R152" s="19"/>
      <c r="S152" s="19"/>
      <c r="T152" s="19"/>
      <c r="U152" s="105"/>
      <c r="X152" s="10">
        <f t="shared" si="17"/>
        <v>0</v>
      </c>
      <c r="Y152" s="2">
        <f t="shared" si="18"/>
        <v>0</v>
      </c>
      <c r="Z152" s="10"/>
    </row>
    <row r="153" spans="1:26" ht="18" customHeight="1" x14ac:dyDescent="0.25">
      <c r="A153" s="14"/>
      <c r="B153" s="15"/>
      <c r="C153" s="40"/>
      <c r="D153" s="40"/>
      <c r="E153" s="35" t="s">
        <v>141</v>
      </c>
      <c r="F153" s="15"/>
      <c r="G153" s="36">
        <f t="shared" ref="G153:R153" si="20">G148</f>
        <v>615080</v>
      </c>
      <c r="H153" s="36">
        <f t="shared" si="20"/>
        <v>0</v>
      </c>
      <c r="I153" s="36">
        <f t="shared" si="20"/>
        <v>0</v>
      </c>
      <c r="J153" s="36"/>
      <c r="K153" s="36"/>
      <c r="L153" s="36">
        <f t="shared" si="20"/>
        <v>167367</v>
      </c>
      <c r="M153" s="32">
        <f t="shared" si="20"/>
        <v>284445239</v>
      </c>
      <c r="N153" s="33">
        <f t="shared" si="20"/>
        <v>0</v>
      </c>
      <c r="O153" s="33">
        <f t="shared" si="20"/>
        <v>0</v>
      </c>
      <c r="P153" s="33">
        <f t="shared" si="20"/>
        <v>0</v>
      </c>
      <c r="Q153" s="33">
        <f t="shared" si="20"/>
        <v>30000</v>
      </c>
      <c r="R153" s="32">
        <f t="shared" si="20"/>
        <v>284475239</v>
      </c>
      <c r="S153" s="32">
        <f>S148</f>
        <v>360000</v>
      </c>
      <c r="T153" s="32">
        <f>T148</f>
        <v>284835239</v>
      </c>
      <c r="U153" s="127"/>
      <c r="X153" s="10">
        <f t="shared" si="17"/>
        <v>284445239</v>
      </c>
      <c r="Y153" s="2">
        <f t="shared" si="18"/>
        <v>10000</v>
      </c>
      <c r="Z153" s="10"/>
    </row>
    <row r="154" spans="1:26" ht="18" customHeight="1" x14ac:dyDescent="0.25">
      <c r="A154" s="11">
        <v>121</v>
      </c>
      <c r="B154" s="52">
        <v>514010666222</v>
      </c>
      <c r="C154" s="53" t="s">
        <v>361</v>
      </c>
      <c r="D154" s="14" t="s">
        <v>22</v>
      </c>
      <c r="E154" s="53" t="s">
        <v>362</v>
      </c>
      <c r="F154" s="53" t="s">
        <v>24</v>
      </c>
      <c r="G154" s="153">
        <v>4400</v>
      </c>
      <c r="H154" s="54" t="s">
        <v>25</v>
      </c>
      <c r="I154" s="54" t="s">
        <v>363</v>
      </c>
      <c r="J154" s="53">
        <v>578</v>
      </c>
      <c r="K154" s="53">
        <v>982328</v>
      </c>
      <c r="L154" s="41">
        <v>578</v>
      </c>
      <c r="M154" s="41">
        <v>982328</v>
      </c>
      <c r="N154" s="20">
        <v>0</v>
      </c>
      <c r="O154" s="42">
        <v>0</v>
      </c>
      <c r="P154" s="42">
        <v>0</v>
      </c>
      <c r="Q154" s="20">
        <v>0</v>
      </c>
      <c r="R154" s="19">
        <f>M154+N154+O154+P154+Q154</f>
        <v>982328</v>
      </c>
      <c r="S154" s="19">
        <v>3000</v>
      </c>
      <c r="T154" s="19">
        <f t="shared" ref="T154:T193" si="21">R154+S154</f>
        <v>985328</v>
      </c>
      <c r="U154" s="105"/>
      <c r="X154" s="10">
        <f t="shared" si="17"/>
        <v>982328</v>
      </c>
      <c r="Y154" s="2">
        <f t="shared" si="18"/>
        <v>0</v>
      </c>
      <c r="Z154" s="10">
        <f t="shared" ref="Z154:Z193" si="22">Q154-Y154</f>
        <v>0</v>
      </c>
    </row>
    <row r="155" spans="1:26" ht="18" customHeight="1" x14ac:dyDescent="0.25">
      <c r="A155" s="11">
        <v>122</v>
      </c>
      <c r="B155" s="52">
        <v>514010666255</v>
      </c>
      <c r="C155" s="53" t="s">
        <v>56</v>
      </c>
      <c r="D155" s="14" t="s">
        <v>28</v>
      </c>
      <c r="E155" s="53" t="s">
        <v>57</v>
      </c>
      <c r="F155" s="53" t="s">
        <v>24</v>
      </c>
      <c r="G155" s="153">
        <v>3500</v>
      </c>
      <c r="H155" s="54" t="s">
        <v>25</v>
      </c>
      <c r="I155" s="54" t="s">
        <v>364</v>
      </c>
      <c r="J155" s="53">
        <v>781</v>
      </c>
      <c r="K155" s="53">
        <v>1327333</v>
      </c>
      <c r="L155" s="41">
        <v>781</v>
      </c>
      <c r="M155" s="41">
        <v>1327333</v>
      </c>
      <c r="N155" s="20">
        <v>0</v>
      </c>
      <c r="O155" s="42">
        <v>0</v>
      </c>
      <c r="P155" s="42">
        <v>0</v>
      </c>
      <c r="Q155" s="20">
        <v>0</v>
      </c>
      <c r="R155" s="19">
        <f t="shared" ref="R155:R193" si="23">M155+N155+O155+P155+Q155</f>
        <v>1327333</v>
      </c>
      <c r="S155" s="19">
        <v>3000</v>
      </c>
      <c r="T155" s="19">
        <f t="shared" si="21"/>
        <v>1330333</v>
      </c>
      <c r="U155" s="105"/>
      <c r="X155" s="10">
        <f t="shared" si="17"/>
        <v>1327333</v>
      </c>
      <c r="Y155" s="2">
        <f t="shared" si="18"/>
        <v>0</v>
      </c>
      <c r="Z155" s="10">
        <f t="shared" si="22"/>
        <v>0</v>
      </c>
    </row>
    <row r="156" spans="1:26" ht="18" customHeight="1" x14ac:dyDescent="0.25">
      <c r="A156" s="11">
        <v>123</v>
      </c>
      <c r="B156" s="52">
        <v>514010666327</v>
      </c>
      <c r="C156" s="53" t="s">
        <v>365</v>
      </c>
      <c r="D156" s="14" t="s">
        <v>28</v>
      </c>
      <c r="E156" s="53" t="s">
        <v>223</v>
      </c>
      <c r="F156" s="53" t="s">
        <v>24</v>
      </c>
      <c r="G156" s="153">
        <v>4400</v>
      </c>
      <c r="H156" s="54" t="s">
        <v>25</v>
      </c>
      <c r="I156" s="54" t="s">
        <v>366</v>
      </c>
      <c r="J156" s="53">
        <v>1167</v>
      </c>
      <c r="K156" s="53">
        <v>1983352</v>
      </c>
      <c r="L156" s="41">
        <v>1167</v>
      </c>
      <c r="M156" s="41">
        <v>1983352</v>
      </c>
      <c r="N156" s="20">
        <v>0</v>
      </c>
      <c r="O156" s="42">
        <v>0</v>
      </c>
      <c r="P156" s="42">
        <v>0</v>
      </c>
      <c r="Q156" s="20">
        <v>0</v>
      </c>
      <c r="R156" s="19">
        <f t="shared" si="23"/>
        <v>1983352</v>
      </c>
      <c r="S156" s="19">
        <v>3000</v>
      </c>
      <c r="T156" s="19">
        <f t="shared" si="21"/>
        <v>1986352</v>
      </c>
      <c r="U156" s="105"/>
      <c r="X156" s="10">
        <f t="shared" si="17"/>
        <v>1983352</v>
      </c>
      <c r="Y156" s="2">
        <f t="shared" si="18"/>
        <v>0</v>
      </c>
      <c r="Z156" s="10">
        <f t="shared" si="22"/>
        <v>0</v>
      </c>
    </row>
    <row r="157" spans="1:26" ht="18" customHeight="1" x14ac:dyDescent="0.25">
      <c r="A157" s="11">
        <v>124</v>
      </c>
      <c r="B157" s="52">
        <v>514010666335</v>
      </c>
      <c r="C157" s="53" t="s">
        <v>367</v>
      </c>
      <c r="D157" s="14" t="s">
        <v>240</v>
      </c>
      <c r="E157" s="53" t="s">
        <v>368</v>
      </c>
      <c r="F157" s="53" t="s">
        <v>24</v>
      </c>
      <c r="G157" s="153">
        <v>5500</v>
      </c>
      <c r="H157" s="54" t="s">
        <v>25</v>
      </c>
      <c r="I157" s="54" t="s">
        <v>369</v>
      </c>
      <c r="J157" s="53">
        <v>2107</v>
      </c>
      <c r="K157" s="53">
        <v>3580910</v>
      </c>
      <c r="L157" s="41">
        <v>2107</v>
      </c>
      <c r="M157" s="41">
        <v>3580910</v>
      </c>
      <c r="N157" s="20">
        <v>0</v>
      </c>
      <c r="O157" s="42">
        <v>0</v>
      </c>
      <c r="P157" s="42">
        <v>0</v>
      </c>
      <c r="Q157" s="20">
        <v>0</v>
      </c>
      <c r="R157" s="19">
        <f t="shared" si="23"/>
        <v>3580910</v>
      </c>
      <c r="S157" s="19">
        <v>3000</v>
      </c>
      <c r="T157" s="19">
        <f t="shared" si="21"/>
        <v>3583910</v>
      </c>
      <c r="U157" s="105"/>
      <c r="X157" s="10">
        <f t="shared" si="17"/>
        <v>3580910</v>
      </c>
      <c r="Y157" s="2">
        <f t="shared" si="18"/>
        <v>0</v>
      </c>
      <c r="Z157" s="10">
        <f t="shared" si="22"/>
        <v>0</v>
      </c>
    </row>
    <row r="158" spans="1:26" ht="18" customHeight="1" x14ac:dyDescent="0.25">
      <c r="A158" s="11">
        <v>125</v>
      </c>
      <c r="B158" s="52">
        <v>514010666350</v>
      </c>
      <c r="C158" s="53" t="s">
        <v>370</v>
      </c>
      <c r="D158" s="14" t="s">
        <v>68</v>
      </c>
      <c r="E158" s="53" t="s">
        <v>371</v>
      </c>
      <c r="F158" s="53" t="s">
        <v>24</v>
      </c>
      <c r="G158" s="153">
        <v>7700</v>
      </c>
      <c r="H158" s="54" t="s">
        <v>25</v>
      </c>
      <c r="I158" s="54" t="s">
        <v>372</v>
      </c>
      <c r="J158" s="53">
        <v>2608</v>
      </c>
      <c r="K158" s="53">
        <v>4432374</v>
      </c>
      <c r="L158" s="41">
        <v>2608</v>
      </c>
      <c r="M158" s="41">
        <v>4432374</v>
      </c>
      <c r="N158" s="20">
        <v>0</v>
      </c>
      <c r="O158" s="42">
        <v>0</v>
      </c>
      <c r="P158" s="42">
        <v>0</v>
      </c>
      <c r="Q158" s="20">
        <v>0</v>
      </c>
      <c r="R158" s="19">
        <f t="shared" si="23"/>
        <v>4432374</v>
      </c>
      <c r="S158" s="19">
        <v>3000</v>
      </c>
      <c r="T158" s="19">
        <f t="shared" si="21"/>
        <v>4435374</v>
      </c>
      <c r="U158" s="105"/>
      <c r="X158" s="10">
        <f t="shared" si="17"/>
        <v>4432374</v>
      </c>
      <c r="Y158" s="2">
        <f t="shared" si="18"/>
        <v>0</v>
      </c>
      <c r="Z158" s="10">
        <f t="shared" si="22"/>
        <v>0</v>
      </c>
    </row>
    <row r="159" spans="1:26" ht="18" customHeight="1" x14ac:dyDescent="0.25">
      <c r="A159" s="11">
        <v>126</v>
      </c>
      <c r="B159" s="52">
        <v>514010666368</v>
      </c>
      <c r="C159" s="53" t="s">
        <v>373</v>
      </c>
      <c r="D159" s="14" t="s">
        <v>68</v>
      </c>
      <c r="E159" s="53" t="s">
        <v>374</v>
      </c>
      <c r="F159" s="53" t="s">
        <v>24</v>
      </c>
      <c r="G159" s="153">
        <v>3500</v>
      </c>
      <c r="H159" s="54" t="s">
        <v>25</v>
      </c>
      <c r="I159" s="54" t="s">
        <v>375</v>
      </c>
      <c r="J159" s="53">
        <v>1885</v>
      </c>
      <c r="K159" s="53">
        <v>3203614</v>
      </c>
      <c r="L159" s="41">
        <v>1885</v>
      </c>
      <c r="M159" s="41">
        <v>3203614</v>
      </c>
      <c r="N159" s="20">
        <v>0</v>
      </c>
      <c r="O159" s="42">
        <v>0</v>
      </c>
      <c r="P159" s="42">
        <v>0</v>
      </c>
      <c r="Q159" s="20">
        <v>0</v>
      </c>
      <c r="R159" s="19">
        <f t="shared" si="23"/>
        <v>3203614</v>
      </c>
      <c r="S159" s="19">
        <v>3000</v>
      </c>
      <c r="T159" s="19">
        <f t="shared" si="21"/>
        <v>3206614</v>
      </c>
      <c r="U159" s="105"/>
      <c r="X159" s="10">
        <f t="shared" si="17"/>
        <v>3203614</v>
      </c>
      <c r="Y159" s="2">
        <f t="shared" si="18"/>
        <v>0</v>
      </c>
      <c r="Z159" s="10">
        <f t="shared" si="22"/>
        <v>0</v>
      </c>
    </row>
    <row r="160" spans="1:26" ht="18" customHeight="1" x14ac:dyDescent="0.25">
      <c r="A160" s="11">
        <v>127</v>
      </c>
      <c r="B160" s="52">
        <v>514010666376</v>
      </c>
      <c r="C160" s="53" t="s">
        <v>376</v>
      </c>
      <c r="D160" s="14" t="s">
        <v>68</v>
      </c>
      <c r="E160" s="53" t="s">
        <v>377</v>
      </c>
      <c r="F160" s="53" t="s">
        <v>24</v>
      </c>
      <c r="G160" s="153">
        <v>3500</v>
      </c>
      <c r="H160" s="54" t="s">
        <v>25</v>
      </c>
      <c r="I160" s="54" t="s">
        <v>378</v>
      </c>
      <c r="J160" s="53">
        <v>858</v>
      </c>
      <c r="K160" s="53">
        <v>1458197</v>
      </c>
      <c r="L160" s="41">
        <v>858</v>
      </c>
      <c r="M160" s="41">
        <v>1458197</v>
      </c>
      <c r="N160" s="20">
        <v>0</v>
      </c>
      <c r="O160" s="42">
        <v>0</v>
      </c>
      <c r="P160" s="42">
        <v>0</v>
      </c>
      <c r="Q160" s="20">
        <v>0</v>
      </c>
      <c r="R160" s="19">
        <f t="shared" si="23"/>
        <v>1458197</v>
      </c>
      <c r="S160" s="19">
        <v>3000</v>
      </c>
      <c r="T160" s="19">
        <f t="shared" si="21"/>
        <v>1461197</v>
      </c>
      <c r="U160" s="105"/>
      <c r="X160" s="10">
        <f t="shared" si="17"/>
        <v>1458197</v>
      </c>
      <c r="Y160" s="2">
        <f t="shared" si="18"/>
        <v>0</v>
      </c>
      <c r="Z160" s="10">
        <f t="shared" si="22"/>
        <v>0</v>
      </c>
    </row>
    <row r="161" spans="1:26" ht="18" customHeight="1" x14ac:dyDescent="0.25">
      <c r="A161" s="11">
        <v>128</v>
      </c>
      <c r="B161" s="52">
        <v>514010666384</v>
      </c>
      <c r="C161" s="53" t="s">
        <v>379</v>
      </c>
      <c r="D161" s="14" t="s">
        <v>28</v>
      </c>
      <c r="E161" s="53" t="s">
        <v>173</v>
      </c>
      <c r="F161" s="53" t="s">
        <v>24</v>
      </c>
      <c r="G161" s="153">
        <v>5500</v>
      </c>
      <c r="H161" s="54" t="s">
        <v>25</v>
      </c>
      <c r="I161" s="54" t="s">
        <v>380</v>
      </c>
      <c r="J161" s="53">
        <v>1198</v>
      </c>
      <c r="K161" s="53">
        <v>2036037</v>
      </c>
      <c r="L161" s="41">
        <v>1198</v>
      </c>
      <c r="M161" s="41">
        <v>2036037</v>
      </c>
      <c r="N161" s="20">
        <v>0</v>
      </c>
      <c r="O161" s="42">
        <v>0</v>
      </c>
      <c r="P161" s="42">
        <v>0</v>
      </c>
      <c r="Q161" s="20">
        <v>0</v>
      </c>
      <c r="R161" s="19">
        <f t="shared" si="23"/>
        <v>2036037</v>
      </c>
      <c r="S161" s="19">
        <v>3000</v>
      </c>
      <c r="T161" s="19">
        <f t="shared" si="21"/>
        <v>2039037</v>
      </c>
      <c r="U161" s="105"/>
      <c r="X161" s="10">
        <f t="shared" si="17"/>
        <v>2036037</v>
      </c>
      <c r="Y161" s="2">
        <f t="shared" si="18"/>
        <v>0</v>
      </c>
      <c r="Z161" s="10">
        <f t="shared" si="22"/>
        <v>0</v>
      </c>
    </row>
    <row r="162" spans="1:26" ht="18" customHeight="1" x14ac:dyDescent="0.25">
      <c r="A162" s="11">
        <v>129</v>
      </c>
      <c r="B162" s="52">
        <v>514010666392</v>
      </c>
      <c r="C162" s="53" t="s">
        <v>78</v>
      </c>
      <c r="D162" s="14" t="s">
        <v>240</v>
      </c>
      <c r="E162" s="53" t="s">
        <v>381</v>
      </c>
      <c r="F162" s="53" t="s">
        <v>24</v>
      </c>
      <c r="G162" s="153">
        <v>3500</v>
      </c>
      <c r="H162" s="54" t="s">
        <v>25</v>
      </c>
      <c r="I162" s="54" t="s">
        <v>382</v>
      </c>
      <c r="J162" s="53">
        <v>918</v>
      </c>
      <c r="K162" s="53">
        <v>1560169</v>
      </c>
      <c r="L162" s="41">
        <v>918</v>
      </c>
      <c r="M162" s="41">
        <v>1560169</v>
      </c>
      <c r="N162" s="20">
        <v>0</v>
      </c>
      <c r="O162" s="42">
        <v>0</v>
      </c>
      <c r="P162" s="42">
        <v>0</v>
      </c>
      <c r="Q162" s="20">
        <v>0</v>
      </c>
      <c r="R162" s="19">
        <f t="shared" si="23"/>
        <v>1560169</v>
      </c>
      <c r="S162" s="19">
        <v>3000</v>
      </c>
      <c r="T162" s="19">
        <f t="shared" si="21"/>
        <v>1563169</v>
      </c>
      <c r="U162" s="105"/>
      <c r="X162" s="10">
        <f t="shared" si="17"/>
        <v>1560169</v>
      </c>
      <c r="Y162" s="2">
        <f t="shared" si="18"/>
        <v>0</v>
      </c>
      <c r="Z162" s="10">
        <f t="shared" si="22"/>
        <v>0</v>
      </c>
    </row>
    <row r="163" spans="1:26" ht="18" customHeight="1" x14ac:dyDescent="0.25">
      <c r="A163" s="11">
        <v>130</v>
      </c>
      <c r="B163" s="52">
        <v>514010666439</v>
      </c>
      <c r="C163" s="53" t="s">
        <v>383</v>
      </c>
      <c r="D163" s="14" t="s">
        <v>28</v>
      </c>
      <c r="E163" s="53" t="s">
        <v>384</v>
      </c>
      <c r="F163" s="53" t="s">
        <v>24</v>
      </c>
      <c r="G163" s="153">
        <v>4400</v>
      </c>
      <c r="H163" s="54" t="s">
        <v>25</v>
      </c>
      <c r="I163" s="54" t="s">
        <v>385</v>
      </c>
      <c r="J163" s="53">
        <v>1152</v>
      </c>
      <c r="K163" s="53">
        <v>1957859</v>
      </c>
      <c r="L163" s="41">
        <v>1152</v>
      </c>
      <c r="M163" s="41">
        <v>1957859</v>
      </c>
      <c r="N163" s="20">
        <v>0</v>
      </c>
      <c r="O163" s="42">
        <v>0</v>
      </c>
      <c r="P163" s="42">
        <v>0</v>
      </c>
      <c r="Q163" s="20">
        <v>0</v>
      </c>
      <c r="R163" s="19">
        <f t="shared" si="23"/>
        <v>1957859</v>
      </c>
      <c r="S163" s="19">
        <v>3000</v>
      </c>
      <c r="T163" s="19">
        <f t="shared" si="21"/>
        <v>1960859</v>
      </c>
      <c r="U163" s="105"/>
      <c r="X163" s="10">
        <f t="shared" si="17"/>
        <v>1957859</v>
      </c>
      <c r="Y163" s="2">
        <f t="shared" si="18"/>
        <v>0</v>
      </c>
      <c r="Z163" s="10">
        <f t="shared" si="22"/>
        <v>0</v>
      </c>
    </row>
    <row r="164" spans="1:26" ht="18" customHeight="1" x14ac:dyDescent="0.25">
      <c r="A164" s="11">
        <v>131</v>
      </c>
      <c r="B164" s="52">
        <v>514010666496</v>
      </c>
      <c r="C164" s="53" t="s">
        <v>386</v>
      </c>
      <c r="D164" s="14" t="s">
        <v>28</v>
      </c>
      <c r="E164" s="53" t="s">
        <v>387</v>
      </c>
      <c r="F164" s="53" t="s">
        <v>24</v>
      </c>
      <c r="G164" s="153">
        <v>5500</v>
      </c>
      <c r="H164" s="54" t="s">
        <v>25</v>
      </c>
      <c r="I164" s="54" t="s">
        <v>388</v>
      </c>
      <c r="J164" s="53">
        <v>1618</v>
      </c>
      <c r="K164" s="53">
        <v>2749840</v>
      </c>
      <c r="L164" s="41">
        <v>1618</v>
      </c>
      <c r="M164" s="41">
        <v>2749840</v>
      </c>
      <c r="N164" s="20">
        <v>0</v>
      </c>
      <c r="O164" s="42">
        <v>0</v>
      </c>
      <c r="P164" s="42">
        <v>0</v>
      </c>
      <c r="Q164" s="20">
        <v>0</v>
      </c>
      <c r="R164" s="19">
        <f t="shared" si="23"/>
        <v>2749840</v>
      </c>
      <c r="S164" s="19">
        <v>3000</v>
      </c>
      <c r="T164" s="19">
        <f t="shared" si="21"/>
        <v>2752840</v>
      </c>
      <c r="U164" s="105"/>
      <c r="X164" s="10">
        <f t="shared" si="17"/>
        <v>2749840</v>
      </c>
      <c r="Y164" s="2">
        <f t="shared" si="18"/>
        <v>0</v>
      </c>
      <c r="Z164" s="10">
        <f t="shared" si="22"/>
        <v>0</v>
      </c>
    </row>
    <row r="165" spans="1:26" ht="18" customHeight="1" x14ac:dyDescent="0.25">
      <c r="A165" s="11">
        <v>132</v>
      </c>
      <c r="B165" s="52">
        <v>514010666518</v>
      </c>
      <c r="C165" s="53" t="s">
        <v>389</v>
      </c>
      <c r="D165" s="14" t="s">
        <v>22</v>
      </c>
      <c r="E165" s="53" t="s">
        <v>173</v>
      </c>
      <c r="F165" s="53" t="s">
        <v>24</v>
      </c>
      <c r="G165" s="153">
        <v>3500</v>
      </c>
      <c r="H165" s="54" t="s">
        <v>25</v>
      </c>
      <c r="I165" s="54" t="s">
        <v>390</v>
      </c>
      <c r="J165" s="53">
        <v>140</v>
      </c>
      <c r="K165" s="53">
        <v>237934</v>
      </c>
      <c r="L165" s="41">
        <v>140</v>
      </c>
      <c r="M165" s="41">
        <v>237934</v>
      </c>
      <c r="N165" s="20">
        <v>0</v>
      </c>
      <c r="O165" s="42">
        <v>0</v>
      </c>
      <c r="P165" s="42">
        <v>0</v>
      </c>
      <c r="Q165" s="20">
        <v>0</v>
      </c>
      <c r="R165" s="19">
        <f t="shared" si="23"/>
        <v>237934</v>
      </c>
      <c r="S165" s="19">
        <v>3000</v>
      </c>
      <c r="T165" s="19">
        <f t="shared" si="21"/>
        <v>240934</v>
      </c>
      <c r="U165" s="105"/>
      <c r="X165" s="10">
        <f t="shared" si="17"/>
        <v>237934</v>
      </c>
      <c r="Y165" s="2">
        <f t="shared" si="18"/>
        <v>0</v>
      </c>
      <c r="Z165" s="10">
        <f t="shared" si="22"/>
        <v>0</v>
      </c>
    </row>
    <row r="166" spans="1:26" ht="18" customHeight="1" x14ac:dyDescent="0.25">
      <c r="A166" s="11">
        <v>133</v>
      </c>
      <c r="B166" s="52">
        <v>514010666526</v>
      </c>
      <c r="C166" s="53" t="s">
        <v>391</v>
      </c>
      <c r="D166" s="14" t="s">
        <v>22</v>
      </c>
      <c r="E166" s="53" t="s">
        <v>184</v>
      </c>
      <c r="F166" s="53" t="s">
        <v>24</v>
      </c>
      <c r="G166" s="153">
        <v>3500</v>
      </c>
      <c r="H166" s="54" t="s">
        <v>25</v>
      </c>
      <c r="I166" s="54" t="s">
        <v>392</v>
      </c>
      <c r="J166" s="53">
        <v>942</v>
      </c>
      <c r="K166" s="53">
        <v>1600957</v>
      </c>
      <c r="L166" s="41">
        <v>942</v>
      </c>
      <c r="M166" s="41">
        <v>1600957</v>
      </c>
      <c r="N166" s="20">
        <v>0</v>
      </c>
      <c r="O166" s="42">
        <v>0</v>
      </c>
      <c r="P166" s="42">
        <v>0</v>
      </c>
      <c r="Q166" s="20">
        <v>0</v>
      </c>
      <c r="R166" s="19">
        <f t="shared" si="23"/>
        <v>1600957</v>
      </c>
      <c r="S166" s="19">
        <v>3000</v>
      </c>
      <c r="T166" s="19">
        <f t="shared" si="21"/>
        <v>1603957</v>
      </c>
      <c r="U166" s="105"/>
      <c r="X166" s="10">
        <f t="shared" si="17"/>
        <v>1600957</v>
      </c>
      <c r="Y166" s="2">
        <f t="shared" si="18"/>
        <v>0</v>
      </c>
      <c r="Z166" s="10">
        <f t="shared" si="22"/>
        <v>0</v>
      </c>
    </row>
    <row r="167" spans="1:26" ht="18" customHeight="1" x14ac:dyDescent="0.25">
      <c r="A167" s="11">
        <v>134</v>
      </c>
      <c r="B167" s="52">
        <v>514010666542</v>
      </c>
      <c r="C167" s="53" t="s">
        <v>393</v>
      </c>
      <c r="D167" s="14" t="s">
        <v>22</v>
      </c>
      <c r="E167" s="53" t="s">
        <v>394</v>
      </c>
      <c r="F167" s="53" t="s">
        <v>24</v>
      </c>
      <c r="G167" s="153">
        <v>3500</v>
      </c>
      <c r="H167" s="54" t="s">
        <v>25</v>
      </c>
      <c r="I167" s="54" t="s">
        <v>395</v>
      </c>
      <c r="J167" s="53">
        <v>295</v>
      </c>
      <c r="K167" s="53">
        <v>501361</v>
      </c>
      <c r="L167" s="41">
        <v>295</v>
      </c>
      <c r="M167" s="41">
        <v>501361</v>
      </c>
      <c r="N167" s="20">
        <v>0</v>
      </c>
      <c r="O167" s="42">
        <v>0</v>
      </c>
      <c r="P167" s="42">
        <v>0</v>
      </c>
      <c r="Q167" s="20">
        <v>0</v>
      </c>
      <c r="R167" s="19">
        <f t="shared" si="23"/>
        <v>501361</v>
      </c>
      <c r="S167" s="19">
        <v>3000</v>
      </c>
      <c r="T167" s="19">
        <f t="shared" si="21"/>
        <v>504361</v>
      </c>
      <c r="U167" s="105"/>
      <c r="X167" s="10">
        <f t="shared" si="17"/>
        <v>501361</v>
      </c>
      <c r="Y167" s="2">
        <f t="shared" si="18"/>
        <v>0</v>
      </c>
      <c r="Z167" s="10">
        <f t="shared" si="22"/>
        <v>0</v>
      </c>
    </row>
    <row r="168" spans="1:26" ht="18" customHeight="1" x14ac:dyDescent="0.25">
      <c r="A168" s="11">
        <v>135</v>
      </c>
      <c r="B168" s="52">
        <v>514010666559</v>
      </c>
      <c r="C168" s="53" t="s">
        <v>396</v>
      </c>
      <c r="D168" s="14" t="s">
        <v>22</v>
      </c>
      <c r="E168" s="53" t="s">
        <v>397</v>
      </c>
      <c r="F168" s="53" t="s">
        <v>24</v>
      </c>
      <c r="G168" s="153">
        <v>5500</v>
      </c>
      <c r="H168" s="54" t="s">
        <v>25</v>
      </c>
      <c r="I168" s="54" t="s">
        <v>398</v>
      </c>
      <c r="J168" s="53">
        <v>1402</v>
      </c>
      <c r="K168" s="53">
        <v>2382741</v>
      </c>
      <c r="L168" s="41">
        <v>1402</v>
      </c>
      <c r="M168" s="41">
        <v>2382741</v>
      </c>
      <c r="N168" s="20">
        <v>0</v>
      </c>
      <c r="O168" s="42">
        <v>0</v>
      </c>
      <c r="P168" s="42">
        <v>0</v>
      </c>
      <c r="Q168" s="20">
        <v>0</v>
      </c>
      <c r="R168" s="19">
        <f t="shared" si="23"/>
        <v>2382741</v>
      </c>
      <c r="S168" s="19">
        <v>3000</v>
      </c>
      <c r="T168" s="19">
        <f t="shared" si="21"/>
        <v>2385741</v>
      </c>
      <c r="U168" s="105"/>
      <c r="X168" s="10">
        <f t="shared" si="17"/>
        <v>2382741</v>
      </c>
      <c r="Y168" s="2">
        <f t="shared" si="18"/>
        <v>0</v>
      </c>
      <c r="Z168" s="10">
        <f t="shared" si="22"/>
        <v>0</v>
      </c>
    </row>
    <row r="169" spans="1:26" ht="18" customHeight="1" x14ac:dyDescent="0.25">
      <c r="A169" s="11">
        <v>136</v>
      </c>
      <c r="B169" s="52">
        <v>514010666575</v>
      </c>
      <c r="C169" s="53" t="s">
        <v>399</v>
      </c>
      <c r="D169" s="14" t="s">
        <v>240</v>
      </c>
      <c r="E169" s="53" t="s">
        <v>400</v>
      </c>
      <c r="F169" s="53" t="s">
        <v>24</v>
      </c>
      <c r="G169" s="153">
        <v>4400</v>
      </c>
      <c r="H169" s="54" t="s">
        <v>25</v>
      </c>
      <c r="I169" s="54" t="s">
        <v>401</v>
      </c>
      <c r="J169" s="53">
        <v>1912</v>
      </c>
      <c r="K169" s="53">
        <v>3249501</v>
      </c>
      <c r="L169" s="41">
        <v>1912</v>
      </c>
      <c r="M169" s="41">
        <v>3249501</v>
      </c>
      <c r="N169" s="20">
        <v>0</v>
      </c>
      <c r="O169" s="42">
        <v>0</v>
      </c>
      <c r="P169" s="42">
        <v>0</v>
      </c>
      <c r="Q169" s="20">
        <v>0</v>
      </c>
      <c r="R169" s="19">
        <f t="shared" si="23"/>
        <v>3249501</v>
      </c>
      <c r="S169" s="19">
        <v>3000</v>
      </c>
      <c r="T169" s="19">
        <f t="shared" si="21"/>
        <v>3252501</v>
      </c>
      <c r="U169" s="105"/>
      <c r="X169" s="10">
        <f t="shared" si="17"/>
        <v>3249501</v>
      </c>
      <c r="Y169" s="2">
        <f t="shared" si="18"/>
        <v>0</v>
      </c>
      <c r="Z169" s="10">
        <f t="shared" si="22"/>
        <v>0</v>
      </c>
    </row>
    <row r="170" spans="1:26" ht="18" customHeight="1" x14ac:dyDescent="0.25">
      <c r="A170" s="11">
        <v>137</v>
      </c>
      <c r="B170" s="52">
        <v>514010666591</v>
      </c>
      <c r="C170" s="53" t="s">
        <v>402</v>
      </c>
      <c r="D170" s="14" t="s">
        <v>22</v>
      </c>
      <c r="E170" s="53" t="s">
        <v>403</v>
      </c>
      <c r="F170" s="53" t="s">
        <v>24</v>
      </c>
      <c r="G170" s="153">
        <v>3500</v>
      </c>
      <c r="H170" s="54" t="s">
        <v>25</v>
      </c>
      <c r="I170" s="54" t="s">
        <v>404</v>
      </c>
      <c r="J170" s="53">
        <v>1382</v>
      </c>
      <c r="K170" s="53">
        <v>2348750</v>
      </c>
      <c r="L170" s="41">
        <v>1382</v>
      </c>
      <c r="M170" s="41">
        <v>2348750</v>
      </c>
      <c r="N170" s="20">
        <v>0</v>
      </c>
      <c r="O170" s="42">
        <v>0</v>
      </c>
      <c r="P170" s="42">
        <v>0</v>
      </c>
      <c r="Q170" s="20">
        <v>0</v>
      </c>
      <c r="R170" s="19">
        <f t="shared" si="23"/>
        <v>2348750</v>
      </c>
      <c r="S170" s="19">
        <v>3000</v>
      </c>
      <c r="T170" s="19">
        <f t="shared" si="21"/>
        <v>2351750</v>
      </c>
      <c r="U170" s="105"/>
      <c r="X170" s="10">
        <f t="shared" si="17"/>
        <v>2348750</v>
      </c>
      <c r="Y170" s="2">
        <f t="shared" si="18"/>
        <v>0</v>
      </c>
      <c r="Z170" s="10">
        <f t="shared" si="22"/>
        <v>0</v>
      </c>
    </row>
    <row r="171" spans="1:26" ht="18" customHeight="1" x14ac:dyDescent="0.25">
      <c r="A171" s="11">
        <v>138</v>
      </c>
      <c r="B171" s="52">
        <v>514010666604</v>
      </c>
      <c r="C171" s="53" t="s">
        <v>405</v>
      </c>
      <c r="D171" s="14" t="s">
        <v>22</v>
      </c>
      <c r="E171" s="53" t="s">
        <v>406</v>
      </c>
      <c r="F171" s="53" t="s">
        <v>24</v>
      </c>
      <c r="G171" s="153">
        <v>7700</v>
      </c>
      <c r="H171" s="54" t="s">
        <v>25</v>
      </c>
      <c r="I171" s="54" t="s">
        <v>407</v>
      </c>
      <c r="J171" s="53">
        <v>2345</v>
      </c>
      <c r="K171" s="53">
        <v>3985398</v>
      </c>
      <c r="L171" s="41">
        <v>2345</v>
      </c>
      <c r="M171" s="41">
        <v>3985398</v>
      </c>
      <c r="N171" s="20">
        <v>0</v>
      </c>
      <c r="O171" s="42">
        <v>0</v>
      </c>
      <c r="P171" s="42">
        <v>0</v>
      </c>
      <c r="Q171" s="20">
        <v>0</v>
      </c>
      <c r="R171" s="19">
        <f t="shared" si="23"/>
        <v>3985398</v>
      </c>
      <c r="S171" s="19">
        <v>3000</v>
      </c>
      <c r="T171" s="19">
        <f t="shared" si="21"/>
        <v>3988398</v>
      </c>
      <c r="U171" s="105"/>
      <c r="X171" s="10">
        <f t="shared" si="17"/>
        <v>3985398</v>
      </c>
      <c r="Y171" s="2">
        <f t="shared" si="18"/>
        <v>0</v>
      </c>
      <c r="Z171" s="10">
        <f t="shared" si="22"/>
        <v>0</v>
      </c>
    </row>
    <row r="172" spans="1:26" ht="18" customHeight="1" x14ac:dyDescent="0.25">
      <c r="A172" s="11">
        <v>139</v>
      </c>
      <c r="B172" s="52">
        <v>514010666653</v>
      </c>
      <c r="C172" s="53" t="s">
        <v>408</v>
      </c>
      <c r="D172" s="14" t="s">
        <v>28</v>
      </c>
      <c r="E172" s="53" t="s">
        <v>409</v>
      </c>
      <c r="F172" s="53" t="s">
        <v>24</v>
      </c>
      <c r="G172" s="153">
        <v>4400</v>
      </c>
      <c r="H172" s="54" t="s">
        <v>25</v>
      </c>
      <c r="I172" s="54" t="s">
        <v>410</v>
      </c>
      <c r="J172" s="53">
        <v>1863</v>
      </c>
      <c r="K172" s="53">
        <v>3166224</v>
      </c>
      <c r="L172" s="41">
        <v>1863</v>
      </c>
      <c r="M172" s="41">
        <v>3166224</v>
      </c>
      <c r="N172" s="20">
        <v>0</v>
      </c>
      <c r="O172" s="42">
        <v>0</v>
      </c>
      <c r="P172" s="42">
        <v>0</v>
      </c>
      <c r="Q172" s="20">
        <v>0</v>
      </c>
      <c r="R172" s="19">
        <f t="shared" si="23"/>
        <v>3166224</v>
      </c>
      <c r="S172" s="19">
        <v>3000</v>
      </c>
      <c r="T172" s="19">
        <f t="shared" si="21"/>
        <v>3169224</v>
      </c>
      <c r="U172" s="105"/>
      <c r="X172" s="10">
        <f t="shared" si="17"/>
        <v>3166224</v>
      </c>
      <c r="Y172" s="2">
        <f t="shared" si="18"/>
        <v>0</v>
      </c>
      <c r="Z172" s="10">
        <f t="shared" si="22"/>
        <v>0</v>
      </c>
    </row>
    <row r="173" spans="1:26" ht="18" customHeight="1" x14ac:dyDescent="0.25">
      <c r="A173" s="11">
        <v>140</v>
      </c>
      <c r="B173" s="52">
        <v>514010666679</v>
      </c>
      <c r="C173" s="53" t="s">
        <v>411</v>
      </c>
      <c r="D173" s="14" t="s">
        <v>22</v>
      </c>
      <c r="E173" s="53" t="s">
        <v>412</v>
      </c>
      <c r="F173" s="53" t="s">
        <v>24</v>
      </c>
      <c r="G173" s="153">
        <v>3500</v>
      </c>
      <c r="H173" s="54" t="s">
        <v>25</v>
      </c>
      <c r="I173" s="54" t="s">
        <v>413</v>
      </c>
      <c r="J173" s="53">
        <v>1013</v>
      </c>
      <c r="K173" s="53">
        <v>1721624</v>
      </c>
      <c r="L173" s="41">
        <v>1013</v>
      </c>
      <c r="M173" s="41">
        <v>1721624</v>
      </c>
      <c r="N173" s="20">
        <v>0</v>
      </c>
      <c r="O173" s="42">
        <v>0</v>
      </c>
      <c r="P173" s="42">
        <v>0</v>
      </c>
      <c r="Q173" s="20">
        <v>0</v>
      </c>
      <c r="R173" s="19">
        <f t="shared" si="23"/>
        <v>1721624</v>
      </c>
      <c r="S173" s="19">
        <v>3000</v>
      </c>
      <c r="T173" s="19">
        <f t="shared" si="21"/>
        <v>1724624</v>
      </c>
      <c r="U173" s="105"/>
      <c r="X173" s="10">
        <f t="shared" si="17"/>
        <v>1721624</v>
      </c>
      <c r="Y173" s="2">
        <f t="shared" si="18"/>
        <v>0</v>
      </c>
      <c r="Z173" s="10">
        <f t="shared" si="22"/>
        <v>0</v>
      </c>
    </row>
    <row r="174" spans="1:26" ht="18" customHeight="1" x14ac:dyDescent="0.25">
      <c r="A174" s="11">
        <v>141</v>
      </c>
      <c r="B174" s="52">
        <v>514010666687</v>
      </c>
      <c r="C174" s="53" t="s">
        <v>414</v>
      </c>
      <c r="D174" s="14" t="s">
        <v>240</v>
      </c>
      <c r="E174" s="53" t="s">
        <v>40</v>
      </c>
      <c r="F174" s="53" t="s">
        <v>24</v>
      </c>
      <c r="G174" s="153">
        <v>3500</v>
      </c>
      <c r="H174" s="54" t="s">
        <v>25</v>
      </c>
      <c r="I174" s="54" t="s">
        <v>415</v>
      </c>
      <c r="J174" s="53">
        <v>518</v>
      </c>
      <c r="K174" s="53">
        <v>880357</v>
      </c>
      <c r="L174" s="41">
        <v>518</v>
      </c>
      <c r="M174" s="41">
        <v>880357</v>
      </c>
      <c r="N174" s="20">
        <v>0</v>
      </c>
      <c r="O174" s="42">
        <v>0</v>
      </c>
      <c r="P174" s="42">
        <v>0</v>
      </c>
      <c r="Q174" s="20">
        <v>0</v>
      </c>
      <c r="R174" s="19">
        <f t="shared" si="23"/>
        <v>880357</v>
      </c>
      <c r="S174" s="19">
        <v>3000</v>
      </c>
      <c r="T174" s="19">
        <f t="shared" si="21"/>
        <v>883357</v>
      </c>
      <c r="U174" s="105"/>
      <c r="X174" s="10">
        <f t="shared" si="17"/>
        <v>880357</v>
      </c>
      <c r="Y174" s="2">
        <f t="shared" si="18"/>
        <v>0</v>
      </c>
      <c r="Z174" s="10">
        <f t="shared" si="22"/>
        <v>0</v>
      </c>
    </row>
    <row r="175" spans="1:26" ht="18" customHeight="1" x14ac:dyDescent="0.25">
      <c r="A175" s="11">
        <v>142</v>
      </c>
      <c r="B175" s="52">
        <v>514010666733</v>
      </c>
      <c r="C175" s="53" t="s">
        <v>416</v>
      </c>
      <c r="D175" s="14" t="s">
        <v>28</v>
      </c>
      <c r="E175" s="53" t="s">
        <v>417</v>
      </c>
      <c r="F175" s="53" t="s">
        <v>24</v>
      </c>
      <c r="G175" s="153">
        <v>4400</v>
      </c>
      <c r="H175" s="54" t="s">
        <v>25</v>
      </c>
      <c r="I175" s="54" t="s">
        <v>418</v>
      </c>
      <c r="J175" s="53">
        <v>831</v>
      </c>
      <c r="K175" s="53">
        <v>1412309</v>
      </c>
      <c r="L175" s="41">
        <v>831</v>
      </c>
      <c r="M175" s="41">
        <v>1412309</v>
      </c>
      <c r="N175" s="20">
        <v>0</v>
      </c>
      <c r="O175" s="42">
        <v>0</v>
      </c>
      <c r="P175" s="42">
        <v>0</v>
      </c>
      <c r="Q175" s="20">
        <v>0</v>
      </c>
      <c r="R175" s="19">
        <f t="shared" si="23"/>
        <v>1412309</v>
      </c>
      <c r="S175" s="19">
        <v>3000</v>
      </c>
      <c r="T175" s="19">
        <f t="shared" si="21"/>
        <v>1415309</v>
      </c>
      <c r="U175" s="105"/>
      <c r="X175" s="10">
        <f t="shared" si="17"/>
        <v>1412309</v>
      </c>
      <c r="Y175" s="2">
        <f t="shared" si="18"/>
        <v>0</v>
      </c>
      <c r="Z175" s="10">
        <f t="shared" si="22"/>
        <v>0</v>
      </c>
    </row>
    <row r="176" spans="1:26" ht="18" customHeight="1" x14ac:dyDescent="0.25">
      <c r="A176" s="11">
        <v>143</v>
      </c>
      <c r="B176" s="52">
        <v>514010666774</v>
      </c>
      <c r="C176" s="53" t="s">
        <v>419</v>
      </c>
      <c r="D176" s="14" t="s">
        <v>68</v>
      </c>
      <c r="E176" s="53" t="s">
        <v>420</v>
      </c>
      <c r="F176" s="53" t="s">
        <v>24</v>
      </c>
      <c r="G176" s="153">
        <v>4400</v>
      </c>
      <c r="H176" s="54" t="s">
        <v>25</v>
      </c>
      <c r="I176" s="54" t="s">
        <v>421</v>
      </c>
      <c r="J176" s="53">
        <v>1650</v>
      </c>
      <c r="K176" s="53">
        <v>2804225</v>
      </c>
      <c r="L176" s="41">
        <v>1650</v>
      </c>
      <c r="M176" s="41">
        <v>2804225</v>
      </c>
      <c r="N176" s="20">
        <v>0</v>
      </c>
      <c r="O176" s="42">
        <v>0</v>
      </c>
      <c r="P176" s="42">
        <v>0</v>
      </c>
      <c r="Q176" s="20">
        <v>0</v>
      </c>
      <c r="R176" s="19">
        <f t="shared" si="23"/>
        <v>2804225</v>
      </c>
      <c r="S176" s="19">
        <v>3000</v>
      </c>
      <c r="T176" s="19">
        <f t="shared" si="21"/>
        <v>2807225</v>
      </c>
      <c r="U176" s="105"/>
      <c r="X176" s="10">
        <f t="shared" si="17"/>
        <v>2804225</v>
      </c>
      <c r="Y176" s="2">
        <f t="shared" si="18"/>
        <v>0</v>
      </c>
      <c r="Z176" s="10">
        <f t="shared" si="22"/>
        <v>0</v>
      </c>
    </row>
    <row r="177" spans="1:26" ht="18" customHeight="1" x14ac:dyDescent="0.25">
      <c r="A177" s="11">
        <v>144</v>
      </c>
      <c r="B177" s="52">
        <v>514010669947</v>
      </c>
      <c r="C177" s="53" t="s">
        <v>422</v>
      </c>
      <c r="D177" s="14" t="s">
        <v>28</v>
      </c>
      <c r="E177" s="53" t="s">
        <v>423</v>
      </c>
      <c r="F177" s="53" t="s">
        <v>24</v>
      </c>
      <c r="G177" s="153">
        <v>4400</v>
      </c>
      <c r="H177" s="54" t="s">
        <v>25</v>
      </c>
      <c r="I177" s="54" t="s">
        <v>424</v>
      </c>
      <c r="J177" s="53">
        <v>331</v>
      </c>
      <c r="K177" s="53">
        <v>562544</v>
      </c>
      <c r="L177" s="41">
        <v>331</v>
      </c>
      <c r="M177" s="41">
        <v>562544</v>
      </c>
      <c r="N177" s="20">
        <v>0</v>
      </c>
      <c r="O177" s="42">
        <v>0</v>
      </c>
      <c r="P177" s="42">
        <v>0</v>
      </c>
      <c r="Q177" s="20">
        <v>0</v>
      </c>
      <c r="R177" s="19">
        <f t="shared" si="23"/>
        <v>562544</v>
      </c>
      <c r="S177" s="19">
        <v>3000</v>
      </c>
      <c r="T177" s="19">
        <f t="shared" si="21"/>
        <v>565544</v>
      </c>
      <c r="U177" s="105"/>
      <c r="X177" s="10">
        <f t="shared" si="17"/>
        <v>562544</v>
      </c>
      <c r="Y177" s="2">
        <f t="shared" si="18"/>
        <v>0</v>
      </c>
      <c r="Z177" s="10">
        <f t="shared" si="22"/>
        <v>0</v>
      </c>
    </row>
    <row r="178" spans="1:26" ht="18" customHeight="1" x14ac:dyDescent="0.25">
      <c r="A178" s="11">
        <v>145</v>
      </c>
      <c r="B178" s="52">
        <v>514010669954</v>
      </c>
      <c r="C178" s="53" t="s">
        <v>425</v>
      </c>
      <c r="D178" s="14" t="s">
        <v>28</v>
      </c>
      <c r="E178" s="53" t="s">
        <v>423</v>
      </c>
      <c r="F178" s="53" t="s">
        <v>24</v>
      </c>
      <c r="G178" s="153">
        <v>7700</v>
      </c>
      <c r="H178" s="54" t="s">
        <v>25</v>
      </c>
      <c r="I178" s="54" t="s">
        <v>426</v>
      </c>
      <c r="J178" s="53">
        <v>1196</v>
      </c>
      <c r="K178" s="53">
        <v>2032638</v>
      </c>
      <c r="L178" s="41">
        <v>1196</v>
      </c>
      <c r="M178" s="41">
        <v>2032638</v>
      </c>
      <c r="N178" s="20">
        <v>0</v>
      </c>
      <c r="O178" s="42">
        <v>0</v>
      </c>
      <c r="P178" s="42">
        <v>0</v>
      </c>
      <c r="Q178" s="20">
        <v>0</v>
      </c>
      <c r="R178" s="19">
        <f t="shared" si="23"/>
        <v>2032638</v>
      </c>
      <c r="S178" s="19">
        <v>3000</v>
      </c>
      <c r="T178" s="19">
        <f t="shared" si="21"/>
        <v>2035638</v>
      </c>
      <c r="U178" s="105"/>
      <c r="X178" s="10">
        <f t="shared" si="17"/>
        <v>2032638</v>
      </c>
      <c r="Y178" s="2">
        <f t="shared" si="18"/>
        <v>0</v>
      </c>
      <c r="Z178" s="10">
        <f t="shared" si="22"/>
        <v>0</v>
      </c>
    </row>
    <row r="179" spans="1:26" ht="18" customHeight="1" x14ac:dyDescent="0.25">
      <c r="A179" s="11">
        <v>146</v>
      </c>
      <c r="B179" s="52">
        <v>514010669962</v>
      </c>
      <c r="C179" s="53" t="s">
        <v>427</v>
      </c>
      <c r="D179" s="14" t="s">
        <v>28</v>
      </c>
      <c r="E179" s="53" t="s">
        <v>202</v>
      </c>
      <c r="F179" s="53" t="s">
        <v>24</v>
      </c>
      <c r="G179" s="153">
        <v>5500</v>
      </c>
      <c r="H179" s="54" t="s">
        <v>25</v>
      </c>
      <c r="I179" s="54" t="s">
        <v>428</v>
      </c>
      <c r="J179" s="53">
        <v>582</v>
      </c>
      <c r="K179" s="53">
        <v>989126</v>
      </c>
      <c r="L179" s="41">
        <v>582</v>
      </c>
      <c r="M179" s="41">
        <v>989126</v>
      </c>
      <c r="N179" s="20">
        <v>0</v>
      </c>
      <c r="O179" s="42">
        <v>0</v>
      </c>
      <c r="P179" s="42">
        <v>0</v>
      </c>
      <c r="Q179" s="20">
        <v>0</v>
      </c>
      <c r="R179" s="19">
        <f t="shared" si="23"/>
        <v>989126</v>
      </c>
      <c r="S179" s="19">
        <v>3000</v>
      </c>
      <c r="T179" s="19">
        <f t="shared" si="21"/>
        <v>992126</v>
      </c>
      <c r="U179" s="105"/>
      <c r="X179" s="10">
        <f t="shared" si="17"/>
        <v>989126</v>
      </c>
      <c r="Y179" s="2">
        <f t="shared" si="18"/>
        <v>0</v>
      </c>
      <c r="Z179" s="10">
        <f t="shared" si="22"/>
        <v>0</v>
      </c>
    </row>
    <row r="180" spans="1:26" ht="18" customHeight="1" x14ac:dyDescent="0.25">
      <c r="A180" s="11">
        <v>147</v>
      </c>
      <c r="B180" s="52">
        <v>514010669970</v>
      </c>
      <c r="C180" s="53" t="s">
        <v>429</v>
      </c>
      <c r="D180" s="14" t="s">
        <v>28</v>
      </c>
      <c r="E180" s="53" t="s">
        <v>202</v>
      </c>
      <c r="F180" s="53" t="s">
        <v>24</v>
      </c>
      <c r="G180" s="153">
        <v>5500</v>
      </c>
      <c r="H180" s="54" t="s">
        <v>25</v>
      </c>
      <c r="I180" s="54" t="s">
        <v>430</v>
      </c>
      <c r="J180" s="53">
        <v>1070</v>
      </c>
      <c r="K180" s="53">
        <v>1818497</v>
      </c>
      <c r="L180" s="41">
        <v>1070</v>
      </c>
      <c r="M180" s="41">
        <v>1818497</v>
      </c>
      <c r="N180" s="20">
        <v>0</v>
      </c>
      <c r="O180" s="42">
        <v>0</v>
      </c>
      <c r="P180" s="42">
        <v>0</v>
      </c>
      <c r="Q180" s="20">
        <v>0</v>
      </c>
      <c r="R180" s="19">
        <f t="shared" si="23"/>
        <v>1818497</v>
      </c>
      <c r="S180" s="19">
        <v>3000</v>
      </c>
      <c r="T180" s="19">
        <f t="shared" si="21"/>
        <v>1821497</v>
      </c>
      <c r="U180" s="105"/>
      <c r="X180" s="10">
        <f t="shared" si="17"/>
        <v>1818497</v>
      </c>
      <c r="Y180" s="2">
        <f t="shared" si="18"/>
        <v>0</v>
      </c>
      <c r="Z180" s="10">
        <f t="shared" si="22"/>
        <v>0</v>
      </c>
    </row>
    <row r="181" spans="1:26" ht="18" customHeight="1" x14ac:dyDescent="0.25">
      <c r="A181" s="11">
        <v>148</v>
      </c>
      <c r="B181" s="52">
        <v>514010669988</v>
      </c>
      <c r="C181" s="53" t="s">
        <v>431</v>
      </c>
      <c r="D181" s="14" t="s">
        <v>28</v>
      </c>
      <c r="E181" s="53" t="s">
        <v>210</v>
      </c>
      <c r="F181" s="53" t="s">
        <v>24</v>
      </c>
      <c r="G181" s="153">
        <v>4400</v>
      </c>
      <c r="H181" s="54" t="s">
        <v>25</v>
      </c>
      <c r="I181" s="54" t="s">
        <v>432</v>
      </c>
      <c r="J181" s="53">
        <v>795</v>
      </c>
      <c r="K181" s="53">
        <v>1351126</v>
      </c>
      <c r="L181" s="41">
        <v>795</v>
      </c>
      <c r="M181" s="41">
        <v>1351126</v>
      </c>
      <c r="N181" s="20">
        <v>0</v>
      </c>
      <c r="O181" s="42">
        <v>0</v>
      </c>
      <c r="P181" s="42">
        <v>0</v>
      </c>
      <c r="Q181" s="20">
        <v>0</v>
      </c>
      <c r="R181" s="19">
        <f t="shared" si="23"/>
        <v>1351126</v>
      </c>
      <c r="S181" s="19">
        <v>3000</v>
      </c>
      <c r="T181" s="19">
        <f t="shared" si="21"/>
        <v>1354126</v>
      </c>
      <c r="U181" s="105"/>
      <c r="X181" s="10">
        <f t="shared" si="17"/>
        <v>1351126</v>
      </c>
      <c r="Y181" s="2">
        <f t="shared" si="18"/>
        <v>0</v>
      </c>
      <c r="Z181" s="10">
        <f t="shared" si="22"/>
        <v>0</v>
      </c>
    </row>
    <row r="182" spans="1:26" ht="18" customHeight="1" x14ac:dyDescent="0.25">
      <c r="A182" s="11">
        <v>149</v>
      </c>
      <c r="B182" s="52">
        <v>514010689115</v>
      </c>
      <c r="C182" s="53" t="s">
        <v>376</v>
      </c>
      <c r="D182" s="14" t="s">
        <v>28</v>
      </c>
      <c r="E182" s="53" t="s">
        <v>377</v>
      </c>
      <c r="F182" s="53" t="s">
        <v>24</v>
      </c>
      <c r="G182" s="153">
        <v>640</v>
      </c>
      <c r="H182" s="54" t="s">
        <v>25</v>
      </c>
      <c r="I182" s="54" t="s">
        <v>433</v>
      </c>
      <c r="J182" s="53">
        <v>26</v>
      </c>
      <c r="K182" s="53">
        <v>44188</v>
      </c>
      <c r="L182" s="41">
        <v>26</v>
      </c>
      <c r="M182" s="41">
        <v>44188</v>
      </c>
      <c r="N182" s="20">
        <v>0</v>
      </c>
      <c r="O182" s="42">
        <v>0</v>
      </c>
      <c r="P182" s="42">
        <v>0</v>
      </c>
      <c r="Q182" s="20">
        <v>0</v>
      </c>
      <c r="R182" s="19">
        <f t="shared" si="23"/>
        <v>44188</v>
      </c>
      <c r="S182" s="19">
        <v>3000</v>
      </c>
      <c r="T182" s="19">
        <f t="shared" si="21"/>
        <v>47188</v>
      </c>
      <c r="U182" s="105"/>
      <c r="X182" s="10">
        <f t="shared" si="17"/>
        <v>44188</v>
      </c>
      <c r="Y182" s="2">
        <f t="shared" si="18"/>
        <v>0</v>
      </c>
      <c r="Z182" s="10">
        <f t="shared" si="22"/>
        <v>0</v>
      </c>
    </row>
    <row r="183" spans="1:26" ht="18" customHeight="1" x14ac:dyDescent="0.25">
      <c r="A183" s="11">
        <v>150</v>
      </c>
      <c r="B183" s="52">
        <v>514010689123</v>
      </c>
      <c r="C183" s="53" t="s">
        <v>434</v>
      </c>
      <c r="D183" s="14" t="s">
        <v>28</v>
      </c>
      <c r="E183" s="53" t="s">
        <v>274</v>
      </c>
      <c r="F183" s="53" t="s">
        <v>24</v>
      </c>
      <c r="G183" s="153">
        <v>1360</v>
      </c>
      <c r="H183" s="54" t="s">
        <v>25</v>
      </c>
      <c r="I183" s="54" t="s">
        <v>435</v>
      </c>
      <c r="J183" s="53">
        <v>54</v>
      </c>
      <c r="K183" s="53">
        <v>91775</v>
      </c>
      <c r="L183" s="41">
        <v>54</v>
      </c>
      <c r="M183" s="41">
        <v>91775</v>
      </c>
      <c r="N183" s="20">
        <v>0</v>
      </c>
      <c r="O183" s="42">
        <v>0</v>
      </c>
      <c r="P183" s="42">
        <v>0</v>
      </c>
      <c r="Q183" s="20">
        <v>0</v>
      </c>
      <c r="R183" s="19">
        <f t="shared" si="23"/>
        <v>91775</v>
      </c>
      <c r="S183" s="19">
        <v>3000</v>
      </c>
      <c r="T183" s="19">
        <f t="shared" si="21"/>
        <v>94775</v>
      </c>
      <c r="U183" s="105"/>
      <c r="X183" s="10">
        <f t="shared" si="17"/>
        <v>91775</v>
      </c>
      <c r="Y183" s="2">
        <f t="shared" si="18"/>
        <v>0</v>
      </c>
      <c r="Z183" s="10">
        <f t="shared" si="22"/>
        <v>0</v>
      </c>
    </row>
    <row r="184" spans="1:26" ht="18" customHeight="1" x14ac:dyDescent="0.25">
      <c r="A184" s="11">
        <v>151</v>
      </c>
      <c r="B184" s="52">
        <v>514010700319</v>
      </c>
      <c r="C184" s="53" t="s">
        <v>436</v>
      </c>
      <c r="D184" s="14" t="s">
        <v>28</v>
      </c>
      <c r="E184" s="53" t="s">
        <v>437</v>
      </c>
      <c r="F184" s="53" t="s">
        <v>24</v>
      </c>
      <c r="G184" s="153">
        <v>7700</v>
      </c>
      <c r="H184" s="54" t="s">
        <v>25</v>
      </c>
      <c r="I184" s="54" t="s">
        <v>438</v>
      </c>
      <c r="J184" s="53">
        <v>595</v>
      </c>
      <c r="K184" s="53">
        <v>1011220</v>
      </c>
      <c r="L184" s="41">
        <v>595</v>
      </c>
      <c r="M184" s="41">
        <v>1011220</v>
      </c>
      <c r="N184" s="20">
        <v>0</v>
      </c>
      <c r="O184" s="42">
        <v>0</v>
      </c>
      <c r="P184" s="42">
        <v>0</v>
      </c>
      <c r="Q184" s="20">
        <v>0</v>
      </c>
      <c r="R184" s="19">
        <f t="shared" si="23"/>
        <v>1011220</v>
      </c>
      <c r="S184" s="19">
        <v>3000</v>
      </c>
      <c r="T184" s="19">
        <f t="shared" si="21"/>
        <v>1014220</v>
      </c>
      <c r="U184" s="105"/>
      <c r="X184" s="10">
        <f t="shared" si="17"/>
        <v>1011220</v>
      </c>
      <c r="Y184" s="2">
        <f t="shared" si="18"/>
        <v>0</v>
      </c>
      <c r="Z184" s="10">
        <f t="shared" si="22"/>
        <v>0</v>
      </c>
    </row>
    <row r="185" spans="1:26" ht="18" customHeight="1" x14ac:dyDescent="0.25">
      <c r="A185" s="11">
        <v>152</v>
      </c>
      <c r="B185" s="52">
        <v>514010728046</v>
      </c>
      <c r="C185" s="53" t="s">
        <v>439</v>
      </c>
      <c r="D185" s="14" t="s">
        <v>22</v>
      </c>
      <c r="E185" s="53" t="s">
        <v>440</v>
      </c>
      <c r="F185" s="53" t="s">
        <v>24</v>
      </c>
      <c r="G185" s="153">
        <v>10600</v>
      </c>
      <c r="H185" s="54" t="s">
        <v>25</v>
      </c>
      <c r="I185" s="54" t="s">
        <v>441</v>
      </c>
      <c r="J185" s="53">
        <v>743</v>
      </c>
      <c r="K185" s="53">
        <v>1262751</v>
      </c>
      <c r="L185" s="41">
        <v>743</v>
      </c>
      <c r="M185" s="41">
        <v>1262751</v>
      </c>
      <c r="N185" s="20">
        <v>0</v>
      </c>
      <c r="O185" s="42">
        <v>0</v>
      </c>
      <c r="P185" s="42">
        <v>0</v>
      </c>
      <c r="Q185" s="20">
        <v>0</v>
      </c>
      <c r="R185" s="19">
        <f t="shared" si="23"/>
        <v>1262751</v>
      </c>
      <c r="S185" s="19">
        <v>3000</v>
      </c>
      <c r="T185" s="19">
        <f t="shared" si="21"/>
        <v>1265751</v>
      </c>
      <c r="U185" s="105"/>
      <c r="X185" s="10">
        <f t="shared" si="17"/>
        <v>1262751</v>
      </c>
      <c r="Y185" s="2">
        <f t="shared" si="18"/>
        <v>0</v>
      </c>
      <c r="Z185" s="10">
        <f t="shared" si="22"/>
        <v>0</v>
      </c>
    </row>
    <row r="186" spans="1:26" ht="18" customHeight="1" x14ac:dyDescent="0.25">
      <c r="A186" s="11">
        <v>153</v>
      </c>
      <c r="B186" s="52">
        <v>514010728053</v>
      </c>
      <c r="C186" s="53" t="s">
        <v>442</v>
      </c>
      <c r="D186" s="14" t="s">
        <v>22</v>
      </c>
      <c r="E186" s="53" t="s">
        <v>443</v>
      </c>
      <c r="F186" s="53" t="s">
        <v>24</v>
      </c>
      <c r="G186" s="153">
        <v>13200</v>
      </c>
      <c r="H186" s="54" t="s">
        <v>25</v>
      </c>
      <c r="I186" s="54" t="s">
        <v>444</v>
      </c>
      <c r="J186" s="53">
        <v>820</v>
      </c>
      <c r="K186" s="53">
        <v>1393615</v>
      </c>
      <c r="L186" s="41">
        <v>820</v>
      </c>
      <c r="M186" s="41">
        <v>1393615</v>
      </c>
      <c r="N186" s="20">
        <v>0</v>
      </c>
      <c r="O186" s="42">
        <v>0</v>
      </c>
      <c r="P186" s="42">
        <v>0</v>
      </c>
      <c r="Q186" s="20">
        <v>0</v>
      </c>
      <c r="R186" s="19">
        <f t="shared" si="23"/>
        <v>1393615</v>
      </c>
      <c r="S186" s="19">
        <v>3000</v>
      </c>
      <c r="T186" s="19">
        <f t="shared" si="21"/>
        <v>1396615</v>
      </c>
      <c r="U186" s="105"/>
      <c r="X186" s="10">
        <f t="shared" si="17"/>
        <v>1393615</v>
      </c>
      <c r="Y186" s="2">
        <f t="shared" si="18"/>
        <v>0</v>
      </c>
      <c r="Z186" s="10">
        <f t="shared" si="22"/>
        <v>0</v>
      </c>
    </row>
    <row r="187" spans="1:26" ht="18" customHeight="1" x14ac:dyDescent="0.25">
      <c r="A187" s="11">
        <v>154</v>
      </c>
      <c r="B187" s="52">
        <v>514010728061</v>
      </c>
      <c r="C187" s="53" t="s">
        <v>445</v>
      </c>
      <c r="D187" s="14" t="s">
        <v>28</v>
      </c>
      <c r="E187" s="53" t="s">
        <v>443</v>
      </c>
      <c r="F187" s="53" t="s">
        <v>24</v>
      </c>
      <c r="G187" s="153">
        <v>13200</v>
      </c>
      <c r="H187" s="54" t="s">
        <v>25</v>
      </c>
      <c r="I187" s="54" t="s">
        <v>446</v>
      </c>
      <c r="J187" s="53">
        <v>1767</v>
      </c>
      <c r="K187" s="53">
        <v>3003070</v>
      </c>
      <c r="L187" s="41">
        <v>1767</v>
      </c>
      <c r="M187" s="41">
        <v>3003070</v>
      </c>
      <c r="N187" s="20">
        <v>0</v>
      </c>
      <c r="O187" s="42">
        <v>0</v>
      </c>
      <c r="P187" s="42">
        <v>0</v>
      </c>
      <c r="Q187" s="20">
        <v>0</v>
      </c>
      <c r="R187" s="19">
        <f t="shared" si="23"/>
        <v>3003070</v>
      </c>
      <c r="S187" s="19">
        <v>3000</v>
      </c>
      <c r="T187" s="19">
        <f t="shared" si="21"/>
        <v>3006070</v>
      </c>
      <c r="U187" s="105"/>
      <c r="X187" s="10">
        <f t="shared" si="17"/>
        <v>3003070</v>
      </c>
      <c r="Y187" s="2">
        <f t="shared" si="18"/>
        <v>0</v>
      </c>
      <c r="Z187" s="10">
        <f t="shared" si="22"/>
        <v>0</v>
      </c>
    </row>
    <row r="188" spans="1:26" ht="18" customHeight="1" x14ac:dyDescent="0.25">
      <c r="A188" s="11">
        <v>155</v>
      </c>
      <c r="B188" s="52">
        <v>514010732104</v>
      </c>
      <c r="C188" s="53" t="s">
        <v>447</v>
      </c>
      <c r="D188" s="14" t="s">
        <v>28</v>
      </c>
      <c r="E188" s="53" t="s">
        <v>448</v>
      </c>
      <c r="F188" s="53" t="s">
        <v>24</v>
      </c>
      <c r="G188" s="153">
        <v>13200</v>
      </c>
      <c r="H188" s="54" t="s">
        <v>25</v>
      </c>
      <c r="I188" s="54" t="s">
        <v>449</v>
      </c>
      <c r="J188" s="53">
        <v>1256</v>
      </c>
      <c r="K188" s="53">
        <v>2134610</v>
      </c>
      <c r="L188" s="41">
        <v>1256</v>
      </c>
      <c r="M188" s="41">
        <v>2134610</v>
      </c>
      <c r="N188" s="20">
        <v>0</v>
      </c>
      <c r="O188" s="42">
        <v>0</v>
      </c>
      <c r="P188" s="42">
        <v>0</v>
      </c>
      <c r="Q188" s="20">
        <v>0</v>
      </c>
      <c r="R188" s="19">
        <f t="shared" si="23"/>
        <v>2134610</v>
      </c>
      <c r="S188" s="19">
        <v>3000</v>
      </c>
      <c r="T188" s="19">
        <f t="shared" si="21"/>
        <v>2137610</v>
      </c>
      <c r="U188" s="105"/>
      <c r="X188" s="10">
        <f t="shared" si="17"/>
        <v>2134610</v>
      </c>
      <c r="Y188" s="2">
        <f t="shared" si="18"/>
        <v>0</v>
      </c>
      <c r="Z188" s="10">
        <f t="shared" si="22"/>
        <v>0</v>
      </c>
    </row>
    <row r="189" spans="1:26" ht="18" customHeight="1" x14ac:dyDescent="0.25">
      <c r="A189" s="11">
        <v>156</v>
      </c>
      <c r="B189" s="52">
        <v>514010742742</v>
      </c>
      <c r="C189" s="53" t="s">
        <v>450</v>
      </c>
      <c r="D189" s="14" t="s">
        <v>22</v>
      </c>
      <c r="E189" s="53" t="s">
        <v>451</v>
      </c>
      <c r="F189" s="53" t="s">
        <v>24</v>
      </c>
      <c r="G189" s="153">
        <v>4400</v>
      </c>
      <c r="H189" s="54" t="s">
        <v>25</v>
      </c>
      <c r="I189" s="54" t="s">
        <v>452</v>
      </c>
      <c r="J189" s="53">
        <v>533</v>
      </c>
      <c r="K189" s="53">
        <v>905849</v>
      </c>
      <c r="L189" s="41">
        <v>533</v>
      </c>
      <c r="M189" s="41">
        <v>905849</v>
      </c>
      <c r="N189" s="20">
        <v>0</v>
      </c>
      <c r="O189" s="42">
        <v>0</v>
      </c>
      <c r="P189" s="42">
        <v>0</v>
      </c>
      <c r="Q189" s="20">
        <v>0</v>
      </c>
      <c r="R189" s="19">
        <f t="shared" si="23"/>
        <v>905849</v>
      </c>
      <c r="S189" s="19">
        <v>3000</v>
      </c>
      <c r="T189" s="19">
        <f t="shared" si="21"/>
        <v>908849</v>
      </c>
      <c r="U189" s="105"/>
      <c r="X189" s="10">
        <f t="shared" si="17"/>
        <v>905849</v>
      </c>
      <c r="Y189" s="2">
        <f t="shared" si="18"/>
        <v>0</v>
      </c>
      <c r="Z189" s="10">
        <f t="shared" si="22"/>
        <v>0</v>
      </c>
    </row>
    <row r="190" spans="1:26" ht="18" customHeight="1" x14ac:dyDescent="0.25">
      <c r="A190" s="11">
        <v>157</v>
      </c>
      <c r="B190" s="52">
        <v>514010777932</v>
      </c>
      <c r="C190" s="53" t="s">
        <v>285</v>
      </c>
      <c r="D190" s="14" t="s">
        <v>28</v>
      </c>
      <c r="E190" s="53" t="s">
        <v>76</v>
      </c>
      <c r="F190" s="53" t="s">
        <v>24</v>
      </c>
      <c r="G190" s="153">
        <v>4400</v>
      </c>
      <c r="H190" s="54" t="s">
        <v>25</v>
      </c>
      <c r="I190" s="54" t="s">
        <v>453</v>
      </c>
      <c r="J190" s="53">
        <v>1274</v>
      </c>
      <c r="K190" s="53">
        <v>2165201</v>
      </c>
      <c r="L190" s="41">
        <v>1274</v>
      </c>
      <c r="M190" s="41">
        <v>2165201</v>
      </c>
      <c r="N190" s="20">
        <v>0</v>
      </c>
      <c r="O190" s="42">
        <v>0</v>
      </c>
      <c r="P190" s="42">
        <v>0</v>
      </c>
      <c r="Q190" s="20">
        <v>0</v>
      </c>
      <c r="R190" s="19">
        <f t="shared" si="23"/>
        <v>2165201</v>
      </c>
      <c r="S190" s="19">
        <v>3000</v>
      </c>
      <c r="T190" s="19">
        <f t="shared" si="21"/>
        <v>2168201</v>
      </c>
      <c r="U190" s="105"/>
      <c r="X190" s="10">
        <f t="shared" si="17"/>
        <v>2165201</v>
      </c>
      <c r="Y190" s="2">
        <f t="shared" si="18"/>
        <v>0</v>
      </c>
      <c r="Z190" s="10">
        <f t="shared" si="22"/>
        <v>0</v>
      </c>
    </row>
    <row r="191" spans="1:26" ht="18" customHeight="1" x14ac:dyDescent="0.25">
      <c r="A191" s="11">
        <v>158</v>
      </c>
      <c r="B191" s="52">
        <v>514010777940</v>
      </c>
      <c r="C191" s="53" t="s">
        <v>454</v>
      </c>
      <c r="D191" s="14" t="s">
        <v>22</v>
      </c>
      <c r="E191" s="53" t="s">
        <v>223</v>
      </c>
      <c r="F191" s="53" t="s">
        <v>24</v>
      </c>
      <c r="G191" s="153">
        <v>4400</v>
      </c>
      <c r="H191" s="54" t="s">
        <v>25</v>
      </c>
      <c r="I191" s="54" t="s">
        <v>455</v>
      </c>
      <c r="J191" s="53">
        <v>1171</v>
      </c>
      <c r="K191" s="53">
        <v>1990150</v>
      </c>
      <c r="L191" s="41">
        <v>1171</v>
      </c>
      <c r="M191" s="41">
        <v>1990150</v>
      </c>
      <c r="N191" s="20">
        <v>0</v>
      </c>
      <c r="O191" s="42">
        <v>0</v>
      </c>
      <c r="P191" s="42">
        <v>0</v>
      </c>
      <c r="Q191" s="20">
        <v>0</v>
      </c>
      <c r="R191" s="19">
        <f t="shared" si="23"/>
        <v>1990150</v>
      </c>
      <c r="S191" s="19">
        <v>3000</v>
      </c>
      <c r="T191" s="19">
        <f t="shared" si="21"/>
        <v>1993150</v>
      </c>
      <c r="U191" s="105"/>
      <c r="X191" s="10">
        <f t="shared" si="17"/>
        <v>1990150</v>
      </c>
      <c r="Y191" s="2">
        <f t="shared" si="18"/>
        <v>0</v>
      </c>
      <c r="Z191" s="10">
        <f t="shared" si="22"/>
        <v>0</v>
      </c>
    </row>
    <row r="192" spans="1:26" ht="18" customHeight="1" x14ac:dyDescent="0.25">
      <c r="A192" s="11">
        <v>159</v>
      </c>
      <c r="B192" s="52">
        <v>514010777957</v>
      </c>
      <c r="C192" s="53" t="s">
        <v>456</v>
      </c>
      <c r="D192" s="14" t="s">
        <v>22</v>
      </c>
      <c r="E192" s="53" t="s">
        <v>457</v>
      </c>
      <c r="F192" s="53" t="s">
        <v>24</v>
      </c>
      <c r="G192" s="153">
        <v>4400</v>
      </c>
      <c r="H192" s="54" t="s">
        <v>25</v>
      </c>
      <c r="I192" s="54" t="s">
        <v>458</v>
      </c>
      <c r="J192" s="53">
        <v>1198</v>
      </c>
      <c r="K192" s="53">
        <v>2036037</v>
      </c>
      <c r="L192" s="41">
        <v>1198</v>
      </c>
      <c r="M192" s="41">
        <v>2036037</v>
      </c>
      <c r="N192" s="20">
        <v>0</v>
      </c>
      <c r="O192" s="42">
        <v>0</v>
      </c>
      <c r="P192" s="42">
        <v>0</v>
      </c>
      <c r="Q192" s="20">
        <v>0</v>
      </c>
      <c r="R192" s="19">
        <f t="shared" si="23"/>
        <v>2036037</v>
      </c>
      <c r="S192" s="19">
        <v>3000</v>
      </c>
      <c r="T192" s="19">
        <f t="shared" si="21"/>
        <v>2039037</v>
      </c>
      <c r="U192" s="105"/>
      <c r="X192" s="10">
        <f t="shared" si="17"/>
        <v>2036037</v>
      </c>
      <c r="Y192" s="2">
        <f t="shared" si="18"/>
        <v>0</v>
      </c>
      <c r="Z192" s="10">
        <f t="shared" si="22"/>
        <v>0</v>
      </c>
    </row>
    <row r="193" spans="1:26" ht="18" customHeight="1" x14ac:dyDescent="0.25">
      <c r="A193" s="11">
        <v>160</v>
      </c>
      <c r="B193" s="52">
        <v>514010777965</v>
      </c>
      <c r="C193" s="53" t="s">
        <v>328</v>
      </c>
      <c r="D193" s="14" t="s">
        <v>28</v>
      </c>
      <c r="E193" s="53" t="s">
        <v>329</v>
      </c>
      <c r="F193" s="53" t="s">
        <v>24</v>
      </c>
      <c r="G193" s="153">
        <v>3500</v>
      </c>
      <c r="H193" s="54" t="s">
        <v>25</v>
      </c>
      <c r="I193" s="54" t="s">
        <v>459</v>
      </c>
      <c r="J193" s="53">
        <v>1092</v>
      </c>
      <c r="K193" s="53">
        <v>1855887</v>
      </c>
      <c r="L193" s="41">
        <v>1092</v>
      </c>
      <c r="M193" s="41">
        <v>1855887</v>
      </c>
      <c r="N193" s="20">
        <v>0</v>
      </c>
      <c r="O193" s="42">
        <v>0</v>
      </c>
      <c r="P193" s="42">
        <v>0</v>
      </c>
      <c r="Q193" s="20">
        <v>0</v>
      </c>
      <c r="R193" s="19">
        <f t="shared" si="23"/>
        <v>1855887</v>
      </c>
      <c r="S193" s="19">
        <v>3000</v>
      </c>
      <c r="T193" s="19">
        <f t="shared" si="21"/>
        <v>1858887</v>
      </c>
      <c r="U193" s="105"/>
      <c r="X193" s="10">
        <f t="shared" si="17"/>
        <v>1855887</v>
      </c>
      <c r="Y193" s="2">
        <f t="shared" si="18"/>
        <v>0</v>
      </c>
      <c r="Z193" s="10">
        <f t="shared" si="22"/>
        <v>0</v>
      </c>
    </row>
    <row r="194" spans="1:26" ht="18" customHeight="1" x14ac:dyDescent="0.25">
      <c r="A194" s="11"/>
      <c r="B194" s="52"/>
      <c r="C194" s="53"/>
      <c r="D194" s="14"/>
      <c r="E194" s="53"/>
      <c r="F194" s="53"/>
      <c r="G194" s="153"/>
      <c r="H194" s="54"/>
      <c r="I194" s="54"/>
      <c r="J194" s="53"/>
      <c r="K194" s="53"/>
      <c r="L194" s="41"/>
      <c r="M194" s="41"/>
      <c r="N194" s="20"/>
      <c r="O194" s="42"/>
      <c r="P194" s="42"/>
      <c r="Q194" s="20"/>
      <c r="R194" s="19"/>
      <c r="S194" s="19"/>
      <c r="T194" s="19"/>
      <c r="U194" s="105"/>
      <c r="X194" s="10"/>
      <c r="Z194" s="10"/>
    </row>
    <row r="195" spans="1:26" s="25" customFormat="1" ht="33" customHeight="1" x14ac:dyDescent="0.25">
      <c r="A195" s="190" t="s">
        <v>139</v>
      </c>
      <c r="B195" s="190"/>
      <c r="C195" s="190"/>
      <c r="D195" s="190"/>
      <c r="E195" s="190"/>
      <c r="F195" s="190"/>
      <c r="G195" s="36">
        <f t="shared" ref="G195:T195" si="24">SUM(G153:G193)</f>
        <v>826780</v>
      </c>
      <c r="H195" s="36">
        <f t="shared" si="24"/>
        <v>0</v>
      </c>
      <c r="I195" s="36">
        <f t="shared" si="24"/>
        <v>0</v>
      </c>
      <c r="J195" s="36"/>
      <c r="K195" s="36"/>
      <c r="L195" s="36">
        <f t="shared" si="24"/>
        <v>211033</v>
      </c>
      <c r="M195" s="37">
        <f t="shared" si="24"/>
        <v>358656917</v>
      </c>
      <c r="N195" s="38">
        <f t="shared" si="24"/>
        <v>0</v>
      </c>
      <c r="O195" s="38">
        <f t="shared" si="24"/>
        <v>0</v>
      </c>
      <c r="P195" s="38">
        <f t="shared" si="24"/>
        <v>0</v>
      </c>
      <c r="Q195" s="38">
        <f t="shared" si="24"/>
        <v>30000</v>
      </c>
      <c r="R195" s="37">
        <f t="shared" si="24"/>
        <v>358686917</v>
      </c>
      <c r="S195" s="37">
        <f t="shared" si="24"/>
        <v>480000</v>
      </c>
      <c r="T195" s="37">
        <f t="shared" si="24"/>
        <v>359166917</v>
      </c>
      <c r="U195" s="147"/>
      <c r="X195" s="10">
        <f t="shared" si="17"/>
        <v>358656917</v>
      </c>
      <c r="Y195" s="2">
        <f t="shared" si="18"/>
        <v>10000</v>
      </c>
      <c r="Z195" s="10"/>
    </row>
    <row r="196" spans="1:26" ht="18" customHeight="1" x14ac:dyDescent="0.25">
      <c r="C196" s="4"/>
      <c r="D196" s="4"/>
      <c r="E196" s="4"/>
      <c r="G196" s="43"/>
      <c r="L196" s="31"/>
      <c r="X196" s="10">
        <f t="shared" si="17"/>
        <v>0</v>
      </c>
      <c r="Y196" s="2">
        <f t="shared" si="18"/>
        <v>0</v>
      </c>
      <c r="Z196" s="10"/>
    </row>
    <row r="197" spans="1:26" ht="18" customHeight="1" x14ac:dyDescent="0.25">
      <c r="C197" s="4"/>
      <c r="D197" s="4"/>
      <c r="E197" s="4"/>
      <c r="G197" s="43"/>
      <c r="L197" s="31"/>
      <c r="X197" s="10"/>
      <c r="Z197" s="10"/>
    </row>
    <row r="198" spans="1:26" s="84" customFormat="1" ht="39" customHeight="1" x14ac:dyDescent="0.25">
      <c r="A198" s="9" t="s">
        <v>4</v>
      </c>
      <c r="B198" s="21" t="s">
        <v>5</v>
      </c>
      <c r="C198" s="21" t="s">
        <v>6</v>
      </c>
      <c r="D198" s="12"/>
      <c r="E198" s="9" t="s">
        <v>7</v>
      </c>
      <c r="F198" s="21" t="s">
        <v>8</v>
      </c>
      <c r="G198" s="21" t="s">
        <v>9</v>
      </c>
      <c r="H198" s="21" t="s">
        <v>10</v>
      </c>
      <c r="I198" s="21" t="s">
        <v>11</v>
      </c>
      <c r="J198" s="21" t="s">
        <v>12</v>
      </c>
      <c r="K198" s="21" t="s">
        <v>13</v>
      </c>
      <c r="L198" s="21" t="s">
        <v>14</v>
      </c>
      <c r="M198" s="143" t="s">
        <v>15</v>
      </c>
      <c r="N198" s="144" t="s">
        <v>16</v>
      </c>
      <c r="O198" s="144" t="s">
        <v>17</v>
      </c>
      <c r="P198" s="144" t="s">
        <v>18</v>
      </c>
      <c r="Q198" s="144" t="s">
        <v>19</v>
      </c>
      <c r="R198" s="143" t="s">
        <v>20</v>
      </c>
      <c r="S198" s="143" t="s">
        <v>3471</v>
      </c>
      <c r="T198" s="143" t="s">
        <v>3472</v>
      </c>
      <c r="U198" s="145"/>
      <c r="V198" s="145"/>
      <c r="W198" s="145"/>
      <c r="X198" s="145"/>
    </row>
    <row r="199" spans="1:26" ht="18" customHeight="1" x14ac:dyDescent="0.25">
      <c r="A199" s="14"/>
      <c r="B199" s="15"/>
      <c r="C199" s="15"/>
      <c r="D199" s="15"/>
      <c r="E199" s="15"/>
      <c r="F199" s="15"/>
      <c r="G199" s="15"/>
      <c r="H199" s="15"/>
      <c r="I199" s="15" t="s">
        <v>0</v>
      </c>
      <c r="J199" s="15"/>
      <c r="K199" s="15"/>
      <c r="L199" s="18" t="s">
        <v>0</v>
      </c>
      <c r="M199" s="19"/>
      <c r="N199" s="20"/>
      <c r="O199" s="20"/>
      <c r="P199" s="20"/>
      <c r="Q199" s="20"/>
      <c r="R199" s="19"/>
      <c r="S199" s="19"/>
      <c r="T199" s="19"/>
      <c r="U199" s="105"/>
      <c r="X199" s="10">
        <f t="shared" si="17"/>
        <v>0</v>
      </c>
      <c r="Y199" s="2">
        <f t="shared" si="18"/>
        <v>0</v>
      </c>
      <c r="Z199" s="10"/>
    </row>
    <row r="200" spans="1:26" ht="18" customHeight="1" x14ac:dyDescent="0.25">
      <c r="A200" s="14"/>
      <c r="B200" s="15"/>
      <c r="C200" s="40"/>
      <c r="D200" s="40"/>
      <c r="E200" s="35" t="s">
        <v>141</v>
      </c>
      <c r="F200" s="15"/>
      <c r="G200" s="36">
        <f>G195</f>
        <v>826780</v>
      </c>
      <c r="H200" s="36">
        <f t="shared" ref="H200:R200" si="25">H195</f>
        <v>0</v>
      </c>
      <c r="I200" s="36">
        <f t="shared" si="25"/>
        <v>0</v>
      </c>
      <c r="J200" s="36"/>
      <c r="K200" s="36"/>
      <c r="L200" s="36">
        <f t="shared" si="25"/>
        <v>211033</v>
      </c>
      <c r="M200" s="32">
        <f t="shared" si="25"/>
        <v>358656917</v>
      </c>
      <c r="N200" s="33">
        <f t="shared" si="25"/>
        <v>0</v>
      </c>
      <c r="O200" s="33">
        <f t="shared" si="25"/>
        <v>0</v>
      </c>
      <c r="P200" s="33">
        <f t="shared" si="25"/>
        <v>0</v>
      </c>
      <c r="Q200" s="33">
        <f t="shared" si="25"/>
        <v>30000</v>
      </c>
      <c r="R200" s="32">
        <f t="shared" si="25"/>
        <v>358686917</v>
      </c>
      <c r="S200" s="32">
        <f>S195</f>
        <v>480000</v>
      </c>
      <c r="T200" s="32">
        <f>T195</f>
        <v>359166917</v>
      </c>
      <c r="U200" s="127"/>
      <c r="X200" s="10">
        <f t="shared" si="17"/>
        <v>358656917</v>
      </c>
      <c r="Y200" s="2">
        <f t="shared" si="18"/>
        <v>10000</v>
      </c>
      <c r="Z200" s="10"/>
    </row>
    <row r="201" spans="1:26" ht="18" customHeight="1" x14ac:dyDescent="0.25">
      <c r="A201" s="11">
        <v>161</v>
      </c>
      <c r="B201" s="52">
        <v>514010777973</v>
      </c>
      <c r="C201" s="53" t="s">
        <v>396</v>
      </c>
      <c r="D201" s="14" t="s">
        <v>22</v>
      </c>
      <c r="E201" s="53" t="s">
        <v>397</v>
      </c>
      <c r="F201" s="53" t="s">
        <v>24</v>
      </c>
      <c r="G201" s="153">
        <v>3500</v>
      </c>
      <c r="H201" s="54" t="s">
        <v>25</v>
      </c>
      <c r="I201" s="54" t="s">
        <v>460</v>
      </c>
      <c r="J201" s="53">
        <v>1059</v>
      </c>
      <c r="K201" s="53">
        <v>1799802</v>
      </c>
      <c r="L201" s="41">
        <v>1059</v>
      </c>
      <c r="M201" s="44">
        <v>1799802</v>
      </c>
      <c r="N201" s="20">
        <v>0</v>
      </c>
      <c r="O201" s="42">
        <v>0</v>
      </c>
      <c r="P201" s="42">
        <v>0</v>
      </c>
      <c r="Q201" s="20">
        <v>0</v>
      </c>
      <c r="R201" s="19">
        <f>M201+N201+O201+P201+Q201</f>
        <v>1799802</v>
      </c>
      <c r="S201" s="19">
        <v>3000</v>
      </c>
      <c r="T201" s="19">
        <f t="shared" ref="T201:T240" si="26">R201+S201</f>
        <v>1802802</v>
      </c>
      <c r="U201" s="105"/>
      <c r="X201" s="10">
        <f t="shared" si="17"/>
        <v>1799802</v>
      </c>
      <c r="Y201" s="2">
        <f t="shared" si="18"/>
        <v>0</v>
      </c>
      <c r="Z201" s="10">
        <f t="shared" ref="Z201:Z241" si="27">Q201-Y201</f>
        <v>0</v>
      </c>
    </row>
    <row r="202" spans="1:26" ht="18" customHeight="1" x14ac:dyDescent="0.25">
      <c r="A202" s="11">
        <v>162</v>
      </c>
      <c r="B202" s="52">
        <v>514010778449</v>
      </c>
      <c r="C202" s="53" t="s">
        <v>461</v>
      </c>
      <c r="D202" s="14" t="s">
        <v>22</v>
      </c>
      <c r="E202" s="53" t="s">
        <v>462</v>
      </c>
      <c r="F202" s="53" t="s">
        <v>24</v>
      </c>
      <c r="G202" s="153">
        <v>5500</v>
      </c>
      <c r="H202" s="54" t="s">
        <v>25</v>
      </c>
      <c r="I202" s="54" t="s">
        <v>463</v>
      </c>
      <c r="J202" s="53">
        <v>1290</v>
      </c>
      <c r="K202" s="53">
        <v>2192394</v>
      </c>
      <c r="L202" s="41">
        <v>1290</v>
      </c>
      <c r="M202" s="44">
        <v>2192394</v>
      </c>
      <c r="N202" s="20">
        <v>0</v>
      </c>
      <c r="O202" s="42">
        <v>0</v>
      </c>
      <c r="P202" s="42">
        <v>0</v>
      </c>
      <c r="Q202" s="20">
        <v>0</v>
      </c>
      <c r="R202" s="19">
        <f t="shared" ref="R202:R240" si="28">M202+N202+O202+P202+Q202</f>
        <v>2192394</v>
      </c>
      <c r="S202" s="19">
        <v>3000</v>
      </c>
      <c r="T202" s="19">
        <f t="shared" si="26"/>
        <v>2195394</v>
      </c>
      <c r="U202" s="105"/>
      <c r="X202" s="10">
        <f t="shared" si="17"/>
        <v>2192394</v>
      </c>
      <c r="Y202" s="2">
        <f t="shared" si="18"/>
        <v>0</v>
      </c>
      <c r="Z202" s="10">
        <f t="shared" si="27"/>
        <v>0</v>
      </c>
    </row>
    <row r="203" spans="1:26" ht="18" customHeight="1" x14ac:dyDescent="0.25">
      <c r="A203" s="11">
        <v>163</v>
      </c>
      <c r="B203" s="52">
        <v>514010778456</v>
      </c>
      <c r="C203" s="53" t="s">
        <v>464</v>
      </c>
      <c r="D203" s="14" t="s">
        <v>22</v>
      </c>
      <c r="E203" s="53" t="s">
        <v>307</v>
      </c>
      <c r="F203" s="53" t="s">
        <v>24</v>
      </c>
      <c r="G203" s="153">
        <v>11000</v>
      </c>
      <c r="H203" s="54" t="s">
        <v>25</v>
      </c>
      <c r="I203" s="54" t="s">
        <v>465</v>
      </c>
      <c r="J203" s="53">
        <v>2181</v>
      </c>
      <c r="K203" s="53">
        <v>3706675</v>
      </c>
      <c r="L203" s="41">
        <v>2181</v>
      </c>
      <c r="M203" s="44">
        <v>3706675</v>
      </c>
      <c r="N203" s="20">
        <v>0</v>
      </c>
      <c r="O203" s="42">
        <v>0</v>
      </c>
      <c r="P203" s="42">
        <v>0</v>
      </c>
      <c r="Q203" s="20">
        <v>0</v>
      </c>
      <c r="R203" s="19">
        <f t="shared" si="28"/>
        <v>3706675</v>
      </c>
      <c r="S203" s="19">
        <v>3000</v>
      </c>
      <c r="T203" s="19">
        <f t="shared" si="26"/>
        <v>3709675</v>
      </c>
      <c r="U203" s="105"/>
      <c r="X203" s="10">
        <f t="shared" si="17"/>
        <v>3706675</v>
      </c>
      <c r="Y203" s="2">
        <f t="shared" si="18"/>
        <v>0</v>
      </c>
      <c r="Z203" s="10">
        <f t="shared" si="27"/>
        <v>0</v>
      </c>
    </row>
    <row r="204" spans="1:26" ht="18" customHeight="1" x14ac:dyDescent="0.25">
      <c r="A204" s="11">
        <v>164</v>
      </c>
      <c r="B204" s="52">
        <v>514010778464</v>
      </c>
      <c r="C204" s="53" t="s">
        <v>466</v>
      </c>
      <c r="D204" s="14" t="s">
        <v>22</v>
      </c>
      <c r="E204" s="53" t="s">
        <v>467</v>
      </c>
      <c r="F204" s="53" t="s">
        <v>24</v>
      </c>
      <c r="G204" s="153">
        <v>4400</v>
      </c>
      <c r="H204" s="54" t="s">
        <v>25</v>
      </c>
      <c r="I204" s="54" t="s">
        <v>468</v>
      </c>
      <c r="J204" s="53">
        <v>1033</v>
      </c>
      <c r="K204" s="53">
        <v>1755614</v>
      </c>
      <c r="L204" s="41">
        <v>1033</v>
      </c>
      <c r="M204" s="44">
        <v>1755614</v>
      </c>
      <c r="N204" s="20">
        <v>0</v>
      </c>
      <c r="O204" s="42">
        <v>0</v>
      </c>
      <c r="P204" s="42">
        <v>0</v>
      </c>
      <c r="Q204" s="20">
        <v>0</v>
      </c>
      <c r="R204" s="19">
        <f t="shared" si="28"/>
        <v>1755614</v>
      </c>
      <c r="S204" s="19">
        <v>3000</v>
      </c>
      <c r="T204" s="19">
        <f t="shared" si="26"/>
        <v>1758614</v>
      </c>
      <c r="U204" s="105"/>
      <c r="X204" s="10">
        <f t="shared" si="17"/>
        <v>1755614</v>
      </c>
      <c r="Y204" s="2">
        <f t="shared" si="18"/>
        <v>0</v>
      </c>
      <c r="Z204" s="10">
        <f t="shared" si="27"/>
        <v>0</v>
      </c>
    </row>
    <row r="205" spans="1:26" ht="18" customHeight="1" x14ac:dyDescent="0.25">
      <c r="A205" s="11">
        <v>165</v>
      </c>
      <c r="B205" s="52">
        <v>514010778472</v>
      </c>
      <c r="C205" s="53" t="s">
        <v>469</v>
      </c>
      <c r="D205" s="14" t="s">
        <v>22</v>
      </c>
      <c r="E205" s="53" t="s">
        <v>125</v>
      </c>
      <c r="F205" s="53" t="s">
        <v>24</v>
      </c>
      <c r="G205" s="153">
        <v>4400</v>
      </c>
      <c r="H205" s="54" t="s">
        <v>25</v>
      </c>
      <c r="I205" s="54" t="s">
        <v>470</v>
      </c>
      <c r="J205" s="53">
        <v>176</v>
      </c>
      <c r="K205" s="53">
        <v>299117</v>
      </c>
      <c r="L205" s="41">
        <v>176</v>
      </c>
      <c r="M205" s="44">
        <v>299117</v>
      </c>
      <c r="N205" s="20">
        <v>0</v>
      </c>
      <c r="O205" s="42">
        <v>0</v>
      </c>
      <c r="P205" s="42">
        <v>0</v>
      </c>
      <c r="Q205" s="20">
        <v>0</v>
      </c>
      <c r="R205" s="19">
        <f t="shared" si="28"/>
        <v>299117</v>
      </c>
      <c r="S205" s="19">
        <v>3000</v>
      </c>
      <c r="T205" s="19">
        <f t="shared" si="26"/>
        <v>302117</v>
      </c>
      <c r="U205" s="105"/>
      <c r="X205" s="10">
        <f t="shared" si="17"/>
        <v>299117</v>
      </c>
      <c r="Y205" s="2">
        <f t="shared" si="18"/>
        <v>0</v>
      </c>
      <c r="Z205" s="10">
        <f t="shared" si="27"/>
        <v>0</v>
      </c>
    </row>
    <row r="206" spans="1:26" ht="18" customHeight="1" x14ac:dyDescent="0.25">
      <c r="A206" s="11">
        <v>166</v>
      </c>
      <c r="B206" s="52">
        <v>514010778480</v>
      </c>
      <c r="C206" s="53" t="s">
        <v>471</v>
      </c>
      <c r="D206" s="14" t="s">
        <v>22</v>
      </c>
      <c r="E206" s="53" t="s">
        <v>440</v>
      </c>
      <c r="F206" s="53" t="s">
        <v>24</v>
      </c>
      <c r="G206" s="153">
        <v>5500</v>
      </c>
      <c r="H206" s="54" t="s">
        <v>25</v>
      </c>
      <c r="I206" s="54" t="s">
        <v>472</v>
      </c>
      <c r="J206" s="53">
        <v>1901</v>
      </c>
      <c r="K206" s="53">
        <v>3230807</v>
      </c>
      <c r="L206" s="41">
        <v>1901</v>
      </c>
      <c r="M206" s="44">
        <v>3230807</v>
      </c>
      <c r="N206" s="20">
        <v>0</v>
      </c>
      <c r="O206" s="42">
        <v>0</v>
      </c>
      <c r="P206" s="42">
        <v>0</v>
      </c>
      <c r="Q206" s="20">
        <v>0</v>
      </c>
      <c r="R206" s="19">
        <f t="shared" si="28"/>
        <v>3230807</v>
      </c>
      <c r="S206" s="19">
        <v>3000</v>
      </c>
      <c r="T206" s="19">
        <f t="shared" si="26"/>
        <v>3233807</v>
      </c>
      <c r="U206" s="105"/>
      <c r="X206" s="10">
        <f t="shared" si="17"/>
        <v>3230807</v>
      </c>
      <c r="Y206" s="2">
        <f t="shared" si="18"/>
        <v>0</v>
      </c>
      <c r="Z206" s="10">
        <f t="shared" si="27"/>
        <v>0</v>
      </c>
    </row>
    <row r="207" spans="1:26" ht="18" customHeight="1" x14ac:dyDescent="0.25">
      <c r="A207" s="11">
        <v>167</v>
      </c>
      <c r="B207" s="52">
        <v>514010778498</v>
      </c>
      <c r="C207" s="53" t="s">
        <v>473</v>
      </c>
      <c r="D207" s="14" t="s">
        <v>22</v>
      </c>
      <c r="E207" s="53" t="s">
        <v>286</v>
      </c>
      <c r="F207" s="53" t="s">
        <v>24</v>
      </c>
      <c r="G207" s="153">
        <v>5500</v>
      </c>
      <c r="H207" s="54" t="s">
        <v>25</v>
      </c>
      <c r="I207" s="54" t="s">
        <v>474</v>
      </c>
      <c r="J207" s="53">
        <v>1858</v>
      </c>
      <c r="K207" s="53">
        <v>3157727</v>
      </c>
      <c r="L207" s="41">
        <v>1858</v>
      </c>
      <c r="M207" s="44">
        <v>3157727</v>
      </c>
      <c r="N207" s="20">
        <v>0</v>
      </c>
      <c r="O207" s="42">
        <v>0</v>
      </c>
      <c r="P207" s="42">
        <v>0</v>
      </c>
      <c r="Q207" s="20">
        <v>0</v>
      </c>
      <c r="R207" s="19">
        <f t="shared" si="28"/>
        <v>3157727</v>
      </c>
      <c r="S207" s="19">
        <v>3000</v>
      </c>
      <c r="T207" s="19">
        <f t="shared" si="26"/>
        <v>3160727</v>
      </c>
      <c r="U207" s="105"/>
      <c r="X207" s="10">
        <f t="shared" si="17"/>
        <v>3157727</v>
      </c>
      <c r="Y207" s="2">
        <f t="shared" si="18"/>
        <v>0</v>
      </c>
      <c r="Z207" s="10">
        <f t="shared" si="27"/>
        <v>0</v>
      </c>
    </row>
    <row r="208" spans="1:26" ht="18" customHeight="1" x14ac:dyDescent="0.25">
      <c r="A208" s="11">
        <v>168</v>
      </c>
      <c r="B208" s="52">
        <v>514010778502</v>
      </c>
      <c r="C208" s="53" t="s">
        <v>475</v>
      </c>
      <c r="D208" s="14" t="s">
        <v>22</v>
      </c>
      <c r="E208" s="53" t="s">
        <v>46</v>
      </c>
      <c r="F208" s="53" t="s">
        <v>24</v>
      </c>
      <c r="G208" s="153">
        <v>3500</v>
      </c>
      <c r="H208" s="54" t="s">
        <v>25</v>
      </c>
      <c r="I208" s="54" t="s">
        <v>476</v>
      </c>
      <c r="J208" s="53">
        <v>2195</v>
      </c>
      <c r="K208" s="53">
        <v>3730468</v>
      </c>
      <c r="L208" s="41">
        <v>2195</v>
      </c>
      <c r="M208" s="44">
        <v>3730468</v>
      </c>
      <c r="N208" s="20">
        <v>0</v>
      </c>
      <c r="O208" s="42">
        <v>0</v>
      </c>
      <c r="P208" s="42">
        <v>0</v>
      </c>
      <c r="Q208" s="20">
        <v>0</v>
      </c>
      <c r="R208" s="19">
        <f t="shared" si="28"/>
        <v>3730468</v>
      </c>
      <c r="S208" s="19">
        <v>3000</v>
      </c>
      <c r="T208" s="19">
        <f t="shared" si="26"/>
        <v>3733468</v>
      </c>
      <c r="U208" s="105"/>
      <c r="X208" s="10">
        <f t="shared" si="17"/>
        <v>3730468</v>
      </c>
      <c r="Y208" s="2">
        <f t="shared" si="18"/>
        <v>0</v>
      </c>
      <c r="Z208" s="10">
        <f t="shared" si="27"/>
        <v>0</v>
      </c>
    </row>
    <row r="209" spans="1:26" ht="18" customHeight="1" x14ac:dyDescent="0.25">
      <c r="A209" s="11">
        <v>169</v>
      </c>
      <c r="B209" s="52">
        <v>514010778510</v>
      </c>
      <c r="C209" s="53" t="s">
        <v>477</v>
      </c>
      <c r="D209" s="14" t="s">
        <v>28</v>
      </c>
      <c r="E209" s="53" t="s">
        <v>196</v>
      </c>
      <c r="F209" s="53" t="s">
        <v>24</v>
      </c>
      <c r="G209" s="153">
        <v>5500</v>
      </c>
      <c r="H209" s="54" t="s">
        <v>25</v>
      </c>
      <c r="I209" s="54" t="s">
        <v>478</v>
      </c>
      <c r="J209" s="53">
        <v>909</v>
      </c>
      <c r="K209" s="53">
        <v>1544873</v>
      </c>
      <c r="L209" s="41">
        <v>909</v>
      </c>
      <c r="M209" s="44">
        <v>1544873</v>
      </c>
      <c r="N209" s="20">
        <v>0</v>
      </c>
      <c r="O209" s="42">
        <v>0</v>
      </c>
      <c r="P209" s="42">
        <v>0</v>
      </c>
      <c r="Q209" s="20">
        <v>0</v>
      </c>
      <c r="R209" s="19">
        <f t="shared" si="28"/>
        <v>1544873</v>
      </c>
      <c r="S209" s="19">
        <v>3000</v>
      </c>
      <c r="T209" s="19">
        <f t="shared" si="26"/>
        <v>1547873</v>
      </c>
      <c r="U209" s="105"/>
      <c r="X209" s="10">
        <f t="shared" si="17"/>
        <v>1544873</v>
      </c>
      <c r="Y209" s="2">
        <f t="shared" si="18"/>
        <v>0</v>
      </c>
      <c r="Z209" s="10">
        <f t="shared" si="27"/>
        <v>0</v>
      </c>
    </row>
    <row r="210" spans="1:26" ht="18" customHeight="1" x14ac:dyDescent="0.25">
      <c r="A210" s="11">
        <v>170</v>
      </c>
      <c r="B210" s="52">
        <v>514010778528</v>
      </c>
      <c r="C210" s="53" t="s">
        <v>479</v>
      </c>
      <c r="D210" s="14" t="s">
        <v>28</v>
      </c>
      <c r="E210" s="53" t="s">
        <v>457</v>
      </c>
      <c r="F210" s="53" t="s">
        <v>24</v>
      </c>
      <c r="G210" s="153">
        <v>5500</v>
      </c>
      <c r="H210" s="54" t="s">
        <v>25</v>
      </c>
      <c r="I210" s="54" t="s">
        <v>480</v>
      </c>
      <c r="J210" s="53">
        <v>854</v>
      </c>
      <c r="K210" s="53">
        <v>1451399</v>
      </c>
      <c r="L210" s="41">
        <v>854</v>
      </c>
      <c r="M210" s="44">
        <v>1451399</v>
      </c>
      <c r="N210" s="20">
        <v>0</v>
      </c>
      <c r="O210" s="42">
        <v>0</v>
      </c>
      <c r="P210" s="42">
        <v>0</v>
      </c>
      <c r="Q210" s="20">
        <v>0</v>
      </c>
      <c r="R210" s="19">
        <f t="shared" si="28"/>
        <v>1451399</v>
      </c>
      <c r="S210" s="19">
        <v>3000</v>
      </c>
      <c r="T210" s="19">
        <f t="shared" si="26"/>
        <v>1454399</v>
      </c>
      <c r="U210" s="105"/>
      <c r="X210" s="10">
        <f t="shared" si="17"/>
        <v>1451399</v>
      </c>
      <c r="Y210" s="2">
        <f t="shared" si="18"/>
        <v>0</v>
      </c>
      <c r="Z210" s="10">
        <f t="shared" si="27"/>
        <v>0</v>
      </c>
    </row>
    <row r="211" spans="1:26" ht="18" customHeight="1" x14ac:dyDescent="0.25">
      <c r="A211" s="11">
        <v>171</v>
      </c>
      <c r="B211" s="52">
        <v>514010782061</v>
      </c>
      <c r="C211" s="53" t="s">
        <v>481</v>
      </c>
      <c r="D211" s="14" t="s">
        <v>22</v>
      </c>
      <c r="E211" s="53" t="s">
        <v>128</v>
      </c>
      <c r="F211" s="53" t="s">
        <v>24</v>
      </c>
      <c r="G211" s="153">
        <v>4400</v>
      </c>
      <c r="H211" s="54" t="s">
        <v>25</v>
      </c>
      <c r="I211" s="54" t="s">
        <v>482</v>
      </c>
      <c r="J211" s="53">
        <v>3018</v>
      </c>
      <c r="K211" s="53">
        <v>5129182</v>
      </c>
      <c r="L211" s="41">
        <v>3018</v>
      </c>
      <c r="M211" s="44">
        <v>5129182</v>
      </c>
      <c r="N211" s="20">
        <v>0</v>
      </c>
      <c r="O211" s="42">
        <v>0</v>
      </c>
      <c r="P211" s="42">
        <v>0</v>
      </c>
      <c r="Q211" s="20">
        <v>10000</v>
      </c>
      <c r="R211" s="19">
        <f t="shared" si="28"/>
        <v>5139182</v>
      </c>
      <c r="S211" s="19">
        <v>3000</v>
      </c>
      <c r="T211" s="19">
        <f t="shared" si="26"/>
        <v>5142182</v>
      </c>
      <c r="U211" s="105"/>
      <c r="X211" s="10">
        <f t="shared" ref="X211:X275" si="29">M211+N211+O211+P211</f>
        <v>5129182</v>
      </c>
      <c r="Y211" s="2">
        <f t="shared" ref="Y211:Y275" si="30">IF(X211&gt;5000000,10000,IF(V211&lt;5000000,0,IF(V211=5000000,10000)))</f>
        <v>10000</v>
      </c>
      <c r="Z211" s="10">
        <f t="shared" si="27"/>
        <v>0</v>
      </c>
    </row>
    <row r="212" spans="1:26" ht="18" customHeight="1" x14ac:dyDescent="0.25">
      <c r="A212" s="11">
        <v>172</v>
      </c>
      <c r="B212" s="52">
        <v>514010782079</v>
      </c>
      <c r="C212" s="53" t="s">
        <v>483</v>
      </c>
      <c r="D212" s="14" t="s">
        <v>22</v>
      </c>
      <c r="E212" s="53" t="s">
        <v>484</v>
      </c>
      <c r="F212" s="53" t="s">
        <v>24</v>
      </c>
      <c r="G212" s="153">
        <v>3500</v>
      </c>
      <c r="H212" s="54" t="s">
        <v>25</v>
      </c>
      <c r="I212" s="54" t="s">
        <v>485</v>
      </c>
      <c r="J212" s="53">
        <v>1100</v>
      </c>
      <c r="K212" s="53">
        <v>1869483</v>
      </c>
      <c r="L212" s="41">
        <v>1100</v>
      </c>
      <c r="M212" s="44">
        <v>1869483</v>
      </c>
      <c r="N212" s="20">
        <v>0</v>
      </c>
      <c r="O212" s="42">
        <v>0</v>
      </c>
      <c r="P212" s="42">
        <v>0</v>
      </c>
      <c r="Q212" s="20">
        <v>0</v>
      </c>
      <c r="R212" s="19">
        <f t="shared" si="28"/>
        <v>1869483</v>
      </c>
      <c r="S212" s="19">
        <v>3000</v>
      </c>
      <c r="T212" s="19">
        <f t="shared" si="26"/>
        <v>1872483</v>
      </c>
      <c r="U212" s="105"/>
      <c r="X212" s="10">
        <f t="shared" si="29"/>
        <v>1869483</v>
      </c>
      <c r="Y212" s="2">
        <f t="shared" si="30"/>
        <v>0</v>
      </c>
      <c r="Z212" s="10">
        <f t="shared" si="27"/>
        <v>0</v>
      </c>
    </row>
    <row r="213" spans="1:26" ht="18" customHeight="1" x14ac:dyDescent="0.25">
      <c r="A213" s="11">
        <v>173</v>
      </c>
      <c r="B213" s="52">
        <v>514010782087</v>
      </c>
      <c r="C213" s="53" t="s">
        <v>486</v>
      </c>
      <c r="D213" s="14" t="s">
        <v>22</v>
      </c>
      <c r="E213" s="53" t="s">
        <v>487</v>
      </c>
      <c r="F213" s="53" t="s">
        <v>24</v>
      </c>
      <c r="G213" s="153">
        <v>4400</v>
      </c>
      <c r="H213" s="54" t="s">
        <v>25</v>
      </c>
      <c r="I213" s="54" t="s">
        <v>488</v>
      </c>
      <c r="J213" s="53">
        <v>1602</v>
      </c>
      <c r="K213" s="53">
        <v>2722647</v>
      </c>
      <c r="L213" s="41">
        <v>1602</v>
      </c>
      <c r="M213" s="44">
        <v>2722647</v>
      </c>
      <c r="N213" s="20">
        <v>0</v>
      </c>
      <c r="O213" s="42">
        <v>0</v>
      </c>
      <c r="P213" s="42">
        <v>0</v>
      </c>
      <c r="Q213" s="20">
        <v>0</v>
      </c>
      <c r="R213" s="19">
        <f t="shared" si="28"/>
        <v>2722647</v>
      </c>
      <c r="S213" s="19">
        <v>3000</v>
      </c>
      <c r="T213" s="19">
        <f t="shared" si="26"/>
        <v>2725647</v>
      </c>
      <c r="U213" s="105"/>
      <c r="X213" s="10">
        <f t="shared" si="29"/>
        <v>2722647</v>
      </c>
      <c r="Y213" s="2">
        <f t="shared" si="30"/>
        <v>0</v>
      </c>
      <c r="Z213" s="10">
        <f t="shared" si="27"/>
        <v>0</v>
      </c>
    </row>
    <row r="214" spans="1:26" ht="18" customHeight="1" x14ac:dyDescent="0.25">
      <c r="A214" s="11">
        <v>174</v>
      </c>
      <c r="B214" s="52">
        <v>514010782095</v>
      </c>
      <c r="C214" s="53" t="s">
        <v>489</v>
      </c>
      <c r="D214" s="14" t="s">
        <v>22</v>
      </c>
      <c r="E214" s="53" t="s">
        <v>490</v>
      </c>
      <c r="F214" s="53" t="s">
        <v>24</v>
      </c>
      <c r="G214" s="153">
        <v>5500</v>
      </c>
      <c r="H214" s="54" t="s">
        <v>25</v>
      </c>
      <c r="I214" s="54" t="s">
        <v>491</v>
      </c>
      <c r="J214" s="53">
        <v>1429</v>
      </c>
      <c r="K214" s="53">
        <v>2428628</v>
      </c>
      <c r="L214" s="41">
        <v>1429</v>
      </c>
      <c r="M214" s="44">
        <v>2428628</v>
      </c>
      <c r="N214" s="20">
        <v>0</v>
      </c>
      <c r="O214" s="42">
        <v>0</v>
      </c>
      <c r="P214" s="42">
        <v>0</v>
      </c>
      <c r="Q214" s="20">
        <v>0</v>
      </c>
      <c r="R214" s="19">
        <f t="shared" si="28"/>
        <v>2428628</v>
      </c>
      <c r="S214" s="19">
        <v>3000</v>
      </c>
      <c r="T214" s="19">
        <f t="shared" si="26"/>
        <v>2431628</v>
      </c>
      <c r="U214" s="105"/>
      <c r="X214" s="10">
        <f t="shared" si="29"/>
        <v>2428628</v>
      </c>
      <c r="Y214" s="2">
        <f t="shared" si="30"/>
        <v>0</v>
      </c>
      <c r="Z214" s="10">
        <f t="shared" si="27"/>
        <v>0</v>
      </c>
    </row>
    <row r="215" spans="1:26" ht="18" customHeight="1" x14ac:dyDescent="0.25">
      <c r="A215" s="11">
        <v>175</v>
      </c>
      <c r="B215" s="52">
        <v>514010782109</v>
      </c>
      <c r="C215" s="53" t="s">
        <v>492</v>
      </c>
      <c r="D215" s="14" t="s">
        <v>28</v>
      </c>
      <c r="E215" s="53" t="s">
        <v>493</v>
      </c>
      <c r="F215" s="53" t="s">
        <v>24</v>
      </c>
      <c r="G215" s="153">
        <v>3500</v>
      </c>
      <c r="H215" s="54" t="s">
        <v>25</v>
      </c>
      <c r="I215" s="54" t="s">
        <v>494</v>
      </c>
      <c r="J215" s="53">
        <v>1751</v>
      </c>
      <c r="K215" s="53">
        <v>2975877</v>
      </c>
      <c r="L215" s="41">
        <v>1751</v>
      </c>
      <c r="M215" s="44">
        <v>2975877</v>
      </c>
      <c r="N215" s="20">
        <v>0</v>
      </c>
      <c r="O215" s="42">
        <v>0</v>
      </c>
      <c r="P215" s="42">
        <v>0</v>
      </c>
      <c r="Q215" s="20">
        <v>0</v>
      </c>
      <c r="R215" s="19">
        <f t="shared" si="28"/>
        <v>2975877</v>
      </c>
      <c r="S215" s="19">
        <v>3000</v>
      </c>
      <c r="T215" s="19">
        <f t="shared" si="26"/>
        <v>2978877</v>
      </c>
      <c r="U215" s="105"/>
      <c r="X215" s="10">
        <f t="shared" si="29"/>
        <v>2975877</v>
      </c>
      <c r="Y215" s="2">
        <f t="shared" si="30"/>
        <v>0</v>
      </c>
      <c r="Z215" s="10">
        <f t="shared" si="27"/>
        <v>0</v>
      </c>
    </row>
    <row r="216" spans="1:26" ht="18" customHeight="1" x14ac:dyDescent="0.25">
      <c r="A216" s="11">
        <v>176</v>
      </c>
      <c r="B216" s="52">
        <v>514010782117</v>
      </c>
      <c r="C216" s="53" t="s">
        <v>495</v>
      </c>
      <c r="D216" s="14" t="s">
        <v>22</v>
      </c>
      <c r="E216" s="53" t="s">
        <v>137</v>
      </c>
      <c r="F216" s="53" t="s">
        <v>24</v>
      </c>
      <c r="G216" s="153">
        <v>3500</v>
      </c>
      <c r="H216" s="54" t="s">
        <v>25</v>
      </c>
      <c r="I216" s="54" t="s">
        <v>496</v>
      </c>
      <c r="J216" s="53">
        <v>1272</v>
      </c>
      <c r="K216" s="53">
        <v>2161802</v>
      </c>
      <c r="L216" s="41">
        <v>1272</v>
      </c>
      <c r="M216" s="44">
        <v>2161802</v>
      </c>
      <c r="N216" s="20">
        <v>0</v>
      </c>
      <c r="O216" s="42">
        <v>0</v>
      </c>
      <c r="P216" s="42">
        <v>0</v>
      </c>
      <c r="Q216" s="20">
        <v>0</v>
      </c>
      <c r="R216" s="19">
        <f t="shared" si="28"/>
        <v>2161802</v>
      </c>
      <c r="S216" s="19">
        <v>3000</v>
      </c>
      <c r="T216" s="19">
        <f t="shared" si="26"/>
        <v>2164802</v>
      </c>
      <c r="U216" s="105"/>
      <c r="X216" s="10">
        <f t="shared" si="29"/>
        <v>2161802</v>
      </c>
      <c r="Y216" s="2">
        <f t="shared" si="30"/>
        <v>0</v>
      </c>
      <c r="Z216" s="10">
        <f t="shared" si="27"/>
        <v>0</v>
      </c>
    </row>
    <row r="217" spans="1:26" ht="18" customHeight="1" x14ac:dyDescent="0.25">
      <c r="A217" s="11">
        <v>177</v>
      </c>
      <c r="B217" s="52">
        <v>514010782125</v>
      </c>
      <c r="C217" s="53" t="s">
        <v>497</v>
      </c>
      <c r="D217" s="14" t="s">
        <v>28</v>
      </c>
      <c r="E217" s="53" t="s">
        <v>498</v>
      </c>
      <c r="F217" s="53" t="s">
        <v>24</v>
      </c>
      <c r="G217" s="153">
        <v>3500</v>
      </c>
      <c r="H217" s="54" t="s">
        <v>25</v>
      </c>
      <c r="I217" s="54" t="s">
        <v>499</v>
      </c>
      <c r="J217" s="53">
        <v>516</v>
      </c>
      <c r="K217" s="53">
        <v>876957</v>
      </c>
      <c r="L217" s="41">
        <v>516</v>
      </c>
      <c r="M217" s="44">
        <v>876957</v>
      </c>
      <c r="N217" s="20">
        <v>0</v>
      </c>
      <c r="O217" s="42">
        <v>0</v>
      </c>
      <c r="P217" s="42">
        <v>0</v>
      </c>
      <c r="Q217" s="20">
        <v>0</v>
      </c>
      <c r="R217" s="19">
        <f t="shared" si="28"/>
        <v>876957</v>
      </c>
      <c r="S217" s="19">
        <v>3000</v>
      </c>
      <c r="T217" s="19">
        <f t="shared" si="26"/>
        <v>879957</v>
      </c>
      <c r="U217" s="105"/>
      <c r="X217" s="10">
        <f t="shared" si="29"/>
        <v>876957</v>
      </c>
      <c r="Y217" s="2">
        <f t="shared" si="30"/>
        <v>0</v>
      </c>
      <c r="Z217" s="10">
        <f t="shared" si="27"/>
        <v>0</v>
      </c>
    </row>
    <row r="218" spans="1:26" ht="18" customHeight="1" x14ac:dyDescent="0.25">
      <c r="A218" s="11">
        <v>178</v>
      </c>
      <c r="B218" s="52">
        <v>514010782133</v>
      </c>
      <c r="C218" s="53" t="s">
        <v>500</v>
      </c>
      <c r="D218" s="14" t="s">
        <v>28</v>
      </c>
      <c r="E218" s="53" t="s">
        <v>501</v>
      </c>
      <c r="F218" s="53" t="s">
        <v>24</v>
      </c>
      <c r="G218" s="153">
        <v>3500</v>
      </c>
      <c r="H218" s="54" t="s">
        <v>25</v>
      </c>
      <c r="I218" s="54" t="s">
        <v>502</v>
      </c>
      <c r="J218" s="53">
        <v>1507</v>
      </c>
      <c r="K218" s="53">
        <v>2561192</v>
      </c>
      <c r="L218" s="41">
        <v>1507</v>
      </c>
      <c r="M218" s="44">
        <v>2561192</v>
      </c>
      <c r="N218" s="20">
        <v>0</v>
      </c>
      <c r="O218" s="42">
        <v>0</v>
      </c>
      <c r="P218" s="42">
        <v>0</v>
      </c>
      <c r="Q218" s="20">
        <v>0</v>
      </c>
      <c r="R218" s="19">
        <f t="shared" si="28"/>
        <v>2561192</v>
      </c>
      <c r="S218" s="19">
        <v>3000</v>
      </c>
      <c r="T218" s="19">
        <f t="shared" si="26"/>
        <v>2564192</v>
      </c>
      <c r="U218" s="105"/>
      <c r="X218" s="10">
        <f t="shared" si="29"/>
        <v>2561192</v>
      </c>
      <c r="Y218" s="2">
        <f t="shared" si="30"/>
        <v>0</v>
      </c>
      <c r="Z218" s="10">
        <f t="shared" si="27"/>
        <v>0</v>
      </c>
    </row>
    <row r="219" spans="1:26" ht="18" customHeight="1" x14ac:dyDescent="0.25">
      <c r="A219" s="11">
        <v>179</v>
      </c>
      <c r="B219" s="52">
        <v>514010782141</v>
      </c>
      <c r="C219" s="53" t="s">
        <v>503</v>
      </c>
      <c r="D219" s="14" t="s">
        <v>28</v>
      </c>
      <c r="E219" s="53" t="s">
        <v>504</v>
      </c>
      <c r="F219" s="53" t="s">
        <v>24</v>
      </c>
      <c r="G219" s="153">
        <v>3500</v>
      </c>
      <c r="H219" s="54" t="s">
        <v>25</v>
      </c>
      <c r="I219" s="54" t="s">
        <v>505</v>
      </c>
      <c r="J219" s="53">
        <v>1251</v>
      </c>
      <c r="K219" s="53">
        <v>2126112</v>
      </c>
      <c r="L219" s="41">
        <v>1251</v>
      </c>
      <c r="M219" s="44">
        <v>2126112</v>
      </c>
      <c r="N219" s="20">
        <v>0</v>
      </c>
      <c r="O219" s="42">
        <v>0</v>
      </c>
      <c r="P219" s="42">
        <v>0</v>
      </c>
      <c r="Q219" s="20">
        <v>0</v>
      </c>
      <c r="R219" s="19">
        <f t="shared" si="28"/>
        <v>2126112</v>
      </c>
      <c r="S219" s="19">
        <v>3000</v>
      </c>
      <c r="T219" s="19">
        <f t="shared" si="26"/>
        <v>2129112</v>
      </c>
      <c r="U219" s="105"/>
      <c r="X219" s="10">
        <f t="shared" si="29"/>
        <v>2126112</v>
      </c>
      <c r="Y219" s="2">
        <f t="shared" si="30"/>
        <v>0</v>
      </c>
      <c r="Z219" s="10">
        <f t="shared" si="27"/>
        <v>0</v>
      </c>
    </row>
    <row r="220" spans="1:26" ht="18" customHeight="1" x14ac:dyDescent="0.25">
      <c r="A220" s="11">
        <v>180</v>
      </c>
      <c r="B220" s="52">
        <v>514010782158</v>
      </c>
      <c r="C220" s="53" t="s">
        <v>506</v>
      </c>
      <c r="D220" s="14" t="s">
        <v>28</v>
      </c>
      <c r="E220" s="53" t="s">
        <v>507</v>
      </c>
      <c r="F220" s="53" t="s">
        <v>24</v>
      </c>
      <c r="G220" s="153">
        <v>3500</v>
      </c>
      <c r="H220" s="54" t="s">
        <v>25</v>
      </c>
      <c r="I220" s="54" t="s">
        <v>508</v>
      </c>
      <c r="J220" s="53">
        <v>832</v>
      </c>
      <c r="K220" s="53">
        <v>1414009</v>
      </c>
      <c r="L220" s="41">
        <v>832</v>
      </c>
      <c r="M220" s="44">
        <v>1414009</v>
      </c>
      <c r="N220" s="20">
        <v>0</v>
      </c>
      <c r="O220" s="42">
        <v>0</v>
      </c>
      <c r="P220" s="42">
        <v>0</v>
      </c>
      <c r="Q220" s="20">
        <v>0</v>
      </c>
      <c r="R220" s="19">
        <f t="shared" si="28"/>
        <v>1414009</v>
      </c>
      <c r="S220" s="19">
        <v>3000</v>
      </c>
      <c r="T220" s="19">
        <f t="shared" si="26"/>
        <v>1417009</v>
      </c>
      <c r="U220" s="105"/>
      <c r="X220" s="10">
        <f t="shared" si="29"/>
        <v>1414009</v>
      </c>
      <c r="Y220" s="2">
        <f t="shared" si="30"/>
        <v>0</v>
      </c>
      <c r="Z220" s="10">
        <f t="shared" si="27"/>
        <v>0</v>
      </c>
    </row>
    <row r="221" spans="1:26" ht="18" customHeight="1" x14ac:dyDescent="0.25">
      <c r="A221" s="11">
        <v>181</v>
      </c>
      <c r="B221" s="52">
        <v>514010782166</v>
      </c>
      <c r="C221" s="53" t="s">
        <v>509</v>
      </c>
      <c r="D221" s="14" t="s">
        <v>68</v>
      </c>
      <c r="E221" s="53" t="s">
        <v>387</v>
      </c>
      <c r="F221" s="53" t="s">
        <v>24</v>
      </c>
      <c r="G221" s="153">
        <v>4400</v>
      </c>
      <c r="H221" s="54" t="s">
        <v>25</v>
      </c>
      <c r="I221" s="54" t="s">
        <v>510</v>
      </c>
      <c r="J221" s="53">
        <v>1043</v>
      </c>
      <c r="K221" s="53">
        <v>1772610</v>
      </c>
      <c r="L221" s="41">
        <v>1043</v>
      </c>
      <c r="M221" s="44">
        <v>1772610</v>
      </c>
      <c r="N221" s="20">
        <v>0</v>
      </c>
      <c r="O221" s="42">
        <v>0</v>
      </c>
      <c r="P221" s="42">
        <v>0</v>
      </c>
      <c r="Q221" s="20">
        <v>0</v>
      </c>
      <c r="R221" s="19">
        <f t="shared" si="28"/>
        <v>1772610</v>
      </c>
      <c r="S221" s="19">
        <v>3000</v>
      </c>
      <c r="T221" s="19">
        <f t="shared" si="26"/>
        <v>1775610</v>
      </c>
      <c r="U221" s="105"/>
      <c r="X221" s="10">
        <f t="shared" si="29"/>
        <v>1772610</v>
      </c>
      <c r="Y221" s="2">
        <f t="shared" si="30"/>
        <v>0</v>
      </c>
      <c r="Z221" s="10">
        <f t="shared" si="27"/>
        <v>0</v>
      </c>
    </row>
    <row r="222" spans="1:26" ht="18" customHeight="1" x14ac:dyDescent="0.25">
      <c r="A222" s="11">
        <v>182</v>
      </c>
      <c r="B222" s="52">
        <v>514010782174</v>
      </c>
      <c r="C222" s="53" t="s">
        <v>511</v>
      </c>
      <c r="D222" s="14" t="s">
        <v>22</v>
      </c>
      <c r="E222" s="53" t="s">
        <v>302</v>
      </c>
      <c r="F222" s="53" t="s">
        <v>24</v>
      </c>
      <c r="G222" s="153">
        <v>3500</v>
      </c>
      <c r="H222" s="54" t="s">
        <v>25</v>
      </c>
      <c r="I222" s="54" t="s">
        <v>512</v>
      </c>
      <c r="J222" s="53">
        <v>1250</v>
      </c>
      <c r="K222" s="53">
        <v>2124413</v>
      </c>
      <c r="L222" s="41">
        <v>1250</v>
      </c>
      <c r="M222" s="44">
        <v>2124413</v>
      </c>
      <c r="N222" s="20">
        <v>0</v>
      </c>
      <c r="O222" s="42">
        <v>0</v>
      </c>
      <c r="P222" s="42">
        <v>0</v>
      </c>
      <c r="Q222" s="20">
        <v>0</v>
      </c>
      <c r="R222" s="19">
        <f t="shared" si="28"/>
        <v>2124413</v>
      </c>
      <c r="S222" s="19">
        <v>3000</v>
      </c>
      <c r="T222" s="19">
        <f t="shared" si="26"/>
        <v>2127413</v>
      </c>
      <c r="U222" s="105"/>
      <c r="X222" s="10">
        <f t="shared" si="29"/>
        <v>2124413</v>
      </c>
      <c r="Y222" s="2">
        <f t="shared" si="30"/>
        <v>0</v>
      </c>
      <c r="Z222" s="10">
        <f t="shared" si="27"/>
        <v>0</v>
      </c>
    </row>
    <row r="223" spans="1:26" ht="18" customHeight="1" x14ac:dyDescent="0.25">
      <c r="A223" s="11">
        <v>183</v>
      </c>
      <c r="B223" s="52">
        <v>514010782182</v>
      </c>
      <c r="C223" s="53" t="s">
        <v>513</v>
      </c>
      <c r="D223" s="14" t="s">
        <v>22</v>
      </c>
      <c r="E223" s="53" t="s">
        <v>514</v>
      </c>
      <c r="F223" s="53" t="s">
        <v>24</v>
      </c>
      <c r="G223" s="153">
        <v>3500</v>
      </c>
      <c r="H223" s="54" t="s">
        <v>25</v>
      </c>
      <c r="I223" s="54" t="s">
        <v>515</v>
      </c>
      <c r="J223" s="53">
        <v>606</v>
      </c>
      <c r="K223" s="53">
        <v>1029915</v>
      </c>
      <c r="L223" s="41">
        <v>606</v>
      </c>
      <c r="M223" s="44">
        <v>1029915</v>
      </c>
      <c r="N223" s="20">
        <v>0</v>
      </c>
      <c r="O223" s="42">
        <v>0</v>
      </c>
      <c r="P223" s="42">
        <v>0</v>
      </c>
      <c r="Q223" s="20">
        <v>0</v>
      </c>
      <c r="R223" s="19">
        <f t="shared" si="28"/>
        <v>1029915</v>
      </c>
      <c r="S223" s="19">
        <v>3000</v>
      </c>
      <c r="T223" s="19">
        <f t="shared" si="26"/>
        <v>1032915</v>
      </c>
      <c r="U223" s="105"/>
      <c r="X223" s="10">
        <f t="shared" si="29"/>
        <v>1029915</v>
      </c>
      <c r="Y223" s="2">
        <f t="shared" si="30"/>
        <v>0</v>
      </c>
      <c r="Z223" s="10">
        <f t="shared" si="27"/>
        <v>0</v>
      </c>
    </row>
    <row r="224" spans="1:26" ht="18" customHeight="1" x14ac:dyDescent="0.25">
      <c r="A224" s="11">
        <v>184</v>
      </c>
      <c r="B224" s="52">
        <v>514010833918</v>
      </c>
      <c r="C224" s="53" t="s">
        <v>516</v>
      </c>
      <c r="D224" s="14" t="s">
        <v>22</v>
      </c>
      <c r="E224" s="53" t="s">
        <v>517</v>
      </c>
      <c r="F224" s="53" t="s">
        <v>24</v>
      </c>
      <c r="G224" s="153">
        <v>900</v>
      </c>
      <c r="H224" s="54" t="s">
        <v>25</v>
      </c>
      <c r="I224" s="54" t="s">
        <v>518</v>
      </c>
      <c r="J224" s="53">
        <v>214</v>
      </c>
      <c r="K224" s="53">
        <v>363699</v>
      </c>
      <c r="L224" s="41">
        <v>214</v>
      </c>
      <c r="M224" s="44">
        <v>363699</v>
      </c>
      <c r="N224" s="20">
        <v>0</v>
      </c>
      <c r="O224" s="42">
        <v>0</v>
      </c>
      <c r="P224" s="42">
        <v>0</v>
      </c>
      <c r="Q224" s="20">
        <v>0</v>
      </c>
      <c r="R224" s="19">
        <f t="shared" si="28"/>
        <v>363699</v>
      </c>
      <c r="S224" s="19">
        <v>3000</v>
      </c>
      <c r="T224" s="19">
        <f t="shared" si="26"/>
        <v>366699</v>
      </c>
      <c r="U224" s="105"/>
      <c r="X224" s="10">
        <f t="shared" si="29"/>
        <v>363699</v>
      </c>
      <c r="Y224" s="2">
        <f t="shared" si="30"/>
        <v>0</v>
      </c>
      <c r="Z224" s="10">
        <f t="shared" si="27"/>
        <v>0</v>
      </c>
    </row>
    <row r="225" spans="1:26" ht="18" customHeight="1" x14ac:dyDescent="0.25">
      <c r="A225" s="11">
        <v>185</v>
      </c>
      <c r="B225" s="52">
        <v>514010893331</v>
      </c>
      <c r="C225" s="53" t="s">
        <v>519</v>
      </c>
      <c r="D225" s="14" t="s">
        <v>22</v>
      </c>
      <c r="E225" s="53" t="s">
        <v>520</v>
      </c>
      <c r="F225" s="53" t="s">
        <v>24</v>
      </c>
      <c r="G225" s="153">
        <v>3500</v>
      </c>
      <c r="H225" s="54" t="s">
        <v>25</v>
      </c>
      <c r="I225" s="54" t="s">
        <v>521</v>
      </c>
      <c r="J225" s="53">
        <v>1167</v>
      </c>
      <c r="K225" s="53">
        <v>1983352</v>
      </c>
      <c r="L225" s="41">
        <v>1167</v>
      </c>
      <c r="M225" s="44">
        <v>1983352</v>
      </c>
      <c r="N225" s="20">
        <v>0</v>
      </c>
      <c r="O225" s="42">
        <v>0</v>
      </c>
      <c r="P225" s="42">
        <v>0</v>
      </c>
      <c r="Q225" s="20">
        <v>0</v>
      </c>
      <c r="R225" s="19">
        <f t="shared" si="28"/>
        <v>1983352</v>
      </c>
      <c r="S225" s="19">
        <v>3000</v>
      </c>
      <c r="T225" s="19">
        <f t="shared" si="26"/>
        <v>1986352</v>
      </c>
      <c r="U225" s="105"/>
      <c r="X225" s="10">
        <f t="shared" si="29"/>
        <v>1983352</v>
      </c>
      <c r="Y225" s="2">
        <f t="shared" si="30"/>
        <v>0</v>
      </c>
      <c r="Z225" s="10">
        <f t="shared" si="27"/>
        <v>0</v>
      </c>
    </row>
    <row r="226" spans="1:26" ht="18" customHeight="1" x14ac:dyDescent="0.25">
      <c r="A226" s="11">
        <v>186</v>
      </c>
      <c r="B226" s="52">
        <v>514010936601</v>
      </c>
      <c r="C226" s="53" t="s">
        <v>522</v>
      </c>
      <c r="D226" s="14" t="s">
        <v>28</v>
      </c>
      <c r="E226" s="53" t="s">
        <v>523</v>
      </c>
      <c r="F226" s="53" t="s">
        <v>24</v>
      </c>
      <c r="G226" s="153">
        <v>3500</v>
      </c>
      <c r="H226" s="54" t="s">
        <v>25</v>
      </c>
      <c r="I226" s="54" t="s">
        <v>524</v>
      </c>
      <c r="J226" s="53">
        <v>1680</v>
      </c>
      <c r="K226" s="53">
        <v>2855210</v>
      </c>
      <c r="L226" s="41">
        <v>1680</v>
      </c>
      <c r="M226" s="44">
        <v>2855210</v>
      </c>
      <c r="N226" s="20">
        <v>0</v>
      </c>
      <c r="O226" s="42">
        <v>0</v>
      </c>
      <c r="P226" s="42">
        <v>0</v>
      </c>
      <c r="Q226" s="20">
        <v>0</v>
      </c>
      <c r="R226" s="19">
        <f t="shared" si="28"/>
        <v>2855210</v>
      </c>
      <c r="S226" s="19">
        <v>3000</v>
      </c>
      <c r="T226" s="19">
        <f t="shared" si="26"/>
        <v>2858210</v>
      </c>
      <c r="U226" s="105"/>
      <c r="X226" s="10">
        <f t="shared" si="29"/>
        <v>2855210</v>
      </c>
      <c r="Y226" s="2">
        <f t="shared" si="30"/>
        <v>0</v>
      </c>
      <c r="Z226" s="10">
        <f t="shared" si="27"/>
        <v>0</v>
      </c>
    </row>
    <row r="227" spans="1:26" ht="18" customHeight="1" x14ac:dyDescent="0.25">
      <c r="A227" s="11">
        <v>187</v>
      </c>
      <c r="B227" s="52">
        <v>514010936643</v>
      </c>
      <c r="C227" s="53" t="s">
        <v>525</v>
      </c>
      <c r="D227" s="14" t="s">
        <v>28</v>
      </c>
      <c r="E227" s="53" t="s">
        <v>526</v>
      </c>
      <c r="F227" s="53" t="s">
        <v>24</v>
      </c>
      <c r="G227" s="153">
        <v>3500</v>
      </c>
      <c r="H227" s="54" t="s">
        <v>25</v>
      </c>
      <c r="I227" s="54" t="s">
        <v>527</v>
      </c>
      <c r="J227" s="53">
        <v>140</v>
      </c>
      <c r="K227" s="53">
        <v>237934</v>
      </c>
      <c r="L227" s="41">
        <v>140</v>
      </c>
      <c r="M227" s="44">
        <v>237934</v>
      </c>
      <c r="N227" s="20">
        <v>0</v>
      </c>
      <c r="O227" s="42">
        <v>0</v>
      </c>
      <c r="P227" s="42">
        <v>0</v>
      </c>
      <c r="Q227" s="20">
        <v>0</v>
      </c>
      <c r="R227" s="19">
        <f t="shared" si="28"/>
        <v>237934</v>
      </c>
      <c r="S227" s="19">
        <v>3000</v>
      </c>
      <c r="T227" s="19">
        <f t="shared" si="26"/>
        <v>240934</v>
      </c>
      <c r="U227" s="105"/>
      <c r="X227" s="10">
        <f t="shared" si="29"/>
        <v>237934</v>
      </c>
      <c r="Y227" s="2">
        <f t="shared" si="30"/>
        <v>0</v>
      </c>
      <c r="Z227" s="10">
        <f t="shared" si="27"/>
        <v>0</v>
      </c>
    </row>
    <row r="228" spans="1:26" ht="18" customHeight="1" x14ac:dyDescent="0.25">
      <c r="A228" s="11">
        <v>188</v>
      </c>
      <c r="B228" s="52">
        <v>514010936706</v>
      </c>
      <c r="C228" s="53" t="s">
        <v>528</v>
      </c>
      <c r="D228" s="14" t="s">
        <v>28</v>
      </c>
      <c r="E228" s="53" t="s">
        <v>529</v>
      </c>
      <c r="F228" s="53" t="s">
        <v>24</v>
      </c>
      <c r="G228" s="153">
        <v>3500</v>
      </c>
      <c r="H228" s="54" t="s">
        <v>25</v>
      </c>
      <c r="I228" s="54" t="s">
        <v>530</v>
      </c>
      <c r="J228" s="53">
        <v>793</v>
      </c>
      <c r="K228" s="53">
        <v>1347727</v>
      </c>
      <c r="L228" s="41">
        <v>793</v>
      </c>
      <c r="M228" s="44">
        <v>1347727</v>
      </c>
      <c r="N228" s="20">
        <v>0</v>
      </c>
      <c r="O228" s="42">
        <v>0</v>
      </c>
      <c r="P228" s="42">
        <v>0</v>
      </c>
      <c r="Q228" s="20">
        <v>0</v>
      </c>
      <c r="R228" s="19">
        <f t="shared" si="28"/>
        <v>1347727</v>
      </c>
      <c r="S228" s="19">
        <v>3000</v>
      </c>
      <c r="T228" s="19">
        <f t="shared" si="26"/>
        <v>1350727</v>
      </c>
      <c r="U228" s="105"/>
      <c r="X228" s="10">
        <f t="shared" si="29"/>
        <v>1347727</v>
      </c>
      <c r="Y228" s="2">
        <f t="shared" si="30"/>
        <v>0</v>
      </c>
      <c r="Z228" s="10">
        <f t="shared" si="27"/>
        <v>0</v>
      </c>
    </row>
    <row r="229" spans="1:26" ht="18" customHeight="1" x14ac:dyDescent="0.25">
      <c r="A229" s="11">
        <v>189</v>
      </c>
      <c r="B229" s="52">
        <v>514010937454</v>
      </c>
      <c r="C229" s="53" t="s">
        <v>531</v>
      </c>
      <c r="D229" s="14" t="s">
        <v>28</v>
      </c>
      <c r="E229" s="53" t="s">
        <v>532</v>
      </c>
      <c r="F229" s="53" t="s">
        <v>24</v>
      </c>
      <c r="G229" s="153">
        <v>1300</v>
      </c>
      <c r="H229" s="54" t="s">
        <v>25</v>
      </c>
      <c r="I229" s="54" t="s">
        <v>533</v>
      </c>
      <c r="J229" s="53">
        <v>862</v>
      </c>
      <c r="K229" s="53">
        <v>1464995</v>
      </c>
      <c r="L229" s="41">
        <v>862</v>
      </c>
      <c r="M229" s="44">
        <v>1464995</v>
      </c>
      <c r="N229" s="20">
        <v>0</v>
      </c>
      <c r="O229" s="42">
        <v>0</v>
      </c>
      <c r="P229" s="42">
        <v>0</v>
      </c>
      <c r="Q229" s="20">
        <v>0</v>
      </c>
      <c r="R229" s="19">
        <f t="shared" si="28"/>
        <v>1464995</v>
      </c>
      <c r="S229" s="19">
        <v>3000</v>
      </c>
      <c r="T229" s="19">
        <f t="shared" si="26"/>
        <v>1467995</v>
      </c>
      <c r="U229" s="105"/>
      <c r="X229" s="10">
        <f t="shared" si="29"/>
        <v>1464995</v>
      </c>
      <c r="Y229" s="2">
        <f t="shared" si="30"/>
        <v>0</v>
      </c>
      <c r="Z229" s="10">
        <f t="shared" si="27"/>
        <v>0</v>
      </c>
    </row>
    <row r="230" spans="1:26" ht="18" customHeight="1" x14ac:dyDescent="0.25">
      <c r="A230" s="11">
        <v>190</v>
      </c>
      <c r="B230" s="52">
        <v>514011029869</v>
      </c>
      <c r="C230" s="53" t="s">
        <v>534</v>
      </c>
      <c r="D230" s="14" t="s">
        <v>22</v>
      </c>
      <c r="E230" s="53" t="s">
        <v>535</v>
      </c>
      <c r="F230" s="53" t="s">
        <v>24</v>
      </c>
      <c r="G230" s="153">
        <v>2200</v>
      </c>
      <c r="H230" s="54" t="s">
        <v>25</v>
      </c>
      <c r="I230" s="54" t="s">
        <v>536</v>
      </c>
      <c r="J230" s="53">
        <v>1216</v>
      </c>
      <c r="K230" s="53">
        <v>2066628</v>
      </c>
      <c r="L230" s="41">
        <v>1216</v>
      </c>
      <c r="M230" s="44">
        <v>2066628</v>
      </c>
      <c r="N230" s="20">
        <v>0</v>
      </c>
      <c r="O230" s="42">
        <v>0</v>
      </c>
      <c r="P230" s="42">
        <v>0</v>
      </c>
      <c r="Q230" s="20">
        <v>0</v>
      </c>
      <c r="R230" s="19">
        <f t="shared" si="28"/>
        <v>2066628</v>
      </c>
      <c r="S230" s="19">
        <v>3000</v>
      </c>
      <c r="T230" s="19">
        <f t="shared" si="26"/>
        <v>2069628</v>
      </c>
      <c r="U230" s="105"/>
      <c r="X230" s="10">
        <f t="shared" si="29"/>
        <v>2066628</v>
      </c>
      <c r="Y230" s="2">
        <f t="shared" si="30"/>
        <v>0</v>
      </c>
      <c r="Z230" s="10">
        <f t="shared" si="27"/>
        <v>0</v>
      </c>
    </row>
    <row r="231" spans="1:26" ht="18" customHeight="1" x14ac:dyDescent="0.25">
      <c r="A231" s="11">
        <v>191</v>
      </c>
      <c r="B231" s="52">
        <v>514011029877</v>
      </c>
      <c r="C231" s="53" t="s">
        <v>537</v>
      </c>
      <c r="D231" s="14" t="s">
        <v>22</v>
      </c>
      <c r="E231" s="53" t="s">
        <v>60</v>
      </c>
      <c r="F231" s="53" t="s">
        <v>24</v>
      </c>
      <c r="G231" s="153">
        <v>2200</v>
      </c>
      <c r="H231" s="54" t="s">
        <v>25</v>
      </c>
      <c r="I231" s="54" t="s">
        <v>538</v>
      </c>
      <c r="J231" s="53">
        <v>379</v>
      </c>
      <c r="K231" s="53">
        <v>644122</v>
      </c>
      <c r="L231" s="41">
        <v>379</v>
      </c>
      <c r="M231" s="44">
        <v>644122</v>
      </c>
      <c r="N231" s="20">
        <v>0</v>
      </c>
      <c r="O231" s="42">
        <v>0</v>
      </c>
      <c r="P231" s="42">
        <v>0</v>
      </c>
      <c r="Q231" s="20">
        <v>0</v>
      </c>
      <c r="R231" s="19">
        <f t="shared" si="28"/>
        <v>644122</v>
      </c>
      <c r="S231" s="19">
        <v>3000</v>
      </c>
      <c r="T231" s="19">
        <f t="shared" si="26"/>
        <v>647122</v>
      </c>
      <c r="U231" s="105"/>
      <c r="X231" s="10">
        <f t="shared" si="29"/>
        <v>644122</v>
      </c>
      <c r="Y231" s="2">
        <f t="shared" si="30"/>
        <v>0</v>
      </c>
      <c r="Z231" s="10">
        <f t="shared" si="27"/>
        <v>0</v>
      </c>
    </row>
    <row r="232" spans="1:26" ht="18" customHeight="1" x14ac:dyDescent="0.25">
      <c r="A232" s="11">
        <v>192</v>
      </c>
      <c r="B232" s="52">
        <v>514011029885</v>
      </c>
      <c r="C232" s="53" t="s">
        <v>539</v>
      </c>
      <c r="D232" s="14" t="s">
        <v>22</v>
      </c>
      <c r="E232" s="53" t="s">
        <v>540</v>
      </c>
      <c r="F232" s="53" t="s">
        <v>24</v>
      </c>
      <c r="G232" s="153">
        <v>3500</v>
      </c>
      <c r="H232" s="54" t="s">
        <v>25</v>
      </c>
      <c r="I232" s="54" t="s">
        <v>541</v>
      </c>
      <c r="J232" s="53">
        <v>766</v>
      </c>
      <c r="K232" s="53">
        <v>1301840</v>
      </c>
      <c r="L232" s="41">
        <v>766</v>
      </c>
      <c r="M232" s="44">
        <v>1301840</v>
      </c>
      <c r="N232" s="20">
        <v>0</v>
      </c>
      <c r="O232" s="42">
        <v>0</v>
      </c>
      <c r="P232" s="42">
        <v>0</v>
      </c>
      <c r="Q232" s="20">
        <v>0</v>
      </c>
      <c r="R232" s="19">
        <f t="shared" si="28"/>
        <v>1301840</v>
      </c>
      <c r="S232" s="19">
        <v>3000</v>
      </c>
      <c r="T232" s="19">
        <f t="shared" si="26"/>
        <v>1304840</v>
      </c>
      <c r="U232" s="105"/>
      <c r="X232" s="10">
        <f t="shared" si="29"/>
        <v>1301840</v>
      </c>
      <c r="Y232" s="2">
        <f t="shared" si="30"/>
        <v>0</v>
      </c>
      <c r="Z232" s="10">
        <f t="shared" si="27"/>
        <v>0</v>
      </c>
    </row>
    <row r="233" spans="1:26" ht="18" customHeight="1" x14ac:dyDescent="0.25">
      <c r="A233" s="11">
        <v>193</v>
      </c>
      <c r="B233" s="52">
        <v>514011044476</v>
      </c>
      <c r="C233" s="53" t="s">
        <v>542</v>
      </c>
      <c r="D233" s="14" t="s">
        <v>22</v>
      </c>
      <c r="E233" s="53" t="s">
        <v>543</v>
      </c>
      <c r="F233" s="53" t="s">
        <v>24</v>
      </c>
      <c r="G233" s="153">
        <v>2200</v>
      </c>
      <c r="H233" s="54" t="s">
        <v>25</v>
      </c>
      <c r="I233" s="54" t="s">
        <v>544</v>
      </c>
      <c r="J233" s="53">
        <v>930</v>
      </c>
      <c r="K233" s="53">
        <v>1580563</v>
      </c>
      <c r="L233" s="41">
        <v>930</v>
      </c>
      <c r="M233" s="44">
        <v>1580563</v>
      </c>
      <c r="N233" s="20">
        <v>0</v>
      </c>
      <c r="O233" s="42">
        <v>0</v>
      </c>
      <c r="P233" s="42">
        <v>0</v>
      </c>
      <c r="Q233" s="20">
        <v>0</v>
      </c>
      <c r="R233" s="19">
        <f t="shared" si="28"/>
        <v>1580563</v>
      </c>
      <c r="S233" s="19">
        <v>3000</v>
      </c>
      <c r="T233" s="19">
        <f t="shared" si="26"/>
        <v>1583563</v>
      </c>
      <c r="U233" s="105"/>
      <c r="X233" s="10">
        <f t="shared" si="29"/>
        <v>1580563</v>
      </c>
      <c r="Y233" s="2">
        <f t="shared" si="30"/>
        <v>0</v>
      </c>
      <c r="Z233" s="10">
        <f t="shared" si="27"/>
        <v>0</v>
      </c>
    </row>
    <row r="234" spans="1:26" ht="18" customHeight="1" x14ac:dyDescent="0.25">
      <c r="A234" s="11">
        <v>194</v>
      </c>
      <c r="B234" s="52">
        <v>514011044484</v>
      </c>
      <c r="C234" s="53" t="s">
        <v>545</v>
      </c>
      <c r="D234" s="14" t="s">
        <v>22</v>
      </c>
      <c r="E234" s="53" t="s">
        <v>46</v>
      </c>
      <c r="F234" s="53" t="s">
        <v>24</v>
      </c>
      <c r="G234" s="153">
        <v>3500</v>
      </c>
      <c r="H234" s="54" t="s">
        <v>25</v>
      </c>
      <c r="I234" s="54" t="s">
        <v>546</v>
      </c>
      <c r="J234" s="53">
        <v>622</v>
      </c>
      <c r="K234" s="53">
        <v>1057108</v>
      </c>
      <c r="L234" s="41">
        <v>622</v>
      </c>
      <c r="M234" s="44">
        <v>1057108</v>
      </c>
      <c r="N234" s="20">
        <v>0</v>
      </c>
      <c r="O234" s="42">
        <v>0</v>
      </c>
      <c r="P234" s="42">
        <v>0</v>
      </c>
      <c r="Q234" s="20">
        <v>0</v>
      </c>
      <c r="R234" s="19">
        <f t="shared" si="28"/>
        <v>1057108</v>
      </c>
      <c r="S234" s="19">
        <v>3000</v>
      </c>
      <c r="T234" s="19">
        <f t="shared" si="26"/>
        <v>1060108</v>
      </c>
      <c r="U234" s="105"/>
      <c r="X234" s="10">
        <f t="shared" si="29"/>
        <v>1057108</v>
      </c>
      <c r="Y234" s="2">
        <f t="shared" si="30"/>
        <v>0</v>
      </c>
      <c r="Z234" s="10">
        <f t="shared" si="27"/>
        <v>0</v>
      </c>
    </row>
    <row r="235" spans="1:26" ht="18" customHeight="1" x14ac:dyDescent="0.25">
      <c r="A235" s="11">
        <v>195</v>
      </c>
      <c r="B235" s="52">
        <v>514011047503</v>
      </c>
      <c r="C235" s="53" t="s">
        <v>547</v>
      </c>
      <c r="D235" s="14" t="s">
        <v>22</v>
      </c>
      <c r="E235" s="53" t="s">
        <v>467</v>
      </c>
      <c r="F235" s="53" t="s">
        <v>24</v>
      </c>
      <c r="G235" s="153">
        <v>3500</v>
      </c>
      <c r="H235" s="54" t="s">
        <v>25</v>
      </c>
      <c r="I235" s="54" t="s">
        <v>548</v>
      </c>
      <c r="J235" s="53">
        <v>1003</v>
      </c>
      <c r="K235" s="53">
        <v>1704629</v>
      </c>
      <c r="L235" s="41">
        <v>1003</v>
      </c>
      <c r="M235" s="44">
        <v>1704629</v>
      </c>
      <c r="N235" s="20">
        <v>0</v>
      </c>
      <c r="O235" s="42">
        <v>0</v>
      </c>
      <c r="P235" s="42">
        <v>0</v>
      </c>
      <c r="Q235" s="20">
        <v>0</v>
      </c>
      <c r="R235" s="19">
        <f t="shared" si="28"/>
        <v>1704629</v>
      </c>
      <c r="S235" s="19">
        <v>3000</v>
      </c>
      <c r="T235" s="19">
        <f t="shared" si="26"/>
        <v>1707629</v>
      </c>
      <c r="U235" s="105"/>
      <c r="X235" s="10">
        <f t="shared" si="29"/>
        <v>1704629</v>
      </c>
      <c r="Y235" s="2">
        <f t="shared" si="30"/>
        <v>0</v>
      </c>
      <c r="Z235" s="10">
        <f t="shared" si="27"/>
        <v>0</v>
      </c>
    </row>
    <row r="236" spans="1:26" ht="18" customHeight="1" x14ac:dyDescent="0.25">
      <c r="A236" s="11">
        <v>196</v>
      </c>
      <c r="B236" s="52">
        <v>514011047511</v>
      </c>
      <c r="C236" s="53" t="s">
        <v>549</v>
      </c>
      <c r="D236" s="14" t="s">
        <v>22</v>
      </c>
      <c r="E236" s="53" t="s">
        <v>40</v>
      </c>
      <c r="F236" s="53" t="s">
        <v>24</v>
      </c>
      <c r="G236" s="153">
        <v>2200</v>
      </c>
      <c r="H236" s="54" t="s">
        <v>25</v>
      </c>
      <c r="I236" s="54" t="s">
        <v>550</v>
      </c>
      <c r="J236" s="53">
        <v>571</v>
      </c>
      <c r="K236" s="53">
        <v>970432</v>
      </c>
      <c r="L236" s="41">
        <v>571</v>
      </c>
      <c r="M236" s="44">
        <v>970432</v>
      </c>
      <c r="N236" s="20">
        <v>0</v>
      </c>
      <c r="O236" s="42">
        <v>0</v>
      </c>
      <c r="P236" s="42">
        <v>0</v>
      </c>
      <c r="Q236" s="20">
        <v>0</v>
      </c>
      <c r="R236" s="19">
        <f t="shared" si="28"/>
        <v>970432</v>
      </c>
      <c r="S236" s="19">
        <v>3000</v>
      </c>
      <c r="T236" s="19">
        <f t="shared" si="26"/>
        <v>973432</v>
      </c>
      <c r="U236" s="105"/>
      <c r="X236" s="10">
        <f t="shared" si="29"/>
        <v>970432</v>
      </c>
      <c r="Y236" s="2">
        <f t="shared" si="30"/>
        <v>0</v>
      </c>
      <c r="Z236" s="10">
        <f t="shared" si="27"/>
        <v>0</v>
      </c>
    </row>
    <row r="237" spans="1:26" ht="18" customHeight="1" x14ac:dyDescent="0.25">
      <c r="A237" s="11">
        <v>197</v>
      </c>
      <c r="B237" s="52">
        <v>514011047529</v>
      </c>
      <c r="C237" s="53" t="s">
        <v>551</v>
      </c>
      <c r="D237" s="14" t="s">
        <v>22</v>
      </c>
      <c r="E237" s="53" t="s">
        <v>406</v>
      </c>
      <c r="F237" s="53" t="s">
        <v>24</v>
      </c>
      <c r="G237" s="153">
        <v>3500</v>
      </c>
      <c r="H237" s="54" t="s">
        <v>25</v>
      </c>
      <c r="I237" s="54" t="s">
        <v>552</v>
      </c>
      <c r="J237" s="53">
        <v>908</v>
      </c>
      <c r="K237" s="53">
        <v>1543173</v>
      </c>
      <c r="L237" s="41">
        <v>908</v>
      </c>
      <c r="M237" s="44">
        <v>1543173</v>
      </c>
      <c r="N237" s="20">
        <v>0</v>
      </c>
      <c r="O237" s="42">
        <v>0</v>
      </c>
      <c r="P237" s="42">
        <v>0</v>
      </c>
      <c r="Q237" s="20">
        <v>0</v>
      </c>
      <c r="R237" s="19">
        <f t="shared" si="28"/>
        <v>1543173</v>
      </c>
      <c r="S237" s="19">
        <v>3000</v>
      </c>
      <c r="T237" s="19">
        <f t="shared" si="26"/>
        <v>1546173</v>
      </c>
      <c r="U237" s="105"/>
      <c r="X237" s="10">
        <f t="shared" si="29"/>
        <v>1543173</v>
      </c>
      <c r="Y237" s="2">
        <f t="shared" si="30"/>
        <v>0</v>
      </c>
      <c r="Z237" s="10">
        <f t="shared" si="27"/>
        <v>0</v>
      </c>
    </row>
    <row r="238" spans="1:26" ht="18" customHeight="1" x14ac:dyDescent="0.25">
      <c r="A238" s="11">
        <v>198</v>
      </c>
      <c r="B238" s="52">
        <v>514011047552</v>
      </c>
      <c r="C238" s="53" t="s">
        <v>553</v>
      </c>
      <c r="D238" s="14" t="s">
        <v>22</v>
      </c>
      <c r="E238" s="53" t="s">
        <v>88</v>
      </c>
      <c r="F238" s="53" t="s">
        <v>24</v>
      </c>
      <c r="G238" s="153">
        <v>3500</v>
      </c>
      <c r="H238" s="54" t="s">
        <v>25</v>
      </c>
      <c r="I238" s="54" t="s">
        <v>554</v>
      </c>
      <c r="J238" s="53">
        <v>1554</v>
      </c>
      <c r="K238" s="53">
        <v>2641070</v>
      </c>
      <c r="L238" s="41">
        <v>1554</v>
      </c>
      <c r="M238" s="44">
        <v>2641070</v>
      </c>
      <c r="N238" s="20">
        <v>0</v>
      </c>
      <c r="O238" s="42">
        <v>0</v>
      </c>
      <c r="P238" s="42">
        <v>0</v>
      </c>
      <c r="Q238" s="20">
        <v>0</v>
      </c>
      <c r="R238" s="19">
        <f t="shared" si="28"/>
        <v>2641070</v>
      </c>
      <c r="S238" s="19">
        <v>3000</v>
      </c>
      <c r="T238" s="19">
        <f t="shared" si="26"/>
        <v>2644070</v>
      </c>
      <c r="U238" s="105"/>
      <c r="X238" s="10">
        <f t="shared" si="29"/>
        <v>2641070</v>
      </c>
      <c r="Y238" s="2">
        <f t="shared" si="30"/>
        <v>0</v>
      </c>
      <c r="Z238" s="10">
        <f t="shared" si="27"/>
        <v>0</v>
      </c>
    </row>
    <row r="239" spans="1:26" ht="18" customHeight="1" x14ac:dyDescent="0.25">
      <c r="A239" s="11">
        <v>199</v>
      </c>
      <c r="B239" s="52">
        <v>514011047560</v>
      </c>
      <c r="C239" s="53" t="s">
        <v>555</v>
      </c>
      <c r="D239" s="14" t="s">
        <v>22</v>
      </c>
      <c r="E239" s="53" t="s">
        <v>523</v>
      </c>
      <c r="F239" s="53" t="s">
        <v>24</v>
      </c>
      <c r="G239" s="153">
        <v>3500</v>
      </c>
      <c r="H239" s="54" t="s">
        <v>25</v>
      </c>
      <c r="I239" s="54" t="s">
        <v>556</v>
      </c>
      <c r="J239" s="53">
        <v>671</v>
      </c>
      <c r="K239" s="53">
        <v>1140385</v>
      </c>
      <c r="L239" s="41">
        <v>671</v>
      </c>
      <c r="M239" s="44">
        <v>1140385</v>
      </c>
      <c r="N239" s="20">
        <v>0</v>
      </c>
      <c r="O239" s="42">
        <v>0</v>
      </c>
      <c r="P239" s="42">
        <v>0</v>
      </c>
      <c r="Q239" s="20">
        <v>0</v>
      </c>
      <c r="R239" s="19">
        <f t="shared" si="28"/>
        <v>1140385</v>
      </c>
      <c r="S239" s="19">
        <v>3000</v>
      </c>
      <c r="T239" s="19">
        <f t="shared" si="26"/>
        <v>1143385</v>
      </c>
      <c r="U239" s="105"/>
      <c r="X239" s="10">
        <f t="shared" si="29"/>
        <v>1140385</v>
      </c>
      <c r="Y239" s="2">
        <f t="shared" si="30"/>
        <v>0</v>
      </c>
      <c r="Z239" s="10">
        <f t="shared" si="27"/>
        <v>0</v>
      </c>
    </row>
    <row r="240" spans="1:26" ht="18" customHeight="1" x14ac:dyDescent="0.25">
      <c r="A240" s="11">
        <v>200</v>
      </c>
      <c r="B240" s="52">
        <v>514011047578</v>
      </c>
      <c r="C240" s="53" t="s">
        <v>557</v>
      </c>
      <c r="D240" s="14" t="s">
        <v>28</v>
      </c>
      <c r="E240" s="53" t="s">
        <v>88</v>
      </c>
      <c r="F240" s="53" t="s">
        <v>24</v>
      </c>
      <c r="G240" s="153">
        <v>3500</v>
      </c>
      <c r="H240" s="54" t="s">
        <v>25</v>
      </c>
      <c r="I240" s="54" t="s">
        <v>558</v>
      </c>
      <c r="J240" s="53">
        <v>1336</v>
      </c>
      <c r="K240" s="53">
        <v>2270572</v>
      </c>
      <c r="L240" s="41">
        <v>1336</v>
      </c>
      <c r="M240" s="44">
        <v>2270572</v>
      </c>
      <c r="N240" s="20">
        <v>0</v>
      </c>
      <c r="O240" s="42">
        <v>0</v>
      </c>
      <c r="P240" s="42">
        <v>0</v>
      </c>
      <c r="Q240" s="20">
        <v>0</v>
      </c>
      <c r="R240" s="19">
        <f t="shared" si="28"/>
        <v>2270572</v>
      </c>
      <c r="S240" s="19">
        <v>3000</v>
      </c>
      <c r="T240" s="19">
        <f t="shared" si="26"/>
        <v>2273572</v>
      </c>
      <c r="U240" s="105"/>
      <c r="X240" s="10">
        <f t="shared" si="29"/>
        <v>2270572</v>
      </c>
      <c r="Y240" s="2">
        <f t="shared" si="30"/>
        <v>0</v>
      </c>
      <c r="Z240" s="10">
        <f t="shared" si="27"/>
        <v>0</v>
      </c>
    </row>
    <row r="241" spans="1:26" ht="18" customHeight="1" x14ac:dyDescent="0.25">
      <c r="A241" s="11"/>
      <c r="B241" s="15"/>
      <c r="C241" s="14"/>
      <c r="D241" s="14"/>
      <c r="E241" s="14"/>
      <c r="F241" s="15"/>
      <c r="G241" s="16"/>
      <c r="H241" s="18"/>
      <c r="I241" s="15"/>
      <c r="J241" s="15"/>
      <c r="K241" s="15"/>
      <c r="L241" s="18"/>
      <c r="M241" s="19"/>
      <c r="N241" s="20"/>
      <c r="O241" s="20"/>
      <c r="P241" s="20"/>
      <c r="Q241" s="20"/>
      <c r="R241" s="19"/>
      <c r="S241" s="19"/>
      <c r="T241" s="19"/>
      <c r="U241" s="105"/>
      <c r="X241" s="10">
        <f t="shared" si="29"/>
        <v>0</v>
      </c>
      <c r="Y241" s="2">
        <f t="shared" si="30"/>
        <v>0</v>
      </c>
      <c r="Z241" s="10">
        <f t="shared" si="27"/>
        <v>0</v>
      </c>
    </row>
    <row r="242" spans="1:26" s="25" customFormat="1" ht="33" customHeight="1" x14ac:dyDescent="0.25">
      <c r="A242" s="190" t="s">
        <v>139</v>
      </c>
      <c r="B242" s="190"/>
      <c r="C242" s="190"/>
      <c r="D242" s="190"/>
      <c r="E242" s="190"/>
      <c r="F242" s="190"/>
      <c r="G242" s="36">
        <f>SUM(G200:G240)</f>
        <v>980780</v>
      </c>
      <c r="H242" s="36">
        <f t="shared" ref="H242:R242" si="31">SUM(H200:H240)</f>
        <v>0</v>
      </c>
      <c r="I242" s="36">
        <f t="shared" si="31"/>
        <v>0</v>
      </c>
      <c r="J242" s="36"/>
      <c r="K242" s="36"/>
      <c r="L242" s="36">
        <f t="shared" si="31"/>
        <v>256478</v>
      </c>
      <c r="M242" s="37">
        <f t="shared" si="31"/>
        <v>435892059</v>
      </c>
      <c r="N242" s="38">
        <f t="shared" si="31"/>
        <v>0</v>
      </c>
      <c r="O242" s="38">
        <f t="shared" si="31"/>
        <v>0</v>
      </c>
      <c r="P242" s="38">
        <f t="shared" si="31"/>
        <v>0</v>
      </c>
      <c r="Q242" s="38">
        <f t="shared" si="31"/>
        <v>40000</v>
      </c>
      <c r="R242" s="37">
        <f t="shared" si="31"/>
        <v>435932059</v>
      </c>
      <c r="S242" s="37">
        <f>SUM(S200:S240)</f>
        <v>600000</v>
      </c>
      <c r="T242" s="37">
        <f>SUM(T200:T240)</f>
        <v>436532059</v>
      </c>
      <c r="U242" s="147"/>
      <c r="X242" s="10">
        <f t="shared" si="29"/>
        <v>435892059</v>
      </c>
      <c r="Y242" s="2">
        <f t="shared" si="30"/>
        <v>10000</v>
      </c>
      <c r="Z242" s="10"/>
    </row>
    <row r="243" spans="1:26" ht="18" customHeight="1" x14ac:dyDescent="0.25">
      <c r="L243" s="31"/>
      <c r="X243" s="10">
        <f t="shared" si="29"/>
        <v>0</v>
      </c>
      <c r="Y243" s="2">
        <f t="shared" si="30"/>
        <v>0</v>
      </c>
      <c r="Z243" s="10"/>
    </row>
    <row r="244" spans="1:26" ht="18" customHeight="1" x14ac:dyDescent="0.25">
      <c r="L244" s="31"/>
      <c r="X244" s="10"/>
      <c r="Z244" s="10"/>
    </row>
    <row r="245" spans="1:26" s="84" customFormat="1" ht="39" customHeight="1" x14ac:dyDescent="0.25">
      <c r="A245" s="9" t="s">
        <v>4</v>
      </c>
      <c r="B245" s="21" t="s">
        <v>5</v>
      </c>
      <c r="C245" s="21" t="s">
        <v>6</v>
      </c>
      <c r="D245" s="12"/>
      <c r="E245" s="9" t="s">
        <v>7</v>
      </c>
      <c r="F245" s="21" t="s">
        <v>8</v>
      </c>
      <c r="G245" s="21" t="s">
        <v>9</v>
      </c>
      <c r="H245" s="21" t="s">
        <v>10</v>
      </c>
      <c r="I245" s="21" t="s">
        <v>11</v>
      </c>
      <c r="J245" s="21" t="s">
        <v>12</v>
      </c>
      <c r="K245" s="21" t="s">
        <v>13</v>
      </c>
      <c r="L245" s="21" t="s">
        <v>14</v>
      </c>
      <c r="M245" s="143" t="s">
        <v>15</v>
      </c>
      <c r="N245" s="144" t="s">
        <v>16</v>
      </c>
      <c r="O245" s="144" t="s">
        <v>17</v>
      </c>
      <c r="P245" s="144" t="s">
        <v>18</v>
      </c>
      <c r="Q245" s="144" t="s">
        <v>19</v>
      </c>
      <c r="R245" s="143" t="s">
        <v>20</v>
      </c>
      <c r="S245" s="143" t="s">
        <v>3471</v>
      </c>
      <c r="T245" s="143" t="s">
        <v>3472</v>
      </c>
      <c r="U245" s="145"/>
      <c r="V245" s="145"/>
      <c r="W245" s="145"/>
      <c r="X245" s="145"/>
    </row>
    <row r="246" spans="1:26" ht="18" customHeight="1" x14ac:dyDescent="0.25">
      <c r="A246" s="14"/>
      <c r="B246" s="15"/>
      <c r="C246" s="15"/>
      <c r="D246" s="15"/>
      <c r="E246" s="15"/>
      <c r="F246" s="15"/>
      <c r="G246" s="45"/>
      <c r="H246" s="15"/>
      <c r="I246" s="15"/>
      <c r="J246" s="15"/>
      <c r="K246" s="15"/>
      <c r="L246" s="18"/>
      <c r="M246" s="19"/>
      <c r="N246" s="20"/>
      <c r="O246" s="20"/>
      <c r="P246" s="20"/>
      <c r="Q246" s="20"/>
      <c r="R246" s="19"/>
      <c r="S246" s="19"/>
      <c r="T246" s="19"/>
      <c r="U246" s="105"/>
      <c r="X246" s="10">
        <f t="shared" si="29"/>
        <v>0</v>
      </c>
      <c r="Y246" s="2">
        <f t="shared" si="30"/>
        <v>0</v>
      </c>
      <c r="Z246" s="10"/>
    </row>
    <row r="247" spans="1:26" ht="18" customHeight="1" x14ac:dyDescent="0.25">
      <c r="A247" s="14"/>
      <c r="B247" s="15"/>
      <c r="C247" s="15"/>
      <c r="D247" s="15"/>
      <c r="E247" s="35" t="s">
        <v>141</v>
      </c>
      <c r="F247" s="15"/>
      <c r="G247" s="36">
        <f>G242</f>
        <v>980780</v>
      </c>
      <c r="H247" s="36">
        <f t="shared" ref="H247:R247" si="32">H242</f>
        <v>0</v>
      </c>
      <c r="I247" s="36">
        <f t="shared" si="32"/>
        <v>0</v>
      </c>
      <c r="J247" s="36"/>
      <c r="K247" s="36"/>
      <c r="L247" s="36">
        <f t="shared" si="32"/>
        <v>256478</v>
      </c>
      <c r="M247" s="32">
        <f t="shared" si="32"/>
        <v>435892059</v>
      </c>
      <c r="N247" s="33">
        <f t="shared" si="32"/>
        <v>0</v>
      </c>
      <c r="O247" s="33">
        <f t="shared" si="32"/>
        <v>0</v>
      </c>
      <c r="P247" s="33">
        <f t="shared" si="32"/>
        <v>0</v>
      </c>
      <c r="Q247" s="33">
        <f t="shared" si="32"/>
        <v>40000</v>
      </c>
      <c r="R247" s="32">
        <f t="shared" si="32"/>
        <v>435932059</v>
      </c>
      <c r="S247" s="32">
        <f>S242</f>
        <v>600000</v>
      </c>
      <c r="T247" s="32">
        <f>T242</f>
        <v>436532059</v>
      </c>
      <c r="U247" s="127"/>
      <c r="X247" s="10">
        <f t="shared" si="29"/>
        <v>435892059</v>
      </c>
      <c r="Y247" s="2">
        <f t="shared" si="30"/>
        <v>10000</v>
      </c>
      <c r="Z247" s="10"/>
    </row>
    <row r="248" spans="1:26" ht="18" customHeight="1" x14ac:dyDescent="0.25">
      <c r="A248" s="11">
        <v>201</v>
      </c>
      <c r="B248" s="52">
        <v>514011047586</v>
      </c>
      <c r="C248" s="53" t="s">
        <v>559</v>
      </c>
      <c r="D248" s="14" t="s">
        <v>28</v>
      </c>
      <c r="E248" s="53" t="s">
        <v>196</v>
      </c>
      <c r="F248" s="53" t="s">
        <v>24</v>
      </c>
      <c r="G248" s="153">
        <v>3500</v>
      </c>
      <c r="H248" s="54" t="s">
        <v>25</v>
      </c>
      <c r="I248" s="54" t="s">
        <v>560</v>
      </c>
      <c r="J248" s="53">
        <v>722</v>
      </c>
      <c r="K248" s="53">
        <v>1227061</v>
      </c>
      <c r="L248" s="41">
        <v>722</v>
      </c>
      <c r="M248" s="41">
        <v>1227061</v>
      </c>
      <c r="N248" s="20">
        <v>0</v>
      </c>
      <c r="O248" s="42">
        <v>0</v>
      </c>
      <c r="P248" s="42">
        <v>0</v>
      </c>
      <c r="Q248" s="20">
        <v>0</v>
      </c>
      <c r="R248" s="19">
        <f>M248+N248+O248+P248+Q248</f>
        <v>1227061</v>
      </c>
      <c r="S248" s="19">
        <v>3000</v>
      </c>
      <c r="T248" s="19">
        <f t="shared" ref="T248:T279" si="33">R248+S248</f>
        <v>1230061</v>
      </c>
      <c r="U248" s="105"/>
      <c r="X248" s="10">
        <f t="shared" si="29"/>
        <v>1227061</v>
      </c>
      <c r="Y248" s="2">
        <f t="shared" si="30"/>
        <v>0</v>
      </c>
      <c r="Z248" s="10">
        <f t="shared" ref="Z248:Z280" si="34">Q248-Y248</f>
        <v>0</v>
      </c>
    </row>
    <row r="249" spans="1:26" ht="18" customHeight="1" x14ac:dyDescent="0.25">
      <c r="A249" s="11">
        <v>202</v>
      </c>
      <c r="B249" s="52">
        <v>514011047594</v>
      </c>
      <c r="C249" s="53" t="s">
        <v>561</v>
      </c>
      <c r="D249" s="14" t="s">
        <v>22</v>
      </c>
      <c r="E249" s="53" t="s">
        <v>409</v>
      </c>
      <c r="F249" s="53" t="s">
        <v>24</v>
      </c>
      <c r="G249" s="153">
        <v>5500</v>
      </c>
      <c r="H249" s="54" t="s">
        <v>25</v>
      </c>
      <c r="I249" s="54" t="s">
        <v>562</v>
      </c>
      <c r="J249" s="53">
        <v>1884</v>
      </c>
      <c r="K249" s="53">
        <v>3201915</v>
      </c>
      <c r="L249" s="41">
        <v>1884</v>
      </c>
      <c r="M249" s="41">
        <v>3201915</v>
      </c>
      <c r="N249" s="20">
        <v>0</v>
      </c>
      <c r="O249" s="42">
        <v>0</v>
      </c>
      <c r="P249" s="42">
        <v>0</v>
      </c>
      <c r="Q249" s="20">
        <v>0</v>
      </c>
      <c r="R249" s="19">
        <f t="shared" ref="R249:R279" si="35">M249+N249+O249+P249+Q249</f>
        <v>3201915</v>
      </c>
      <c r="S249" s="19">
        <v>3000</v>
      </c>
      <c r="T249" s="19">
        <f t="shared" si="33"/>
        <v>3204915</v>
      </c>
      <c r="U249" s="105"/>
      <c r="X249" s="10">
        <f t="shared" si="29"/>
        <v>3201915</v>
      </c>
      <c r="Y249" s="2">
        <f t="shared" si="30"/>
        <v>0</v>
      </c>
      <c r="Z249" s="10">
        <f t="shared" si="34"/>
        <v>0</v>
      </c>
    </row>
    <row r="250" spans="1:26" ht="18" customHeight="1" x14ac:dyDescent="0.25">
      <c r="A250" s="11">
        <v>203</v>
      </c>
      <c r="B250" s="52">
        <v>514011047607</v>
      </c>
      <c r="C250" s="53" t="s">
        <v>563</v>
      </c>
      <c r="D250" s="14" t="s">
        <v>28</v>
      </c>
      <c r="E250" s="53" t="s">
        <v>181</v>
      </c>
      <c r="F250" s="53" t="s">
        <v>24</v>
      </c>
      <c r="G250" s="153">
        <v>4400</v>
      </c>
      <c r="H250" s="54" t="s">
        <v>25</v>
      </c>
      <c r="I250" s="54" t="s">
        <v>564</v>
      </c>
      <c r="J250" s="53">
        <v>1208</v>
      </c>
      <c r="K250" s="53">
        <v>2053032</v>
      </c>
      <c r="L250" s="41">
        <v>1208</v>
      </c>
      <c r="M250" s="41">
        <v>2053032</v>
      </c>
      <c r="N250" s="20">
        <v>0</v>
      </c>
      <c r="O250" s="42">
        <v>0</v>
      </c>
      <c r="P250" s="42">
        <v>0</v>
      </c>
      <c r="Q250" s="20">
        <v>0</v>
      </c>
      <c r="R250" s="19">
        <f t="shared" si="35"/>
        <v>2053032</v>
      </c>
      <c r="S250" s="19">
        <v>3000</v>
      </c>
      <c r="T250" s="19">
        <f t="shared" si="33"/>
        <v>2056032</v>
      </c>
      <c r="U250" s="105"/>
      <c r="X250" s="10">
        <f t="shared" si="29"/>
        <v>2053032</v>
      </c>
      <c r="Y250" s="2">
        <f t="shared" si="30"/>
        <v>0</v>
      </c>
      <c r="Z250" s="10">
        <f t="shared" si="34"/>
        <v>0</v>
      </c>
    </row>
    <row r="251" spans="1:26" ht="18" customHeight="1" x14ac:dyDescent="0.25">
      <c r="A251" s="11">
        <v>204</v>
      </c>
      <c r="B251" s="52">
        <v>514011047615</v>
      </c>
      <c r="C251" s="53" t="s">
        <v>565</v>
      </c>
      <c r="D251" s="14" t="s">
        <v>22</v>
      </c>
      <c r="E251" s="53" t="s">
        <v>566</v>
      </c>
      <c r="F251" s="53" t="s">
        <v>24</v>
      </c>
      <c r="G251" s="153">
        <v>3500</v>
      </c>
      <c r="H251" s="54" t="s">
        <v>25</v>
      </c>
      <c r="I251" s="54" t="s">
        <v>567</v>
      </c>
      <c r="J251" s="53">
        <v>921</v>
      </c>
      <c r="K251" s="53">
        <v>1565267</v>
      </c>
      <c r="L251" s="41">
        <v>921</v>
      </c>
      <c r="M251" s="41">
        <v>1565267</v>
      </c>
      <c r="N251" s="20">
        <v>0</v>
      </c>
      <c r="O251" s="42">
        <v>0</v>
      </c>
      <c r="P251" s="42">
        <v>0</v>
      </c>
      <c r="Q251" s="20">
        <v>0</v>
      </c>
      <c r="R251" s="19">
        <f t="shared" si="35"/>
        <v>1565267</v>
      </c>
      <c r="S251" s="19">
        <v>3000</v>
      </c>
      <c r="T251" s="19">
        <f t="shared" si="33"/>
        <v>1568267</v>
      </c>
      <c r="U251" s="105"/>
      <c r="X251" s="10">
        <f t="shared" si="29"/>
        <v>1565267</v>
      </c>
      <c r="Y251" s="2">
        <f t="shared" si="30"/>
        <v>0</v>
      </c>
      <c r="Z251" s="10">
        <f t="shared" si="34"/>
        <v>0</v>
      </c>
    </row>
    <row r="252" spans="1:26" ht="18" customHeight="1" x14ac:dyDescent="0.25">
      <c r="A252" s="11">
        <v>205</v>
      </c>
      <c r="B252" s="52">
        <v>514011047623</v>
      </c>
      <c r="C252" s="53" t="s">
        <v>568</v>
      </c>
      <c r="D252" s="14" t="s">
        <v>22</v>
      </c>
      <c r="E252" s="53" t="s">
        <v>569</v>
      </c>
      <c r="F252" s="53" t="s">
        <v>24</v>
      </c>
      <c r="G252" s="153">
        <v>5500</v>
      </c>
      <c r="H252" s="54" t="s">
        <v>25</v>
      </c>
      <c r="I252" s="54" t="s">
        <v>570</v>
      </c>
      <c r="J252" s="53">
        <v>1896</v>
      </c>
      <c r="K252" s="53">
        <v>3222309</v>
      </c>
      <c r="L252" s="41">
        <v>1896</v>
      </c>
      <c r="M252" s="41">
        <v>3222309</v>
      </c>
      <c r="N252" s="20">
        <v>0</v>
      </c>
      <c r="O252" s="42">
        <v>0</v>
      </c>
      <c r="P252" s="42">
        <v>0</v>
      </c>
      <c r="Q252" s="20">
        <v>0</v>
      </c>
      <c r="R252" s="19">
        <f t="shared" si="35"/>
        <v>3222309</v>
      </c>
      <c r="S252" s="19">
        <v>3000</v>
      </c>
      <c r="T252" s="19">
        <f t="shared" si="33"/>
        <v>3225309</v>
      </c>
      <c r="U252" s="105"/>
      <c r="X252" s="10">
        <f t="shared" si="29"/>
        <v>3222309</v>
      </c>
      <c r="Y252" s="2">
        <f t="shared" si="30"/>
        <v>0</v>
      </c>
      <c r="Z252" s="10">
        <f t="shared" si="34"/>
        <v>0</v>
      </c>
    </row>
    <row r="253" spans="1:26" ht="18" customHeight="1" x14ac:dyDescent="0.25">
      <c r="A253" s="11">
        <v>206</v>
      </c>
      <c r="B253" s="52">
        <v>514011047631</v>
      </c>
      <c r="C253" s="53" t="s">
        <v>571</v>
      </c>
      <c r="D253" s="14" t="s">
        <v>22</v>
      </c>
      <c r="E253" s="53" t="s">
        <v>210</v>
      </c>
      <c r="F253" s="53" t="s">
        <v>24</v>
      </c>
      <c r="G253" s="153">
        <v>4400</v>
      </c>
      <c r="H253" s="54" t="s">
        <v>25</v>
      </c>
      <c r="I253" s="54" t="s">
        <v>572</v>
      </c>
      <c r="J253" s="53">
        <v>2400</v>
      </c>
      <c r="K253" s="53">
        <v>4078872</v>
      </c>
      <c r="L253" s="41">
        <v>2400</v>
      </c>
      <c r="M253" s="41">
        <v>4078872</v>
      </c>
      <c r="N253" s="20">
        <v>0</v>
      </c>
      <c r="O253" s="42">
        <v>0</v>
      </c>
      <c r="P253" s="42">
        <v>0</v>
      </c>
      <c r="Q253" s="20">
        <v>0</v>
      </c>
      <c r="R253" s="19">
        <f t="shared" si="35"/>
        <v>4078872</v>
      </c>
      <c r="S253" s="19">
        <v>3000</v>
      </c>
      <c r="T253" s="19">
        <f t="shared" si="33"/>
        <v>4081872</v>
      </c>
      <c r="U253" s="105"/>
      <c r="X253" s="10">
        <f t="shared" si="29"/>
        <v>4078872</v>
      </c>
      <c r="Y253" s="2">
        <f t="shared" si="30"/>
        <v>0</v>
      </c>
      <c r="Z253" s="10">
        <f t="shared" si="34"/>
        <v>0</v>
      </c>
    </row>
    <row r="254" spans="1:26" ht="18" customHeight="1" x14ac:dyDescent="0.25">
      <c r="A254" s="11">
        <v>207</v>
      </c>
      <c r="B254" s="52">
        <v>514011047649</v>
      </c>
      <c r="C254" s="53" t="s">
        <v>571</v>
      </c>
      <c r="D254" s="14" t="s">
        <v>22</v>
      </c>
      <c r="E254" s="53" t="s">
        <v>210</v>
      </c>
      <c r="F254" s="53" t="s">
        <v>24</v>
      </c>
      <c r="G254" s="153">
        <v>3500</v>
      </c>
      <c r="H254" s="54" t="s">
        <v>25</v>
      </c>
      <c r="I254" s="54" t="s">
        <v>573</v>
      </c>
      <c r="J254" s="53">
        <v>1299</v>
      </c>
      <c r="K254" s="53">
        <v>2207689</v>
      </c>
      <c r="L254" s="41">
        <v>1299</v>
      </c>
      <c r="M254" s="41">
        <v>2207689</v>
      </c>
      <c r="N254" s="20">
        <v>0</v>
      </c>
      <c r="O254" s="42">
        <v>0</v>
      </c>
      <c r="P254" s="42">
        <v>0</v>
      </c>
      <c r="Q254" s="20">
        <v>0</v>
      </c>
      <c r="R254" s="19">
        <f t="shared" si="35"/>
        <v>2207689</v>
      </c>
      <c r="S254" s="19">
        <v>3000</v>
      </c>
      <c r="T254" s="19">
        <f t="shared" si="33"/>
        <v>2210689</v>
      </c>
      <c r="U254" s="105"/>
      <c r="X254" s="10">
        <f t="shared" si="29"/>
        <v>2207689</v>
      </c>
      <c r="Y254" s="2">
        <f t="shared" si="30"/>
        <v>0</v>
      </c>
      <c r="Z254" s="10">
        <f t="shared" si="34"/>
        <v>0</v>
      </c>
    </row>
    <row r="255" spans="1:26" ht="18" customHeight="1" x14ac:dyDescent="0.25">
      <c r="A255" s="11">
        <v>208</v>
      </c>
      <c r="B255" s="52">
        <v>514011047656</v>
      </c>
      <c r="C255" s="53" t="s">
        <v>574</v>
      </c>
      <c r="D255" s="14" t="s">
        <v>22</v>
      </c>
      <c r="E255" s="53" t="s">
        <v>575</v>
      </c>
      <c r="F255" s="53" t="s">
        <v>24</v>
      </c>
      <c r="G255" s="153">
        <v>4400</v>
      </c>
      <c r="H255" s="54" t="s">
        <v>25</v>
      </c>
      <c r="I255" s="54" t="s">
        <v>576</v>
      </c>
      <c r="J255" s="53">
        <v>926</v>
      </c>
      <c r="K255" s="53">
        <v>1573765</v>
      </c>
      <c r="L255" s="41">
        <v>926</v>
      </c>
      <c r="M255" s="41">
        <v>1573765</v>
      </c>
      <c r="N255" s="20">
        <v>0</v>
      </c>
      <c r="O255" s="42">
        <v>0</v>
      </c>
      <c r="P255" s="42">
        <v>0</v>
      </c>
      <c r="Q255" s="20">
        <v>0</v>
      </c>
      <c r="R255" s="19">
        <f t="shared" si="35"/>
        <v>1573765</v>
      </c>
      <c r="S255" s="19">
        <v>3000</v>
      </c>
      <c r="T255" s="19">
        <f t="shared" si="33"/>
        <v>1576765</v>
      </c>
      <c r="U255" s="105"/>
      <c r="X255" s="10">
        <f t="shared" si="29"/>
        <v>1573765</v>
      </c>
      <c r="Y255" s="2">
        <f t="shared" si="30"/>
        <v>0</v>
      </c>
      <c r="Z255" s="10">
        <f t="shared" si="34"/>
        <v>0</v>
      </c>
    </row>
    <row r="256" spans="1:26" ht="18" customHeight="1" x14ac:dyDescent="0.25">
      <c r="A256" s="11">
        <v>209</v>
      </c>
      <c r="B256" s="52">
        <v>514011047664</v>
      </c>
      <c r="C256" s="53" t="s">
        <v>574</v>
      </c>
      <c r="D256" s="14" t="s">
        <v>22</v>
      </c>
      <c r="E256" s="53" t="s">
        <v>575</v>
      </c>
      <c r="F256" s="53" t="s">
        <v>24</v>
      </c>
      <c r="G256" s="153">
        <v>3500</v>
      </c>
      <c r="H256" s="54" t="s">
        <v>25</v>
      </c>
      <c r="I256" s="54" t="s">
        <v>577</v>
      </c>
      <c r="J256" s="53">
        <v>478</v>
      </c>
      <c r="K256" s="53">
        <v>812375</v>
      </c>
      <c r="L256" s="41">
        <v>478</v>
      </c>
      <c r="M256" s="41">
        <v>812375</v>
      </c>
      <c r="N256" s="20">
        <v>0</v>
      </c>
      <c r="O256" s="42">
        <v>0</v>
      </c>
      <c r="P256" s="42">
        <v>0</v>
      </c>
      <c r="Q256" s="20">
        <v>0</v>
      </c>
      <c r="R256" s="19">
        <f t="shared" si="35"/>
        <v>812375</v>
      </c>
      <c r="S256" s="19">
        <v>3000</v>
      </c>
      <c r="T256" s="19">
        <f t="shared" si="33"/>
        <v>815375</v>
      </c>
      <c r="U256" s="105"/>
      <c r="X256" s="10">
        <f t="shared" si="29"/>
        <v>812375</v>
      </c>
      <c r="Y256" s="2">
        <f t="shared" si="30"/>
        <v>0</v>
      </c>
      <c r="Z256" s="10">
        <f t="shared" si="34"/>
        <v>0</v>
      </c>
    </row>
    <row r="257" spans="1:26" ht="18" customHeight="1" x14ac:dyDescent="0.25">
      <c r="A257" s="11">
        <v>210</v>
      </c>
      <c r="B257" s="52">
        <v>514011071713</v>
      </c>
      <c r="C257" s="53" t="s">
        <v>578</v>
      </c>
      <c r="D257" s="14" t="s">
        <v>22</v>
      </c>
      <c r="E257" s="53" t="s">
        <v>579</v>
      </c>
      <c r="F257" s="53" t="s">
        <v>24</v>
      </c>
      <c r="G257" s="153">
        <v>5500</v>
      </c>
      <c r="H257" s="54" t="s">
        <v>25</v>
      </c>
      <c r="I257" s="54" t="s">
        <v>580</v>
      </c>
      <c r="J257" s="53">
        <v>1596</v>
      </c>
      <c r="K257" s="53">
        <v>2712450</v>
      </c>
      <c r="L257" s="41">
        <v>1596</v>
      </c>
      <c r="M257" s="41">
        <v>2712450</v>
      </c>
      <c r="N257" s="20">
        <v>0</v>
      </c>
      <c r="O257" s="42">
        <v>0</v>
      </c>
      <c r="P257" s="42">
        <v>0</v>
      </c>
      <c r="Q257" s="20">
        <v>0</v>
      </c>
      <c r="R257" s="19">
        <f t="shared" si="35"/>
        <v>2712450</v>
      </c>
      <c r="S257" s="19">
        <v>3000</v>
      </c>
      <c r="T257" s="19">
        <f t="shared" si="33"/>
        <v>2715450</v>
      </c>
      <c r="U257" s="105"/>
      <c r="X257" s="10">
        <f t="shared" si="29"/>
        <v>2712450</v>
      </c>
      <c r="Y257" s="2">
        <f t="shared" si="30"/>
        <v>0</v>
      </c>
      <c r="Z257" s="10">
        <f t="shared" si="34"/>
        <v>0</v>
      </c>
    </row>
    <row r="258" spans="1:26" ht="18" customHeight="1" x14ac:dyDescent="0.25">
      <c r="A258" s="11">
        <v>211</v>
      </c>
      <c r="B258" s="52">
        <v>514011074188</v>
      </c>
      <c r="C258" s="53" t="s">
        <v>581</v>
      </c>
      <c r="D258" s="14" t="s">
        <v>22</v>
      </c>
      <c r="E258" s="53" t="s">
        <v>228</v>
      </c>
      <c r="F258" s="53" t="s">
        <v>24</v>
      </c>
      <c r="G258" s="153">
        <v>5500</v>
      </c>
      <c r="H258" s="54" t="s">
        <v>25</v>
      </c>
      <c r="I258" s="54" t="s">
        <v>582</v>
      </c>
      <c r="J258" s="53">
        <v>889</v>
      </c>
      <c r="K258" s="53">
        <v>1510882</v>
      </c>
      <c r="L258" s="41">
        <v>889</v>
      </c>
      <c r="M258" s="41">
        <v>1510882</v>
      </c>
      <c r="N258" s="20">
        <v>0</v>
      </c>
      <c r="O258" s="42">
        <v>0</v>
      </c>
      <c r="P258" s="42">
        <v>0</v>
      </c>
      <c r="Q258" s="20">
        <v>0</v>
      </c>
      <c r="R258" s="19">
        <f t="shared" si="35"/>
        <v>1510882</v>
      </c>
      <c r="S258" s="19">
        <v>3000</v>
      </c>
      <c r="T258" s="19">
        <f t="shared" si="33"/>
        <v>1513882</v>
      </c>
      <c r="U258" s="105"/>
      <c r="X258" s="10">
        <f t="shared" si="29"/>
        <v>1510882</v>
      </c>
      <c r="Y258" s="2">
        <f t="shared" si="30"/>
        <v>0</v>
      </c>
      <c r="Z258" s="10">
        <f t="shared" si="34"/>
        <v>0</v>
      </c>
    </row>
    <row r="259" spans="1:26" ht="18" customHeight="1" x14ac:dyDescent="0.25">
      <c r="A259" s="11">
        <v>212</v>
      </c>
      <c r="B259" s="52">
        <v>514011074196</v>
      </c>
      <c r="C259" s="53" t="s">
        <v>461</v>
      </c>
      <c r="D259" s="14" t="s">
        <v>22</v>
      </c>
      <c r="E259" s="53" t="s">
        <v>583</v>
      </c>
      <c r="F259" s="53" t="s">
        <v>24</v>
      </c>
      <c r="G259" s="153">
        <v>4400</v>
      </c>
      <c r="H259" s="54" t="s">
        <v>25</v>
      </c>
      <c r="I259" s="54" t="s">
        <v>584</v>
      </c>
      <c r="J259" s="53">
        <v>1670</v>
      </c>
      <c r="K259" s="53">
        <v>2838215</v>
      </c>
      <c r="L259" s="41">
        <v>1670</v>
      </c>
      <c r="M259" s="41">
        <v>2838215</v>
      </c>
      <c r="N259" s="20">
        <v>0</v>
      </c>
      <c r="O259" s="42">
        <v>0</v>
      </c>
      <c r="P259" s="42">
        <v>0</v>
      </c>
      <c r="Q259" s="20">
        <v>0</v>
      </c>
      <c r="R259" s="19">
        <f t="shared" si="35"/>
        <v>2838215</v>
      </c>
      <c r="S259" s="19">
        <v>3000</v>
      </c>
      <c r="T259" s="19">
        <f t="shared" si="33"/>
        <v>2841215</v>
      </c>
      <c r="U259" s="105"/>
      <c r="X259" s="10">
        <f t="shared" si="29"/>
        <v>2838215</v>
      </c>
      <c r="Y259" s="2">
        <f t="shared" si="30"/>
        <v>0</v>
      </c>
      <c r="Z259" s="10">
        <f t="shared" si="34"/>
        <v>0</v>
      </c>
    </row>
    <row r="260" spans="1:26" ht="18" customHeight="1" x14ac:dyDescent="0.25">
      <c r="A260" s="11">
        <v>213</v>
      </c>
      <c r="B260" s="52">
        <v>514011118331</v>
      </c>
      <c r="C260" s="53" t="s">
        <v>585</v>
      </c>
      <c r="D260" s="14" t="s">
        <v>22</v>
      </c>
      <c r="E260" s="53" t="s">
        <v>586</v>
      </c>
      <c r="F260" s="53" t="s">
        <v>24</v>
      </c>
      <c r="G260" s="153">
        <v>900</v>
      </c>
      <c r="H260" s="54" t="s">
        <v>25</v>
      </c>
      <c r="I260" s="54" t="s">
        <v>587</v>
      </c>
      <c r="J260" s="53">
        <v>85</v>
      </c>
      <c r="K260" s="53">
        <v>144460</v>
      </c>
      <c r="L260" s="41">
        <v>85</v>
      </c>
      <c r="M260" s="41">
        <v>144460</v>
      </c>
      <c r="N260" s="20">
        <v>0</v>
      </c>
      <c r="O260" s="42">
        <v>0</v>
      </c>
      <c r="P260" s="42">
        <v>0</v>
      </c>
      <c r="Q260" s="20">
        <v>0</v>
      </c>
      <c r="R260" s="19">
        <f t="shared" si="35"/>
        <v>144460</v>
      </c>
      <c r="S260" s="19">
        <v>3000</v>
      </c>
      <c r="T260" s="19">
        <f t="shared" si="33"/>
        <v>147460</v>
      </c>
      <c r="U260" s="105"/>
      <c r="X260" s="10">
        <f t="shared" si="29"/>
        <v>144460</v>
      </c>
      <c r="Y260" s="2">
        <f t="shared" si="30"/>
        <v>0</v>
      </c>
      <c r="Z260" s="10">
        <f t="shared" si="34"/>
        <v>0</v>
      </c>
    </row>
    <row r="261" spans="1:26" ht="18" customHeight="1" x14ac:dyDescent="0.25">
      <c r="A261" s="11">
        <v>214</v>
      </c>
      <c r="B261" s="52">
        <v>514011124571</v>
      </c>
      <c r="C261" s="53" t="s">
        <v>588</v>
      </c>
      <c r="D261" s="14" t="s">
        <v>22</v>
      </c>
      <c r="E261" s="53" t="s">
        <v>589</v>
      </c>
      <c r="F261" s="53" t="s">
        <v>24</v>
      </c>
      <c r="G261" s="153">
        <v>2200</v>
      </c>
      <c r="H261" s="54" t="s">
        <v>25</v>
      </c>
      <c r="I261" s="54" t="s">
        <v>590</v>
      </c>
      <c r="J261" s="53">
        <v>409</v>
      </c>
      <c r="K261" s="53">
        <v>695108</v>
      </c>
      <c r="L261" s="41">
        <v>409</v>
      </c>
      <c r="M261" s="41">
        <v>695108</v>
      </c>
      <c r="N261" s="20">
        <v>0</v>
      </c>
      <c r="O261" s="42">
        <v>0</v>
      </c>
      <c r="P261" s="42">
        <v>0</v>
      </c>
      <c r="Q261" s="20">
        <v>0</v>
      </c>
      <c r="R261" s="19">
        <f t="shared" si="35"/>
        <v>695108</v>
      </c>
      <c r="S261" s="19">
        <v>3000</v>
      </c>
      <c r="T261" s="19">
        <f t="shared" si="33"/>
        <v>698108</v>
      </c>
      <c r="U261" s="105"/>
      <c r="X261" s="10">
        <f t="shared" si="29"/>
        <v>695108</v>
      </c>
      <c r="Y261" s="2">
        <f t="shared" si="30"/>
        <v>0</v>
      </c>
      <c r="Z261" s="10">
        <f t="shared" si="34"/>
        <v>0</v>
      </c>
    </row>
    <row r="262" spans="1:26" ht="18" customHeight="1" x14ac:dyDescent="0.25">
      <c r="A262" s="11">
        <v>215</v>
      </c>
      <c r="B262" s="52">
        <v>514011167915</v>
      </c>
      <c r="C262" s="53" t="s">
        <v>591</v>
      </c>
      <c r="D262" s="14" t="s">
        <v>28</v>
      </c>
      <c r="E262" s="53" t="s">
        <v>592</v>
      </c>
      <c r="F262" s="53" t="s">
        <v>24</v>
      </c>
      <c r="G262" s="153">
        <v>1300</v>
      </c>
      <c r="H262" s="54" t="s">
        <v>25</v>
      </c>
      <c r="I262" s="54" t="s">
        <v>593</v>
      </c>
      <c r="J262" s="53">
        <v>52</v>
      </c>
      <c r="K262" s="53">
        <v>88376</v>
      </c>
      <c r="L262" s="41">
        <v>52</v>
      </c>
      <c r="M262" s="41">
        <v>88376</v>
      </c>
      <c r="N262" s="20">
        <v>0</v>
      </c>
      <c r="O262" s="42">
        <v>0</v>
      </c>
      <c r="P262" s="42">
        <v>0</v>
      </c>
      <c r="Q262" s="20">
        <v>0</v>
      </c>
      <c r="R262" s="19">
        <f t="shared" si="35"/>
        <v>88376</v>
      </c>
      <c r="S262" s="19">
        <v>3000</v>
      </c>
      <c r="T262" s="19">
        <f t="shared" si="33"/>
        <v>91376</v>
      </c>
      <c r="U262" s="105"/>
      <c r="X262" s="10">
        <f t="shared" si="29"/>
        <v>88376</v>
      </c>
      <c r="Y262" s="2">
        <f t="shared" si="30"/>
        <v>0</v>
      </c>
      <c r="Z262" s="10">
        <f t="shared" si="34"/>
        <v>0</v>
      </c>
    </row>
    <row r="263" spans="1:26" ht="18" customHeight="1" x14ac:dyDescent="0.25">
      <c r="A263" s="11">
        <v>216</v>
      </c>
      <c r="B263" s="52">
        <v>514011167923</v>
      </c>
      <c r="C263" s="53" t="s">
        <v>594</v>
      </c>
      <c r="D263" s="14" t="s">
        <v>22</v>
      </c>
      <c r="E263" s="53" t="s">
        <v>595</v>
      </c>
      <c r="F263" s="53" t="s">
        <v>24</v>
      </c>
      <c r="G263" s="153">
        <v>1300</v>
      </c>
      <c r="H263" s="54" t="s">
        <v>25</v>
      </c>
      <c r="I263" s="54" t="s">
        <v>596</v>
      </c>
      <c r="J263" s="53">
        <v>256</v>
      </c>
      <c r="K263" s="53">
        <v>435080</v>
      </c>
      <c r="L263" s="41">
        <v>256</v>
      </c>
      <c r="M263" s="41">
        <v>435080</v>
      </c>
      <c r="N263" s="20">
        <v>0</v>
      </c>
      <c r="O263" s="42">
        <v>0</v>
      </c>
      <c r="P263" s="42">
        <v>0</v>
      </c>
      <c r="Q263" s="20">
        <v>0</v>
      </c>
      <c r="R263" s="19">
        <f t="shared" si="35"/>
        <v>435080</v>
      </c>
      <c r="S263" s="19">
        <v>3000</v>
      </c>
      <c r="T263" s="19">
        <f t="shared" si="33"/>
        <v>438080</v>
      </c>
      <c r="U263" s="105"/>
      <c r="X263" s="10">
        <f t="shared" si="29"/>
        <v>435080</v>
      </c>
      <c r="Y263" s="2">
        <f t="shared" si="30"/>
        <v>0</v>
      </c>
      <c r="Z263" s="10">
        <f t="shared" si="34"/>
        <v>0</v>
      </c>
    </row>
    <row r="264" spans="1:26" ht="18" customHeight="1" x14ac:dyDescent="0.25">
      <c r="A264" s="11">
        <v>217</v>
      </c>
      <c r="B264" s="52">
        <v>514011167931</v>
      </c>
      <c r="C264" s="53" t="s">
        <v>597</v>
      </c>
      <c r="D264" s="14" t="s">
        <v>28</v>
      </c>
      <c r="E264" s="53" t="s">
        <v>598</v>
      </c>
      <c r="F264" s="53" t="s">
        <v>24</v>
      </c>
      <c r="G264" s="153">
        <v>1300</v>
      </c>
      <c r="H264" s="54" t="s">
        <v>25</v>
      </c>
      <c r="I264" s="54" t="s">
        <v>599</v>
      </c>
      <c r="J264" s="53">
        <v>52</v>
      </c>
      <c r="K264" s="53">
        <v>88376</v>
      </c>
      <c r="L264" s="41">
        <v>52</v>
      </c>
      <c r="M264" s="41">
        <v>88376</v>
      </c>
      <c r="N264" s="20">
        <v>0</v>
      </c>
      <c r="O264" s="42">
        <v>0</v>
      </c>
      <c r="P264" s="42">
        <v>0</v>
      </c>
      <c r="Q264" s="20">
        <v>0</v>
      </c>
      <c r="R264" s="19">
        <f t="shared" si="35"/>
        <v>88376</v>
      </c>
      <c r="S264" s="19">
        <v>3000</v>
      </c>
      <c r="T264" s="19">
        <f t="shared" si="33"/>
        <v>91376</v>
      </c>
      <c r="U264" s="105"/>
      <c r="X264" s="10">
        <f t="shared" si="29"/>
        <v>88376</v>
      </c>
      <c r="Y264" s="2">
        <f t="shared" si="30"/>
        <v>0</v>
      </c>
      <c r="Z264" s="10">
        <f t="shared" si="34"/>
        <v>0</v>
      </c>
    </row>
    <row r="265" spans="1:26" ht="18" customHeight="1" x14ac:dyDescent="0.25">
      <c r="A265" s="11">
        <v>218</v>
      </c>
      <c r="B265" s="52">
        <v>514011170272</v>
      </c>
      <c r="C265" s="53" t="s">
        <v>600</v>
      </c>
      <c r="D265" s="14" t="s">
        <v>22</v>
      </c>
      <c r="E265" s="53" t="s">
        <v>601</v>
      </c>
      <c r="F265" s="53" t="s">
        <v>24</v>
      </c>
      <c r="G265" s="153">
        <v>1300</v>
      </c>
      <c r="H265" s="54" t="s">
        <v>25</v>
      </c>
      <c r="I265" s="54" t="s">
        <v>602</v>
      </c>
      <c r="J265" s="53">
        <v>84</v>
      </c>
      <c r="K265" s="53">
        <v>142761</v>
      </c>
      <c r="L265" s="41">
        <v>84</v>
      </c>
      <c r="M265" s="41">
        <v>142761</v>
      </c>
      <c r="N265" s="20">
        <v>0</v>
      </c>
      <c r="O265" s="42">
        <v>0</v>
      </c>
      <c r="P265" s="42">
        <v>0</v>
      </c>
      <c r="Q265" s="20">
        <v>0</v>
      </c>
      <c r="R265" s="19">
        <f t="shared" si="35"/>
        <v>142761</v>
      </c>
      <c r="S265" s="19">
        <v>3000</v>
      </c>
      <c r="T265" s="19">
        <f t="shared" si="33"/>
        <v>145761</v>
      </c>
      <c r="U265" s="105"/>
      <c r="X265" s="10">
        <f t="shared" si="29"/>
        <v>142761</v>
      </c>
      <c r="Y265" s="2">
        <f t="shared" si="30"/>
        <v>0</v>
      </c>
      <c r="Z265" s="10">
        <f t="shared" si="34"/>
        <v>0</v>
      </c>
    </row>
    <row r="266" spans="1:26" ht="18" customHeight="1" x14ac:dyDescent="0.25">
      <c r="A266" s="11">
        <v>219</v>
      </c>
      <c r="B266" s="52">
        <v>514011171786</v>
      </c>
      <c r="C266" s="53" t="s">
        <v>603</v>
      </c>
      <c r="D266" s="14" t="s">
        <v>22</v>
      </c>
      <c r="E266" s="53" t="s">
        <v>91</v>
      </c>
      <c r="F266" s="53" t="s">
        <v>24</v>
      </c>
      <c r="G266" s="153">
        <v>900</v>
      </c>
      <c r="H266" s="54" t="s">
        <v>25</v>
      </c>
      <c r="I266" s="54" t="s">
        <v>604</v>
      </c>
      <c r="J266" s="53">
        <v>128</v>
      </c>
      <c r="K266" s="53">
        <v>217540</v>
      </c>
      <c r="L266" s="41">
        <v>128</v>
      </c>
      <c r="M266" s="41">
        <v>217540</v>
      </c>
      <c r="N266" s="20">
        <v>0</v>
      </c>
      <c r="O266" s="42">
        <v>0</v>
      </c>
      <c r="P266" s="42">
        <v>0</v>
      </c>
      <c r="Q266" s="20">
        <v>0</v>
      </c>
      <c r="R266" s="19">
        <f t="shared" si="35"/>
        <v>217540</v>
      </c>
      <c r="S266" s="19">
        <v>3000</v>
      </c>
      <c r="T266" s="19">
        <f t="shared" si="33"/>
        <v>220540</v>
      </c>
      <c r="U266" s="105"/>
      <c r="X266" s="10">
        <f t="shared" si="29"/>
        <v>217540</v>
      </c>
      <c r="Y266" s="2">
        <f t="shared" si="30"/>
        <v>0</v>
      </c>
      <c r="Z266" s="10">
        <f t="shared" si="34"/>
        <v>0</v>
      </c>
    </row>
    <row r="267" spans="1:26" ht="18" customHeight="1" x14ac:dyDescent="0.25">
      <c r="A267" s="11">
        <v>220</v>
      </c>
      <c r="B267" s="52">
        <v>514011176107</v>
      </c>
      <c r="C267" s="53" t="s">
        <v>605</v>
      </c>
      <c r="D267" s="14" t="s">
        <v>28</v>
      </c>
      <c r="E267" s="53" t="s">
        <v>368</v>
      </c>
      <c r="F267" s="53" t="s">
        <v>24</v>
      </c>
      <c r="G267" s="153">
        <v>2200</v>
      </c>
      <c r="H267" s="54" t="s">
        <v>25</v>
      </c>
      <c r="I267" s="54" t="s">
        <v>606</v>
      </c>
      <c r="J267" s="53">
        <v>931</v>
      </c>
      <c r="K267" s="53">
        <v>1582262</v>
      </c>
      <c r="L267" s="41">
        <v>931</v>
      </c>
      <c r="M267" s="41">
        <v>1582262</v>
      </c>
      <c r="N267" s="20">
        <v>0</v>
      </c>
      <c r="O267" s="42">
        <v>0</v>
      </c>
      <c r="P267" s="42">
        <v>0</v>
      </c>
      <c r="Q267" s="20">
        <v>0</v>
      </c>
      <c r="R267" s="19">
        <f t="shared" si="35"/>
        <v>1582262</v>
      </c>
      <c r="S267" s="19">
        <v>3000</v>
      </c>
      <c r="T267" s="19">
        <f t="shared" si="33"/>
        <v>1585262</v>
      </c>
      <c r="U267" s="105"/>
      <c r="X267" s="10">
        <f t="shared" si="29"/>
        <v>1582262</v>
      </c>
      <c r="Y267" s="2">
        <f t="shared" si="30"/>
        <v>0</v>
      </c>
      <c r="Z267" s="10">
        <f t="shared" si="34"/>
        <v>0</v>
      </c>
    </row>
    <row r="268" spans="1:26" ht="18" customHeight="1" x14ac:dyDescent="0.25">
      <c r="A268" s="11">
        <v>221</v>
      </c>
      <c r="B268" s="52">
        <v>514011195186</v>
      </c>
      <c r="C268" s="53" t="s">
        <v>607</v>
      </c>
      <c r="D268" s="14" t="s">
        <v>28</v>
      </c>
      <c r="E268" s="53" t="s">
        <v>210</v>
      </c>
      <c r="F268" s="53" t="s">
        <v>24</v>
      </c>
      <c r="G268" s="153">
        <v>2200</v>
      </c>
      <c r="H268" s="54" t="s">
        <v>25</v>
      </c>
      <c r="I268" s="54" t="s">
        <v>608</v>
      </c>
      <c r="J268" s="53">
        <v>331</v>
      </c>
      <c r="K268" s="53">
        <v>562544</v>
      </c>
      <c r="L268" s="41">
        <v>331</v>
      </c>
      <c r="M268" s="41">
        <v>562544</v>
      </c>
      <c r="N268" s="20">
        <v>0</v>
      </c>
      <c r="O268" s="42">
        <v>0</v>
      </c>
      <c r="P268" s="42">
        <v>0</v>
      </c>
      <c r="Q268" s="20">
        <v>0</v>
      </c>
      <c r="R268" s="19">
        <f t="shared" si="35"/>
        <v>562544</v>
      </c>
      <c r="S268" s="19">
        <v>3000</v>
      </c>
      <c r="T268" s="19">
        <f t="shared" si="33"/>
        <v>565544</v>
      </c>
      <c r="U268" s="105"/>
      <c r="X268" s="10">
        <f t="shared" si="29"/>
        <v>562544</v>
      </c>
      <c r="Y268" s="2">
        <f t="shared" si="30"/>
        <v>0</v>
      </c>
      <c r="Z268" s="10">
        <f t="shared" si="34"/>
        <v>0</v>
      </c>
    </row>
    <row r="269" spans="1:26" ht="18" customHeight="1" x14ac:dyDescent="0.25">
      <c r="A269" s="11">
        <v>222</v>
      </c>
      <c r="B269" s="52">
        <v>514011196656</v>
      </c>
      <c r="C269" s="53" t="s">
        <v>609</v>
      </c>
      <c r="D269" s="14" t="s">
        <v>28</v>
      </c>
      <c r="E269" s="53" t="s">
        <v>610</v>
      </c>
      <c r="F269" s="53" t="s">
        <v>24</v>
      </c>
      <c r="G269" s="153">
        <v>1300</v>
      </c>
      <c r="H269" s="54" t="s">
        <v>25</v>
      </c>
      <c r="I269" s="54" t="s">
        <v>611</v>
      </c>
      <c r="J269" s="53">
        <v>257</v>
      </c>
      <c r="K269" s="53">
        <v>436779</v>
      </c>
      <c r="L269" s="41">
        <v>257</v>
      </c>
      <c r="M269" s="41">
        <v>436779</v>
      </c>
      <c r="N269" s="20">
        <v>0</v>
      </c>
      <c r="O269" s="42">
        <v>0</v>
      </c>
      <c r="P269" s="42">
        <v>0</v>
      </c>
      <c r="Q269" s="20">
        <v>0</v>
      </c>
      <c r="R269" s="19">
        <f t="shared" si="35"/>
        <v>436779</v>
      </c>
      <c r="S269" s="19">
        <v>3000</v>
      </c>
      <c r="T269" s="19">
        <f t="shared" si="33"/>
        <v>439779</v>
      </c>
      <c r="U269" s="105"/>
      <c r="X269" s="10">
        <f t="shared" si="29"/>
        <v>436779</v>
      </c>
      <c r="Y269" s="2">
        <f t="shared" si="30"/>
        <v>0</v>
      </c>
      <c r="Z269" s="10">
        <f t="shared" si="34"/>
        <v>0</v>
      </c>
    </row>
    <row r="270" spans="1:26" ht="18" customHeight="1" x14ac:dyDescent="0.25">
      <c r="A270" s="11">
        <v>223</v>
      </c>
      <c r="B270" s="52">
        <v>514011198382</v>
      </c>
      <c r="C270" s="53" t="s">
        <v>612</v>
      </c>
      <c r="D270" s="14" t="s">
        <v>22</v>
      </c>
      <c r="E270" s="53" t="s">
        <v>613</v>
      </c>
      <c r="F270" s="53" t="s">
        <v>24</v>
      </c>
      <c r="G270" s="153">
        <v>1300</v>
      </c>
      <c r="H270" s="54" t="s">
        <v>25</v>
      </c>
      <c r="I270" s="54" t="s">
        <v>614</v>
      </c>
      <c r="J270" s="53">
        <v>168</v>
      </c>
      <c r="K270" s="53">
        <v>285521</v>
      </c>
      <c r="L270" s="41">
        <v>168</v>
      </c>
      <c r="M270" s="41">
        <v>285521</v>
      </c>
      <c r="N270" s="20">
        <v>0</v>
      </c>
      <c r="O270" s="42">
        <v>0</v>
      </c>
      <c r="P270" s="42">
        <v>0</v>
      </c>
      <c r="Q270" s="20">
        <v>0</v>
      </c>
      <c r="R270" s="19">
        <f t="shared" si="35"/>
        <v>285521</v>
      </c>
      <c r="S270" s="19">
        <v>3000</v>
      </c>
      <c r="T270" s="19">
        <f t="shared" si="33"/>
        <v>288521</v>
      </c>
      <c r="U270" s="105"/>
      <c r="X270" s="10">
        <f t="shared" si="29"/>
        <v>285521</v>
      </c>
      <c r="Y270" s="2">
        <f t="shared" si="30"/>
        <v>0</v>
      </c>
      <c r="Z270" s="10">
        <f t="shared" si="34"/>
        <v>0</v>
      </c>
    </row>
    <row r="271" spans="1:26" ht="18" customHeight="1" x14ac:dyDescent="0.25">
      <c r="A271" s="11">
        <v>224</v>
      </c>
      <c r="B271" s="52">
        <v>514011200285</v>
      </c>
      <c r="C271" s="53" t="s">
        <v>615</v>
      </c>
      <c r="D271" s="14" t="s">
        <v>22</v>
      </c>
      <c r="E271" s="53" t="s">
        <v>616</v>
      </c>
      <c r="F271" s="53" t="s">
        <v>24</v>
      </c>
      <c r="G271" s="153">
        <v>2200</v>
      </c>
      <c r="H271" s="54" t="s">
        <v>25</v>
      </c>
      <c r="I271" s="54" t="s">
        <v>617</v>
      </c>
      <c r="J271" s="53">
        <v>454</v>
      </c>
      <c r="K271" s="53">
        <v>771587</v>
      </c>
      <c r="L271" s="41">
        <v>454</v>
      </c>
      <c r="M271" s="41">
        <v>771587</v>
      </c>
      <c r="N271" s="20">
        <v>0</v>
      </c>
      <c r="O271" s="42">
        <v>0</v>
      </c>
      <c r="P271" s="42">
        <v>0</v>
      </c>
      <c r="Q271" s="20">
        <v>0</v>
      </c>
      <c r="R271" s="19">
        <f t="shared" si="35"/>
        <v>771587</v>
      </c>
      <c r="S271" s="19">
        <v>3000</v>
      </c>
      <c r="T271" s="19">
        <f t="shared" si="33"/>
        <v>774587</v>
      </c>
      <c r="U271" s="105"/>
      <c r="X271" s="10">
        <f t="shared" si="29"/>
        <v>771587</v>
      </c>
      <c r="Y271" s="2">
        <f t="shared" si="30"/>
        <v>0</v>
      </c>
      <c r="Z271" s="10">
        <f t="shared" si="34"/>
        <v>0</v>
      </c>
    </row>
    <row r="272" spans="1:26" ht="18" customHeight="1" x14ac:dyDescent="0.25">
      <c r="A272" s="11">
        <v>225</v>
      </c>
      <c r="B272" s="52">
        <v>514011201590</v>
      </c>
      <c r="C272" s="53" t="s">
        <v>618</v>
      </c>
      <c r="D272" s="14" t="s">
        <v>22</v>
      </c>
      <c r="E272" s="53" t="s">
        <v>619</v>
      </c>
      <c r="F272" s="53" t="s">
        <v>24</v>
      </c>
      <c r="G272" s="153">
        <v>2200</v>
      </c>
      <c r="H272" s="54" t="s">
        <v>25</v>
      </c>
      <c r="I272" s="54" t="s">
        <v>620</v>
      </c>
      <c r="J272" s="53">
        <v>257</v>
      </c>
      <c r="K272" s="53">
        <v>436779</v>
      </c>
      <c r="L272" s="41">
        <v>257</v>
      </c>
      <c r="M272" s="41">
        <v>436779</v>
      </c>
      <c r="N272" s="20">
        <v>0</v>
      </c>
      <c r="O272" s="42">
        <v>0</v>
      </c>
      <c r="P272" s="42">
        <v>0</v>
      </c>
      <c r="Q272" s="20">
        <v>0</v>
      </c>
      <c r="R272" s="19">
        <f t="shared" si="35"/>
        <v>436779</v>
      </c>
      <c r="S272" s="19">
        <v>3000</v>
      </c>
      <c r="T272" s="19">
        <f t="shared" si="33"/>
        <v>439779</v>
      </c>
      <c r="U272" s="105"/>
      <c r="X272" s="10">
        <f t="shared" si="29"/>
        <v>436779</v>
      </c>
      <c r="Y272" s="2">
        <f t="shared" si="30"/>
        <v>0</v>
      </c>
      <c r="Z272" s="10">
        <f t="shared" si="34"/>
        <v>0</v>
      </c>
    </row>
    <row r="273" spans="1:26" ht="18" customHeight="1" x14ac:dyDescent="0.25">
      <c r="A273" s="11">
        <v>226</v>
      </c>
      <c r="B273" s="52">
        <v>514011202302</v>
      </c>
      <c r="C273" s="53" t="s">
        <v>621</v>
      </c>
      <c r="D273" s="14" t="s">
        <v>28</v>
      </c>
      <c r="E273" s="53" t="s">
        <v>622</v>
      </c>
      <c r="F273" s="53" t="s">
        <v>24</v>
      </c>
      <c r="G273" s="153">
        <v>900</v>
      </c>
      <c r="H273" s="54" t="s">
        <v>25</v>
      </c>
      <c r="I273" s="54" t="s">
        <v>623</v>
      </c>
      <c r="J273" s="53">
        <v>53</v>
      </c>
      <c r="K273" s="53">
        <v>90075</v>
      </c>
      <c r="L273" s="41">
        <v>53</v>
      </c>
      <c r="M273" s="41">
        <v>90075</v>
      </c>
      <c r="N273" s="20">
        <v>0</v>
      </c>
      <c r="O273" s="42">
        <v>0</v>
      </c>
      <c r="P273" s="42">
        <v>0</v>
      </c>
      <c r="Q273" s="20">
        <v>0</v>
      </c>
      <c r="R273" s="19">
        <f t="shared" si="35"/>
        <v>90075</v>
      </c>
      <c r="S273" s="19">
        <v>3000</v>
      </c>
      <c r="T273" s="19">
        <f t="shared" si="33"/>
        <v>93075</v>
      </c>
      <c r="U273" s="105"/>
      <c r="X273" s="10">
        <f t="shared" si="29"/>
        <v>90075</v>
      </c>
      <c r="Y273" s="2">
        <f t="shared" si="30"/>
        <v>0</v>
      </c>
      <c r="Z273" s="10">
        <f t="shared" si="34"/>
        <v>0</v>
      </c>
    </row>
    <row r="274" spans="1:26" ht="18" customHeight="1" x14ac:dyDescent="0.25">
      <c r="A274" s="11">
        <v>227</v>
      </c>
      <c r="B274" s="52">
        <v>514011207901</v>
      </c>
      <c r="C274" s="53" t="s">
        <v>624</v>
      </c>
      <c r="D274" s="14" t="s">
        <v>28</v>
      </c>
      <c r="E274" s="53" t="s">
        <v>625</v>
      </c>
      <c r="F274" s="53" t="s">
        <v>24</v>
      </c>
      <c r="G274" s="153">
        <v>1300</v>
      </c>
      <c r="H274" s="54" t="s">
        <v>25</v>
      </c>
      <c r="I274" s="54" t="s">
        <v>626</v>
      </c>
      <c r="J274" s="53">
        <v>202</v>
      </c>
      <c r="K274" s="53">
        <v>343305</v>
      </c>
      <c r="L274" s="41">
        <v>202</v>
      </c>
      <c r="M274" s="41">
        <v>343305</v>
      </c>
      <c r="N274" s="20">
        <v>0</v>
      </c>
      <c r="O274" s="42">
        <v>0</v>
      </c>
      <c r="P274" s="42">
        <v>0</v>
      </c>
      <c r="Q274" s="20">
        <v>0</v>
      </c>
      <c r="R274" s="19">
        <f t="shared" si="35"/>
        <v>343305</v>
      </c>
      <c r="S274" s="19">
        <v>3000</v>
      </c>
      <c r="T274" s="19">
        <f t="shared" si="33"/>
        <v>346305</v>
      </c>
      <c r="U274" s="105"/>
      <c r="X274" s="10">
        <f t="shared" si="29"/>
        <v>343305</v>
      </c>
      <c r="Y274" s="2">
        <f t="shared" si="30"/>
        <v>0</v>
      </c>
      <c r="Z274" s="10">
        <f t="shared" si="34"/>
        <v>0</v>
      </c>
    </row>
    <row r="275" spans="1:26" ht="18" customHeight="1" x14ac:dyDescent="0.25">
      <c r="A275" s="11">
        <v>228</v>
      </c>
      <c r="B275" s="52">
        <v>514011208795</v>
      </c>
      <c r="C275" s="53" t="s">
        <v>627</v>
      </c>
      <c r="D275" s="14" t="s">
        <v>28</v>
      </c>
      <c r="E275" s="53" t="s">
        <v>223</v>
      </c>
      <c r="F275" s="53" t="s">
        <v>24</v>
      </c>
      <c r="G275" s="153">
        <v>3500</v>
      </c>
      <c r="H275" s="54" t="s">
        <v>25</v>
      </c>
      <c r="I275" s="54" t="s">
        <v>628</v>
      </c>
      <c r="J275" s="53">
        <v>311</v>
      </c>
      <c r="K275" s="53">
        <v>528554</v>
      </c>
      <c r="L275" s="41">
        <v>311</v>
      </c>
      <c r="M275" s="41">
        <v>528554</v>
      </c>
      <c r="N275" s="20">
        <v>0</v>
      </c>
      <c r="O275" s="42">
        <v>0</v>
      </c>
      <c r="P275" s="42">
        <v>0</v>
      </c>
      <c r="Q275" s="20">
        <v>0</v>
      </c>
      <c r="R275" s="19">
        <f t="shared" si="35"/>
        <v>528554</v>
      </c>
      <c r="S275" s="19">
        <v>3000</v>
      </c>
      <c r="T275" s="19">
        <f t="shared" si="33"/>
        <v>531554</v>
      </c>
      <c r="U275" s="105"/>
      <c r="X275" s="10">
        <f t="shared" si="29"/>
        <v>528554</v>
      </c>
      <c r="Y275" s="2">
        <f t="shared" si="30"/>
        <v>0</v>
      </c>
      <c r="Z275" s="10">
        <f t="shared" si="34"/>
        <v>0</v>
      </c>
    </row>
    <row r="276" spans="1:26" ht="18" customHeight="1" x14ac:dyDescent="0.25">
      <c r="A276" s="11">
        <v>229</v>
      </c>
      <c r="B276" s="52">
        <v>514011224786</v>
      </c>
      <c r="C276" s="53" t="s">
        <v>629</v>
      </c>
      <c r="D276" s="14" t="s">
        <v>22</v>
      </c>
      <c r="E276" s="53" t="s">
        <v>630</v>
      </c>
      <c r="F276" s="53" t="s">
        <v>24</v>
      </c>
      <c r="G276" s="153">
        <v>1300</v>
      </c>
      <c r="H276" s="54" t="s">
        <v>25</v>
      </c>
      <c r="I276" s="54" t="s">
        <v>631</v>
      </c>
      <c r="J276" s="53">
        <v>180</v>
      </c>
      <c r="K276" s="53">
        <v>305915</v>
      </c>
      <c r="L276" s="41">
        <v>180</v>
      </c>
      <c r="M276" s="41">
        <v>305915</v>
      </c>
      <c r="N276" s="20">
        <v>0</v>
      </c>
      <c r="O276" s="42">
        <v>0</v>
      </c>
      <c r="P276" s="42">
        <v>0</v>
      </c>
      <c r="Q276" s="20">
        <v>0</v>
      </c>
      <c r="R276" s="19">
        <f t="shared" si="35"/>
        <v>305915</v>
      </c>
      <c r="S276" s="19">
        <v>3000</v>
      </c>
      <c r="T276" s="19">
        <f t="shared" si="33"/>
        <v>308915</v>
      </c>
      <c r="U276" s="105"/>
      <c r="X276" s="10">
        <f t="shared" ref="X276:X286" si="36">M276+N276+O276+P276</f>
        <v>305915</v>
      </c>
      <c r="Y276" s="2">
        <f t="shared" ref="Y276:Y286" si="37">IF(X276&gt;5000000,10000,IF(V276&lt;5000000,0,IF(V276=5000000,10000)))</f>
        <v>0</v>
      </c>
      <c r="Z276" s="10">
        <f t="shared" si="34"/>
        <v>0</v>
      </c>
    </row>
    <row r="277" spans="1:26" ht="18" customHeight="1" x14ac:dyDescent="0.25">
      <c r="A277" s="11">
        <v>230</v>
      </c>
      <c r="B277" s="52">
        <v>514011243213</v>
      </c>
      <c r="C277" s="53" t="s">
        <v>632</v>
      </c>
      <c r="D277" s="14" t="s">
        <v>28</v>
      </c>
      <c r="E277" s="53" t="s">
        <v>633</v>
      </c>
      <c r="F277" s="53" t="s">
        <v>24</v>
      </c>
      <c r="G277" s="153">
        <v>3500</v>
      </c>
      <c r="H277" s="54" t="s">
        <v>25</v>
      </c>
      <c r="I277" s="54" t="s">
        <v>634</v>
      </c>
      <c r="J277" s="53">
        <v>728</v>
      </c>
      <c r="K277" s="53">
        <v>1237258</v>
      </c>
      <c r="L277" s="41">
        <v>728</v>
      </c>
      <c r="M277" s="41">
        <v>1237258</v>
      </c>
      <c r="N277" s="20">
        <v>0</v>
      </c>
      <c r="O277" s="42">
        <v>0</v>
      </c>
      <c r="P277" s="42">
        <v>0</v>
      </c>
      <c r="Q277" s="20">
        <v>0</v>
      </c>
      <c r="R277" s="19">
        <f t="shared" si="35"/>
        <v>1237258</v>
      </c>
      <c r="S277" s="19">
        <v>3000</v>
      </c>
      <c r="T277" s="19">
        <f t="shared" si="33"/>
        <v>1240258</v>
      </c>
      <c r="U277" s="105"/>
      <c r="X277" s="10">
        <f t="shared" si="36"/>
        <v>1237258</v>
      </c>
      <c r="Y277" s="2">
        <f t="shared" si="37"/>
        <v>0</v>
      </c>
      <c r="Z277" s="10">
        <f t="shared" si="34"/>
        <v>0</v>
      </c>
    </row>
    <row r="278" spans="1:26" ht="18" customHeight="1" x14ac:dyDescent="0.25">
      <c r="A278" s="11">
        <v>231</v>
      </c>
      <c r="B278" s="52">
        <v>514011243221</v>
      </c>
      <c r="C278" s="53" t="s">
        <v>635</v>
      </c>
      <c r="D278" s="14" t="s">
        <v>22</v>
      </c>
      <c r="E278" s="53" t="s">
        <v>636</v>
      </c>
      <c r="F278" s="53" t="s">
        <v>24</v>
      </c>
      <c r="G278" s="153">
        <v>3500</v>
      </c>
      <c r="H278" s="54" t="s">
        <v>25</v>
      </c>
      <c r="I278" s="54" t="s">
        <v>637</v>
      </c>
      <c r="J278" s="53">
        <v>412</v>
      </c>
      <c r="K278" s="53">
        <v>700206</v>
      </c>
      <c r="L278" s="41">
        <v>412</v>
      </c>
      <c r="M278" s="41">
        <v>700206</v>
      </c>
      <c r="N278" s="20">
        <v>0</v>
      </c>
      <c r="O278" s="42">
        <v>0</v>
      </c>
      <c r="P278" s="42">
        <v>0</v>
      </c>
      <c r="Q278" s="20">
        <v>0</v>
      </c>
      <c r="R278" s="19">
        <f t="shared" si="35"/>
        <v>700206</v>
      </c>
      <c r="S278" s="19">
        <v>3000</v>
      </c>
      <c r="T278" s="19">
        <f t="shared" si="33"/>
        <v>703206</v>
      </c>
      <c r="U278" s="105"/>
      <c r="X278" s="10">
        <f t="shared" si="36"/>
        <v>700206</v>
      </c>
      <c r="Y278" s="2">
        <f t="shared" si="37"/>
        <v>0</v>
      </c>
      <c r="Z278" s="10">
        <f t="shared" si="34"/>
        <v>0</v>
      </c>
    </row>
    <row r="279" spans="1:26" ht="18" customHeight="1" x14ac:dyDescent="0.25">
      <c r="A279" s="11">
        <v>232</v>
      </c>
      <c r="B279" s="52">
        <v>514011266504</v>
      </c>
      <c r="C279" s="53" t="s">
        <v>638</v>
      </c>
      <c r="D279" s="14" t="s">
        <v>22</v>
      </c>
      <c r="E279" s="53" t="s">
        <v>639</v>
      </c>
      <c r="F279" s="53" t="s">
        <v>24</v>
      </c>
      <c r="G279" s="153">
        <v>33000</v>
      </c>
      <c r="H279" s="54" t="s">
        <v>25</v>
      </c>
      <c r="I279" s="54" t="s">
        <v>640</v>
      </c>
      <c r="J279" s="53">
        <v>3664</v>
      </c>
      <c r="K279" s="53">
        <v>6227078</v>
      </c>
      <c r="L279" s="41">
        <v>3664</v>
      </c>
      <c r="M279" s="41">
        <v>6227078</v>
      </c>
      <c r="N279" s="20">
        <v>0</v>
      </c>
      <c r="O279" s="42">
        <v>0</v>
      </c>
      <c r="P279" s="42">
        <v>0</v>
      </c>
      <c r="Q279" s="20">
        <v>10000</v>
      </c>
      <c r="R279" s="19">
        <f t="shared" si="35"/>
        <v>6237078</v>
      </c>
      <c r="S279" s="19">
        <v>3000</v>
      </c>
      <c r="T279" s="19">
        <f t="shared" si="33"/>
        <v>6240078</v>
      </c>
      <c r="U279" s="105"/>
      <c r="X279" s="10">
        <f t="shared" si="36"/>
        <v>6227078</v>
      </c>
      <c r="Y279" s="2">
        <f t="shared" si="37"/>
        <v>10000</v>
      </c>
      <c r="Z279" s="10">
        <f t="shared" si="34"/>
        <v>0</v>
      </c>
    </row>
    <row r="280" spans="1:26" ht="18" customHeight="1" x14ac:dyDescent="0.25">
      <c r="A280" s="14"/>
      <c r="B280" s="15"/>
      <c r="C280" s="14"/>
      <c r="D280" s="14"/>
      <c r="E280" s="14"/>
      <c r="F280" s="15"/>
      <c r="G280" s="46"/>
      <c r="H280" s="47"/>
      <c r="I280" s="15"/>
      <c r="J280" s="15"/>
      <c r="K280" s="15"/>
      <c r="L280" s="18"/>
      <c r="M280" s="19"/>
      <c r="N280" s="20"/>
      <c r="O280" s="20"/>
      <c r="P280" s="20"/>
      <c r="Q280" s="20"/>
      <c r="R280" s="19"/>
      <c r="S280" s="19"/>
      <c r="T280" s="19"/>
      <c r="U280" s="105"/>
      <c r="X280" s="10">
        <f t="shared" si="36"/>
        <v>0</v>
      </c>
      <c r="Y280" s="2">
        <f t="shared" si="37"/>
        <v>0</v>
      </c>
      <c r="Z280" s="10">
        <f t="shared" si="34"/>
        <v>0</v>
      </c>
    </row>
    <row r="281" spans="1:26" s="25" customFormat="1" ht="33" customHeight="1" x14ac:dyDescent="0.25">
      <c r="A281" s="34" t="s">
        <v>641</v>
      </c>
      <c r="B281" s="40"/>
      <c r="C281" s="40"/>
      <c r="D281" s="40"/>
      <c r="E281" s="40"/>
      <c r="F281" s="40"/>
      <c r="G281" s="36">
        <f>SUM(G247:G280)</f>
        <v>1101980</v>
      </c>
      <c r="H281" s="36">
        <f t="shared" ref="H281:R281" si="38">SUM(H247:H280)</f>
        <v>0</v>
      </c>
      <c r="I281" s="36">
        <f t="shared" si="38"/>
        <v>0</v>
      </c>
      <c r="J281" s="36"/>
      <c r="K281" s="36"/>
      <c r="L281" s="36">
        <f t="shared" si="38"/>
        <v>281381</v>
      </c>
      <c r="M281" s="36">
        <f t="shared" si="38"/>
        <v>478215455</v>
      </c>
      <c r="N281" s="36">
        <f t="shared" si="38"/>
        <v>0</v>
      </c>
      <c r="O281" s="36">
        <f t="shared" si="38"/>
        <v>0</v>
      </c>
      <c r="P281" s="36">
        <f t="shared" si="38"/>
        <v>0</v>
      </c>
      <c r="Q281" s="36">
        <f t="shared" si="38"/>
        <v>50000</v>
      </c>
      <c r="R281" s="36">
        <f t="shared" si="38"/>
        <v>478265455</v>
      </c>
      <c r="S281" s="36">
        <f>SUM(S247:S280)</f>
        <v>696000</v>
      </c>
      <c r="T281" s="36">
        <f>SUM(T247:T280)</f>
        <v>478961455</v>
      </c>
      <c r="U281" s="39"/>
      <c r="V281" s="25">
        <v>478265455</v>
      </c>
      <c r="W281" s="48">
        <f>R281-V281</f>
        <v>0</v>
      </c>
      <c r="X281" s="10">
        <f t="shared" si="36"/>
        <v>478215455</v>
      </c>
      <c r="Y281" s="2">
        <f t="shared" si="37"/>
        <v>10000</v>
      </c>
      <c r="Z281" s="10"/>
    </row>
    <row r="282" spans="1:26" s="25" customFormat="1" ht="18" customHeight="1" x14ac:dyDescent="0.25">
      <c r="A282" s="49"/>
      <c r="B282" s="50"/>
      <c r="C282" s="50"/>
      <c r="D282" s="50"/>
      <c r="E282" s="50"/>
      <c r="F282" s="50"/>
      <c r="G282" s="39"/>
      <c r="H282" s="39"/>
      <c r="I282" s="3"/>
      <c r="J282" s="3"/>
      <c r="K282" s="3"/>
      <c r="L282" s="28"/>
      <c r="M282" s="5"/>
      <c r="N282" s="29"/>
      <c r="O282" s="29"/>
      <c r="P282" s="29"/>
      <c r="Q282" s="29"/>
      <c r="R282" s="30"/>
      <c r="S282" s="30"/>
      <c r="T282" s="30"/>
      <c r="U282" s="30"/>
      <c r="X282" s="10">
        <f t="shared" si="36"/>
        <v>0</v>
      </c>
      <c r="Y282" s="2">
        <f t="shared" si="37"/>
        <v>0</v>
      </c>
      <c r="Z282" s="10"/>
    </row>
    <row r="283" spans="1:26" ht="18" customHeight="1" x14ac:dyDescent="0.25">
      <c r="A283" s="49"/>
      <c r="B283" s="50"/>
      <c r="C283" s="50"/>
      <c r="D283" s="50"/>
      <c r="E283" s="50"/>
      <c r="F283" s="50"/>
      <c r="G283" s="39"/>
      <c r="H283" s="39"/>
      <c r="L283" s="28"/>
      <c r="X283" s="10">
        <f t="shared" si="36"/>
        <v>0</v>
      </c>
      <c r="Y283" s="2">
        <f t="shared" si="37"/>
        <v>0</v>
      </c>
      <c r="Z283" s="10"/>
    </row>
    <row r="284" spans="1:26" ht="18" customHeight="1" x14ac:dyDescent="0.25">
      <c r="A284" s="51" t="s">
        <v>642</v>
      </c>
      <c r="B284" s="15"/>
      <c r="C284" s="14"/>
      <c r="D284" s="5"/>
      <c r="E284" s="5"/>
      <c r="F284" s="5"/>
      <c r="G284" s="5"/>
      <c r="H284" s="5"/>
      <c r="I284" s="5"/>
      <c r="J284" s="5"/>
      <c r="K284" s="5"/>
      <c r="L284" s="5"/>
      <c r="N284" s="5"/>
      <c r="O284" s="5"/>
      <c r="P284" s="5"/>
      <c r="Q284" s="5"/>
      <c r="U284" s="105"/>
      <c r="X284" s="10">
        <f t="shared" si="36"/>
        <v>0</v>
      </c>
      <c r="Y284" s="2">
        <f t="shared" si="37"/>
        <v>0</v>
      </c>
      <c r="Z284" s="10"/>
    </row>
    <row r="285" spans="1:26" s="84" customFormat="1" ht="39" customHeight="1" x14ac:dyDescent="0.25">
      <c r="A285" s="9" t="s">
        <v>4</v>
      </c>
      <c r="B285" s="21" t="s">
        <v>5</v>
      </c>
      <c r="C285" s="21" t="s">
        <v>6</v>
      </c>
      <c r="D285" s="12"/>
      <c r="E285" s="9" t="s">
        <v>7</v>
      </c>
      <c r="F285" s="21" t="s">
        <v>8</v>
      </c>
      <c r="G285" s="21" t="s">
        <v>9</v>
      </c>
      <c r="H285" s="21" t="s">
        <v>10</v>
      </c>
      <c r="I285" s="21" t="s">
        <v>11</v>
      </c>
      <c r="J285" s="21" t="s">
        <v>12</v>
      </c>
      <c r="K285" s="21" t="s">
        <v>13</v>
      </c>
      <c r="L285" s="21" t="s">
        <v>14</v>
      </c>
      <c r="M285" s="143" t="s">
        <v>15</v>
      </c>
      <c r="N285" s="144" t="s">
        <v>16</v>
      </c>
      <c r="O285" s="144" t="s">
        <v>17</v>
      </c>
      <c r="P285" s="144" t="s">
        <v>18</v>
      </c>
      <c r="Q285" s="144" t="s">
        <v>19</v>
      </c>
      <c r="R285" s="143" t="s">
        <v>20</v>
      </c>
      <c r="S285" s="143" t="s">
        <v>3471</v>
      </c>
      <c r="T285" s="143" t="s">
        <v>3472</v>
      </c>
      <c r="U285" s="145"/>
      <c r="V285" s="145"/>
      <c r="W285" s="145"/>
      <c r="X285" s="145"/>
    </row>
    <row r="286" spans="1:26" ht="18" customHeight="1" x14ac:dyDescent="0.25">
      <c r="A286" s="14">
        <v>1</v>
      </c>
      <c r="B286" s="52">
        <v>514030346105</v>
      </c>
      <c r="C286" s="53" t="s">
        <v>45</v>
      </c>
      <c r="D286" s="35" t="s">
        <v>28</v>
      </c>
      <c r="E286" s="53" t="s">
        <v>643</v>
      </c>
      <c r="F286" s="54" t="s">
        <v>24</v>
      </c>
      <c r="G286" s="55">
        <v>7700</v>
      </c>
      <c r="H286" s="54">
        <v>202505</v>
      </c>
      <c r="I286" s="54" t="s">
        <v>644</v>
      </c>
      <c r="J286" s="56">
        <v>32036</v>
      </c>
      <c r="K286" s="56">
        <v>33149</v>
      </c>
      <c r="L286" s="57">
        <v>1113</v>
      </c>
      <c r="M286" s="58">
        <v>2020741</v>
      </c>
      <c r="N286" s="59">
        <v>0</v>
      </c>
      <c r="O286" s="60">
        <v>0</v>
      </c>
      <c r="P286" s="60">
        <v>0</v>
      </c>
      <c r="Q286" s="20">
        <v>0</v>
      </c>
      <c r="R286" s="19">
        <f t="shared" ref="R286:R325" si="39">M286+N286+O286+P286+Q286</f>
        <v>2020741</v>
      </c>
      <c r="S286" s="19">
        <v>3000</v>
      </c>
      <c r="T286" s="19">
        <f t="shared" ref="T286:T325" si="40">R286+S286</f>
        <v>2023741</v>
      </c>
      <c r="U286" s="105"/>
      <c r="X286" s="10">
        <f t="shared" si="36"/>
        <v>2020741</v>
      </c>
      <c r="Y286" s="2">
        <f t="shared" si="37"/>
        <v>0</v>
      </c>
      <c r="Z286" s="10"/>
    </row>
    <row r="287" spans="1:26" ht="18" customHeight="1" x14ac:dyDescent="0.25">
      <c r="A287" s="14">
        <v>2</v>
      </c>
      <c r="B287" s="52">
        <v>514030997798</v>
      </c>
      <c r="C287" s="53" t="s">
        <v>45</v>
      </c>
      <c r="D287" s="35" t="s">
        <v>28</v>
      </c>
      <c r="E287" s="53" t="s">
        <v>645</v>
      </c>
      <c r="F287" s="54" t="s">
        <v>24</v>
      </c>
      <c r="G287" s="55">
        <v>5500</v>
      </c>
      <c r="H287" s="54">
        <v>202505</v>
      </c>
      <c r="I287" s="54" t="s">
        <v>646</v>
      </c>
      <c r="J287" s="56">
        <v>61700</v>
      </c>
      <c r="K287" s="56">
        <v>62965</v>
      </c>
      <c r="L287" s="57">
        <v>1265</v>
      </c>
      <c r="M287" s="58">
        <v>1801502</v>
      </c>
      <c r="N287" s="60">
        <v>0</v>
      </c>
      <c r="O287" s="60">
        <v>0</v>
      </c>
      <c r="P287" s="60">
        <v>0</v>
      </c>
      <c r="Q287" s="20">
        <v>0</v>
      </c>
      <c r="R287" s="19">
        <f t="shared" si="39"/>
        <v>1801502</v>
      </c>
      <c r="S287" s="19">
        <v>3000</v>
      </c>
      <c r="T287" s="19">
        <f t="shared" si="40"/>
        <v>1804502</v>
      </c>
      <c r="U287" s="105"/>
      <c r="X287" s="10"/>
      <c r="Z287" s="10"/>
    </row>
    <row r="288" spans="1:26" ht="18" customHeight="1" x14ac:dyDescent="0.25">
      <c r="A288" s="14">
        <v>3</v>
      </c>
      <c r="B288" s="52">
        <v>514031004076</v>
      </c>
      <c r="C288" s="53" t="s">
        <v>45</v>
      </c>
      <c r="D288" s="35" t="s">
        <v>28</v>
      </c>
      <c r="E288" s="53" t="s">
        <v>645</v>
      </c>
      <c r="F288" s="54" t="s">
        <v>24</v>
      </c>
      <c r="G288" s="55">
        <v>4400</v>
      </c>
      <c r="H288" s="54">
        <v>202505</v>
      </c>
      <c r="I288" s="54" t="s">
        <v>647</v>
      </c>
      <c r="J288" s="56">
        <v>91742</v>
      </c>
      <c r="K288" s="56">
        <v>92904</v>
      </c>
      <c r="L288" s="57">
        <v>1162</v>
      </c>
      <c r="M288" s="58">
        <v>1867783</v>
      </c>
      <c r="N288" s="60">
        <v>0</v>
      </c>
      <c r="O288" s="60">
        <v>0</v>
      </c>
      <c r="P288" s="60">
        <v>0</v>
      </c>
      <c r="Q288" s="20">
        <v>0</v>
      </c>
      <c r="R288" s="19">
        <f t="shared" si="39"/>
        <v>1867783</v>
      </c>
      <c r="S288" s="19">
        <v>3000</v>
      </c>
      <c r="T288" s="19">
        <f t="shared" si="40"/>
        <v>1870783</v>
      </c>
      <c r="U288" s="105"/>
      <c r="X288" s="10"/>
      <c r="Z288" s="10"/>
    </row>
    <row r="289" spans="1:26" ht="18" customHeight="1" x14ac:dyDescent="0.25">
      <c r="A289" s="14">
        <v>4</v>
      </c>
      <c r="B289" s="52">
        <v>514031018551</v>
      </c>
      <c r="C289" s="53" t="s">
        <v>45</v>
      </c>
      <c r="D289" s="35" t="s">
        <v>28</v>
      </c>
      <c r="E289" s="53" t="s">
        <v>648</v>
      </c>
      <c r="F289" s="54" t="s">
        <v>24</v>
      </c>
      <c r="G289" s="55">
        <v>7700</v>
      </c>
      <c r="H289" s="54">
        <v>202505</v>
      </c>
      <c r="I289" s="54" t="s">
        <v>649</v>
      </c>
      <c r="J289" s="56">
        <v>33382</v>
      </c>
      <c r="K289" s="56">
        <v>35237</v>
      </c>
      <c r="L289" s="57">
        <v>1855</v>
      </c>
      <c r="M289" s="58">
        <v>3086346</v>
      </c>
      <c r="N289" s="60">
        <v>0</v>
      </c>
      <c r="O289" s="60">
        <v>0</v>
      </c>
      <c r="P289" s="60">
        <v>0</v>
      </c>
      <c r="Q289" s="20">
        <v>0</v>
      </c>
      <c r="R289" s="19">
        <f t="shared" si="39"/>
        <v>3086346</v>
      </c>
      <c r="S289" s="19">
        <v>3000</v>
      </c>
      <c r="T289" s="19">
        <f t="shared" si="40"/>
        <v>3089346</v>
      </c>
      <c r="U289" s="105"/>
      <c r="X289" s="10"/>
      <c r="Z289" s="10"/>
    </row>
    <row r="290" spans="1:26" ht="18" customHeight="1" x14ac:dyDescent="0.25">
      <c r="A290" s="14">
        <v>5</v>
      </c>
      <c r="B290" s="52">
        <v>514031018569</v>
      </c>
      <c r="C290" s="53" t="s">
        <v>45</v>
      </c>
      <c r="D290" s="35" t="s">
        <v>28</v>
      </c>
      <c r="E290" s="53" t="s">
        <v>650</v>
      </c>
      <c r="F290" s="54" t="s">
        <v>24</v>
      </c>
      <c r="G290" s="55">
        <v>5500</v>
      </c>
      <c r="H290" s="54">
        <v>202505</v>
      </c>
      <c r="I290" s="54" t="s">
        <v>651</v>
      </c>
      <c r="J290" s="56">
        <v>33343</v>
      </c>
      <c r="K290" s="56">
        <v>35464</v>
      </c>
      <c r="L290" s="57">
        <v>2121</v>
      </c>
      <c r="M290" s="58">
        <v>3710074</v>
      </c>
      <c r="N290" s="60">
        <v>0</v>
      </c>
      <c r="O290" s="60">
        <v>0</v>
      </c>
      <c r="P290" s="60">
        <v>0</v>
      </c>
      <c r="Q290" s="20">
        <v>0</v>
      </c>
      <c r="R290" s="19">
        <f t="shared" si="39"/>
        <v>3710074</v>
      </c>
      <c r="S290" s="19">
        <v>3000</v>
      </c>
      <c r="T290" s="19">
        <f t="shared" si="40"/>
        <v>3713074</v>
      </c>
      <c r="U290" s="105"/>
      <c r="X290" s="10"/>
      <c r="Z290" s="10"/>
    </row>
    <row r="291" spans="1:26" ht="18" customHeight="1" x14ac:dyDescent="0.25">
      <c r="A291" s="14">
        <v>6</v>
      </c>
      <c r="B291" s="52">
        <v>514031018577</v>
      </c>
      <c r="C291" s="53" t="s">
        <v>45</v>
      </c>
      <c r="D291" s="35" t="s">
        <v>28</v>
      </c>
      <c r="E291" s="53" t="s">
        <v>652</v>
      </c>
      <c r="F291" s="54" t="s">
        <v>24</v>
      </c>
      <c r="G291" s="55">
        <v>5500</v>
      </c>
      <c r="H291" s="54">
        <v>202505</v>
      </c>
      <c r="I291" s="54" t="s">
        <v>653</v>
      </c>
      <c r="J291" s="56">
        <v>88025</v>
      </c>
      <c r="K291" s="56">
        <v>90458</v>
      </c>
      <c r="L291" s="57">
        <v>2433</v>
      </c>
      <c r="M291" s="58">
        <v>4440872</v>
      </c>
      <c r="N291" s="60">
        <v>0</v>
      </c>
      <c r="O291" s="60">
        <v>0</v>
      </c>
      <c r="P291" s="60">
        <v>0</v>
      </c>
      <c r="Q291" s="20">
        <v>0</v>
      </c>
      <c r="R291" s="19">
        <f t="shared" si="39"/>
        <v>4440872</v>
      </c>
      <c r="S291" s="19">
        <v>3000</v>
      </c>
      <c r="T291" s="19">
        <f t="shared" si="40"/>
        <v>4443872</v>
      </c>
      <c r="U291" s="105"/>
      <c r="X291" s="10"/>
      <c r="Z291" s="10"/>
    </row>
    <row r="292" spans="1:26" ht="18" customHeight="1" x14ac:dyDescent="0.25">
      <c r="A292" s="14">
        <v>7</v>
      </c>
      <c r="B292" s="52">
        <v>514031022714</v>
      </c>
      <c r="C292" s="53" t="s">
        <v>45</v>
      </c>
      <c r="D292" s="35" t="s">
        <v>28</v>
      </c>
      <c r="E292" s="53" t="s">
        <v>654</v>
      </c>
      <c r="F292" s="54" t="s">
        <v>24</v>
      </c>
      <c r="G292" s="55">
        <v>5500</v>
      </c>
      <c r="H292" s="54">
        <v>202505</v>
      </c>
      <c r="I292" s="54" t="s">
        <v>655</v>
      </c>
      <c r="J292" s="56">
        <v>26148</v>
      </c>
      <c r="K292" s="56">
        <v>27095</v>
      </c>
      <c r="L292" s="57">
        <v>947</v>
      </c>
      <c r="M292" s="58">
        <v>1607755</v>
      </c>
      <c r="N292" s="60">
        <v>0</v>
      </c>
      <c r="O292" s="60">
        <v>0</v>
      </c>
      <c r="P292" s="60">
        <v>0</v>
      </c>
      <c r="Q292" s="20">
        <v>0</v>
      </c>
      <c r="R292" s="19">
        <f t="shared" si="39"/>
        <v>1607755</v>
      </c>
      <c r="S292" s="19">
        <v>3000</v>
      </c>
      <c r="T292" s="19">
        <f t="shared" si="40"/>
        <v>1610755</v>
      </c>
      <c r="U292" s="105"/>
      <c r="X292" s="10"/>
      <c r="Z292" s="10"/>
    </row>
    <row r="293" spans="1:26" ht="18" customHeight="1" x14ac:dyDescent="0.25">
      <c r="A293" s="14">
        <v>8</v>
      </c>
      <c r="B293" s="52">
        <v>514031031936</v>
      </c>
      <c r="C293" s="53" t="s">
        <v>45</v>
      </c>
      <c r="D293" s="35" t="s">
        <v>28</v>
      </c>
      <c r="E293" s="53" t="s">
        <v>656</v>
      </c>
      <c r="F293" s="54" t="s">
        <v>24</v>
      </c>
      <c r="G293" s="55">
        <v>4400</v>
      </c>
      <c r="H293" s="54">
        <v>202505</v>
      </c>
      <c r="I293" s="54" t="s">
        <v>657</v>
      </c>
      <c r="J293" s="56">
        <v>56200</v>
      </c>
      <c r="K293" s="56">
        <v>57475</v>
      </c>
      <c r="L293" s="57">
        <v>1275</v>
      </c>
      <c r="M293" s="58">
        <v>2245079</v>
      </c>
      <c r="N293" s="60">
        <v>0</v>
      </c>
      <c r="O293" s="60">
        <v>0</v>
      </c>
      <c r="P293" s="60">
        <v>0</v>
      </c>
      <c r="Q293" s="20">
        <v>0</v>
      </c>
      <c r="R293" s="19">
        <f t="shared" si="39"/>
        <v>2245079</v>
      </c>
      <c r="S293" s="19">
        <v>3000</v>
      </c>
      <c r="T293" s="19">
        <f t="shared" si="40"/>
        <v>2248079</v>
      </c>
      <c r="U293" s="105"/>
      <c r="X293" s="10"/>
      <c r="Z293" s="10"/>
    </row>
    <row r="294" spans="1:26" ht="18" customHeight="1" x14ac:dyDescent="0.25">
      <c r="A294" s="14">
        <v>9</v>
      </c>
      <c r="B294" s="52">
        <v>514031031944</v>
      </c>
      <c r="C294" s="53" t="s">
        <v>45</v>
      </c>
      <c r="D294" s="35" t="s">
        <v>28</v>
      </c>
      <c r="E294" s="53" t="s">
        <v>656</v>
      </c>
      <c r="F294" s="54" t="s">
        <v>24</v>
      </c>
      <c r="G294" s="55">
        <v>5500</v>
      </c>
      <c r="H294" s="54">
        <v>202505</v>
      </c>
      <c r="I294" s="54" t="s">
        <v>658</v>
      </c>
      <c r="J294" s="56">
        <v>91566</v>
      </c>
      <c r="K294" s="56">
        <v>92194</v>
      </c>
      <c r="L294" s="57">
        <v>628</v>
      </c>
      <c r="M294" s="58">
        <v>990826</v>
      </c>
      <c r="N294" s="60">
        <v>0</v>
      </c>
      <c r="O294" s="60">
        <v>0</v>
      </c>
      <c r="P294" s="60">
        <v>0</v>
      </c>
      <c r="Q294" s="20">
        <v>0</v>
      </c>
      <c r="R294" s="19">
        <f t="shared" si="39"/>
        <v>990826</v>
      </c>
      <c r="S294" s="19">
        <v>3000</v>
      </c>
      <c r="T294" s="19">
        <f t="shared" si="40"/>
        <v>993826</v>
      </c>
      <c r="U294" s="105"/>
      <c r="X294" s="10"/>
      <c r="Z294" s="10"/>
    </row>
    <row r="295" spans="1:26" ht="18" customHeight="1" x14ac:dyDescent="0.25">
      <c r="A295" s="14">
        <v>10</v>
      </c>
      <c r="B295" s="52">
        <v>514031052275</v>
      </c>
      <c r="C295" s="53" t="s">
        <v>45</v>
      </c>
      <c r="D295" s="35" t="s">
        <v>28</v>
      </c>
      <c r="E295" s="53" t="s">
        <v>654</v>
      </c>
      <c r="F295" s="54" t="s">
        <v>24</v>
      </c>
      <c r="G295" s="55">
        <v>7700</v>
      </c>
      <c r="H295" s="54">
        <v>202505</v>
      </c>
      <c r="I295" s="54" t="s">
        <v>659</v>
      </c>
      <c r="J295" s="56">
        <v>28513</v>
      </c>
      <c r="K295" s="56">
        <v>29612</v>
      </c>
      <c r="L295" s="57">
        <v>1099</v>
      </c>
      <c r="M295" s="58">
        <v>1867783</v>
      </c>
      <c r="N295" s="60">
        <v>0</v>
      </c>
      <c r="O295" s="60">
        <v>0</v>
      </c>
      <c r="P295" s="60">
        <v>0</v>
      </c>
      <c r="Q295" s="20">
        <v>0</v>
      </c>
      <c r="R295" s="19">
        <f t="shared" si="39"/>
        <v>1867783</v>
      </c>
      <c r="S295" s="19">
        <v>3000</v>
      </c>
      <c r="T295" s="19">
        <f t="shared" si="40"/>
        <v>1870783</v>
      </c>
      <c r="U295" s="105"/>
      <c r="X295" s="10"/>
      <c r="Z295" s="10"/>
    </row>
    <row r="296" spans="1:26" ht="18" customHeight="1" x14ac:dyDescent="0.25">
      <c r="A296" s="14">
        <v>11</v>
      </c>
      <c r="B296" s="52">
        <v>514031052283</v>
      </c>
      <c r="C296" s="53" t="s">
        <v>45</v>
      </c>
      <c r="D296" s="35" t="s">
        <v>28</v>
      </c>
      <c r="E296" s="53" t="s">
        <v>648</v>
      </c>
      <c r="F296" s="54" t="s">
        <v>24</v>
      </c>
      <c r="G296" s="55">
        <v>4400</v>
      </c>
      <c r="H296" s="54">
        <v>202505</v>
      </c>
      <c r="I296" s="54" t="s">
        <v>660</v>
      </c>
      <c r="J296" s="56">
        <v>82536</v>
      </c>
      <c r="K296" s="56">
        <v>83247</v>
      </c>
      <c r="L296" s="57">
        <v>711</v>
      </c>
      <c r="M296" s="58">
        <v>1169277</v>
      </c>
      <c r="N296" s="60">
        <v>0</v>
      </c>
      <c r="O296" s="60">
        <v>0</v>
      </c>
      <c r="P296" s="60">
        <v>0</v>
      </c>
      <c r="Q296" s="20">
        <v>0</v>
      </c>
      <c r="R296" s="19">
        <f t="shared" si="39"/>
        <v>1169277</v>
      </c>
      <c r="S296" s="19">
        <v>3000</v>
      </c>
      <c r="T296" s="19">
        <f t="shared" si="40"/>
        <v>1172277</v>
      </c>
      <c r="U296" s="105"/>
      <c r="X296" s="10"/>
      <c r="Z296" s="10"/>
    </row>
    <row r="297" spans="1:26" ht="18" customHeight="1" x14ac:dyDescent="0.25">
      <c r="A297" s="14">
        <v>12</v>
      </c>
      <c r="B297" s="52">
        <v>514031052291</v>
      </c>
      <c r="C297" s="53" t="s">
        <v>45</v>
      </c>
      <c r="D297" s="35" t="s">
        <v>28</v>
      </c>
      <c r="E297" s="53" t="s">
        <v>661</v>
      </c>
      <c r="F297" s="54" t="s">
        <v>24</v>
      </c>
      <c r="G297" s="55">
        <v>4400</v>
      </c>
      <c r="H297" s="54">
        <v>202505</v>
      </c>
      <c r="I297" s="54" t="s">
        <v>662</v>
      </c>
      <c r="J297" s="56">
        <v>88757</v>
      </c>
      <c r="K297" s="56">
        <v>89393</v>
      </c>
      <c r="L297" s="57">
        <v>636</v>
      </c>
      <c r="M297" s="58">
        <v>1215164</v>
      </c>
      <c r="N297" s="60">
        <v>0</v>
      </c>
      <c r="O297" s="60">
        <v>0</v>
      </c>
      <c r="P297" s="60">
        <v>0</v>
      </c>
      <c r="Q297" s="20">
        <v>0</v>
      </c>
      <c r="R297" s="19">
        <f t="shared" si="39"/>
        <v>1215164</v>
      </c>
      <c r="S297" s="19">
        <v>3000</v>
      </c>
      <c r="T297" s="19">
        <f t="shared" si="40"/>
        <v>1218164</v>
      </c>
      <c r="U297" s="105"/>
      <c r="X297" s="10"/>
      <c r="Z297" s="10"/>
    </row>
    <row r="298" spans="1:26" ht="18" customHeight="1" x14ac:dyDescent="0.25">
      <c r="A298" s="14">
        <v>13</v>
      </c>
      <c r="B298" s="52">
        <v>514031052928</v>
      </c>
      <c r="C298" s="53" t="s">
        <v>45</v>
      </c>
      <c r="D298" s="35" t="s">
        <v>28</v>
      </c>
      <c r="E298" s="53" t="s">
        <v>381</v>
      </c>
      <c r="F298" s="54" t="s">
        <v>24</v>
      </c>
      <c r="G298" s="55">
        <v>5500</v>
      </c>
      <c r="H298" s="54">
        <v>202505</v>
      </c>
      <c r="I298" s="54" t="s">
        <v>663</v>
      </c>
      <c r="J298" s="56">
        <v>64853</v>
      </c>
      <c r="K298" s="56">
        <v>67710</v>
      </c>
      <c r="L298" s="57">
        <v>2857</v>
      </c>
      <c r="M298" s="58">
        <v>3767858</v>
      </c>
      <c r="N298" s="60">
        <v>0</v>
      </c>
      <c r="O298" s="60">
        <v>0</v>
      </c>
      <c r="P298" s="60">
        <v>0</v>
      </c>
      <c r="Q298" s="20">
        <v>0</v>
      </c>
      <c r="R298" s="19">
        <f t="shared" si="39"/>
        <v>3767858</v>
      </c>
      <c r="S298" s="19">
        <v>3000</v>
      </c>
      <c r="T298" s="19">
        <f t="shared" si="40"/>
        <v>3770858</v>
      </c>
      <c r="U298" s="105"/>
      <c r="X298" s="10"/>
      <c r="Z298" s="10"/>
    </row>
    <row r="299" spans="1:26" ht="18" customHeight="1" x14ac:dyDescent="0.25">
      <c r="A299" s="14">
        <v>14</v>
      </c>
      <c r="B299" s="52">
        <v>514031345108</v>
      </c>
      <c r="C299" s="53" t="s">
        <v>45</v>
      </c>
      <c r="D299" s="35" t="s">
        <v>28</v>
      </c>
      <c r="E299" s="53" t="s">
        <v>652</v>
      </c>
      <c r="F299" s="54" t="s">
        <v>24</v>
      </c>
      <c r="G299" s="55">
        <v>5500</v>
      </c>
      <c r="H299" s="54">
        <v>202505</v>
      </c>
      <c r="I299" s="54" t="s">
        <v>664</v>
      </c>
      <c r="J299" s="56">
        <v>37426</v>
      </c>
      <c r="K299" s="56">
        <v>39310</v>
      </c>
      <c r="L299" s="57">
        <v>1884</v>
      </c>
      <c r="M299" s="58">
        <v>3218910</v>
      </c>
      <c r="N299" s="60">
        <v>0</v>
      </c>
      <c r="O299" s="60">
        <v>0</v>
      </c>
      <c r="P299" s="60">
        <v>0</v>
      </c>
      <c r="Q299" s="20">
        <v>0</v>
      </c>
      <c r="R299" s="19">
        <f t="shared" si="39"/>
        <v>3218910</v>
      </c>
      <c r="S299" s="19">
        <v>3000</v>
      </c>
      <c r="T299" s="19">
        <f t="shared" si="40"/>
        <v>3221910</v>
      </c>
      <c r="U299" s="105"/>
      <c r="X299" s="10"/>
      <c r="Z299" s="10"/>
    </row>
    <row r="300" spans="1:26" ht="18" customHeight="1" x14ac:dyDescent="0.25">
      <c r="A300" s="14">
        <v>15</v>
      </c>
      <c r="B300" s="52">
        <v>514031345116</v>
      </c>
      <c r="C300" s="53" t="s">
        <v>45</v>
      </c>
      <c r="D300" s="35" t="s">
        <v>28</v>
      </c>
      <c r="E300" s="53" t="s">
        <v>665</v>
      </c>
      <c r="F300" s="54" t="s">
        <v>24</v>
      </c>
      <c r="G300" s="55">
        <v>5500</v>
      </c>
      <c r="H300" s="54">
        <v>202505</v>
      </c>
      <c r="I300" s="54" t="s">
        <v>666</v>
      </c>
      <c r="J300" s="56">
        <v>64686</v>
      </c>
      <c r="K300" s="56">
        <v>65986</v>
      </c>
      <c r="L300" s="57">
        <v>1300</v>
      </c>
      <c r="M300" s="58">
        <v>2250178</v>
      </c>
      <c r="N300" s="60">
        <v>0</v>
      </c>
      <c r="O300" s="60">
        <v>0</v>
      </c>
      <c r="P300" s="60">
        <v>0</v>
      </c>
      <c r="Q300" s="20">
        <v>0</v>
      </c>
      <c r="R300" s="19">
        <f t="shared" si="39"/>
        <v>2250178</v>
      </c>
      <c r="S300" s="19">
        <v>3000</v>
      </c>
      <c r="T300" s="19">
        <f t="shared" si="40"/>
        <v>2253178</v>
      </c>
      <c r="U300" s="105"/>
      <c r="X300" s="10"/>
      <c r="Z300" s="10"/>
    </row>
    <row r="301" spans="1:26" ht="18" customHeight="1" x14ac:dyDescent="0.25">
      <c r="A301" s="14">
        <v>16</v>
      </c>
      <c r="B301" s="52">
        <v>514031345124</v>
      </c>
      <c r="C301" s="53" t="s">
        <v>45</v>
      </c>
      <c r="D301" s="35" t="s">
        <v>28</v>
      </c>
      <c r="E301" s="53" t="s">
        <v>667</v>
      </c>
      <c r="F301" s="54" t="s">
        <v>24</v>
      </c>
      <c r="G301" s="55">
        <v>7700</v>
      </c>
      <c r="H301" s="54">
        <v>202505</v>
      </c>
      <c r="I301" s="54" t="s">
        <v>668</v>
      </c>
      <c r="J301" s="56">
        <v>13392</v>
      </c>
      <c r="K301" s="56">
        <v>14568</v>
      </c>
      <c r="L301" s="57">
        <v>1176</v>
      </c>
      <c r="M301" s="58">
        <v>2126112</v>
      </c>
      <c r="N301" s="60">
        <v>0</v>
      </c>
      <c r="O301" s="60">
        <v>0</v>
      </c>
      <c r="P301" s="60">
        <v>0</v>
      </c>
      <c r="Q301" s="20">
        <v>0</v>
      </c>
      <c r="R301" s="19">
        <f t="shared" si="39"/>
        <v>2126112</v>
      </c>
      <c r="S301" s="19">
        <v>3000</v>
      </c>
      <c r="T301" s="19">
        <f t="shared" si="40"/>
        <v>2129112</v>
      </c>
      <c r="U301" s="105"/>
      <c r="X301" s="10"/>
      <c r="Z301" s="10"/>
    </row>
    <row r="302" spans="1:26" ht="18" customHeight="1" x14ac:dyDescent="0.25">
      <c r="A302" s="14">
        <v>17</v>
      </c>
      <c r="B302" s="52">
        <v>514031345132</v>
      </c>
      <c r="C302" s="53" t="s">
        <v>45</v>
      </c>
      <c r="D302" s="35" t="s">
        <v>28</v>
      </c>
      <c r="E302" s="53" t="s">
        <v>669</v>
      </c>
      <c r="F302" s="54" t="s">
        <v>24</v>
      </c>
      <c r="G302" s="55">
        <v>7700</v>
      </c>
      <c r="H302" s="54">
        <v>202505</v>
      </c>
      <c r="I302" s="54" t="s">
        <v>670</v>
      </c>
      <c r="J302" s="56">
        <v>11696</v>
      </c>
      <c r="K302" s="56">
        <v>12527</v>
      </c>
      <c r="L302" s="57">
        <v>831</v>
      </c>
      <c r="M302" s="58">
        <v>1361324</v>
      </c>
      <c r="N302" s="60">
        <v>0</v>
      </c>
      <c r="O302" s="60">
        <v>0</v>
      </c>
      <c r="P302" s="60">
        <v>0</v>
      </c>
      <c r="Q302" s="20">
        <v>0</v>
      </c>
      <c r="R302" s="19">
        <f t="shared" si="39"/>
        <v>1361324</v>
      </c>
      <c r="S302" s="19">
        <v>3000</v>
      </c>
      <c r="T302" s="19">
        <f t="shared" si="40"/>
        <v>1364324</v>
      </c>
      <c r="U302" s="105"/>
      <c r="X302" s="10"/>
      <c r="Z302" s="10"/>
    </row>
    <row r="303" spans="1:26" ht="18" customHeight="1" x14ac:dyDescent="0.25">
      <c r="A303" s="14">
        <v>18</v>
      </c>
      <c r="B303" s="52">
        <v>514031421211</v>
      </c>
      <c r="C303" s="53" t="s">
        <v>45</v>
      </c>
      <c r="D303" s="35" t="s">
        <v>28</v>
      </c>
      <c r="E303" s="53" t="s">
        <v>661</v>
      </c>
      <c r="F303" s="54" t="s">
        <v>24</v>
      </c>
      <c r="G303" s="55">
        <v>5500</v>
      </c>
      <c r="H303" s="54">
        <v>202505</v>
      </c>
      <c r="I303" s="54" t="s">
        <v>671</v>
      </c>
      <c r="J303" s="56">
        <v>71823</v>
      </c>
      <c r="K303" s="56">
        <v>73244</v>
      </c>
      <c r="L303" s="57">
        <v>1421</v>
      </c>
      <c r="M303" s="58">
        <v>2217887</v>
      </c>
      <c r="N303" s="60">
        <v>0</v>
      </c>
      <c r="O303" s="60">
        <v>0</v>
      </c>
      <c r="P303" s="60">
        <v>0</v>
      </c>
      <c r="Q303" s="20">
        <v>0</v>
      </c>
      <c r="R303" s="19">
        <f t="shared" si="39"/>
        <v>2217887</v>
      </c>
      <c r="S303" s="19">
        <v>3000</v>
      </c>
      <c r="T303" s="19">
        <f t="shared" si="40"/>
        <v>2220887</v>
      </c>
      <c r="U303" s="105"/>
      <c r="X303" s="10"/>
      <c r="Z303" s="10"/>
    </row>
    <row r="304" spans="1:26" ht="18" customHeight="1" x14ac:dyDescent="0.25">
      <c r="A304" s="14">
        <v>19</v>
      </c>
      <c r="B304" s="52">
        <v>514031421229</v>
      </c>
      <c r="C304" s="53" t="s">
        <v>45</v>
      </c>
      <c r="D304" s="35" t="s">
        <v>28</v>
      </c>
      <c r="E304" s="53" t="s">
        <v>648</v>
      </c>
      <c r="F304" s="54" t="s">
        <v>24</v>
      </c>
      <c r="G304" s="55">
        <v>4400</v>
      </c>
      <c r="H304" s="54">
        <v>202505</v>
      </c>
      <c r="I304" s="54" t="s">
        <v>672</v>
      </c>
      <c r="J304" s="56">
        <v>77701</v>
      </c>
      <c r="K304" s="56">
        <v>78310</v>
      </c>
      <c r="L304" s="57">
        <v>609</v>
      </c>
      <c r="M304" s="58">
        <v>1004422</v>
      </c>
      <c r="N304" s="60">
        <v>0</v>
      </c>
      <c r="O304" s="60">
        <v>0</v>
      </c>
      <c r="P304" s="60">
        <v>0</v>
      </c>
      <c r="Q304" s="20">
        <v>0</v>
      </c>
      <c r="R304" s="19">
        <f t="shared" si="39"/>
        <v>1004422</v>
      </c>
      <c r="S304" s="19">
        <v>3000</v>
      </c>
      <c r="T304" s="19">
        <f t="shared" si="40"/>
        <v>1007422</v>
      </c>
      <c r="U304" s="105"/>
      <c r="X304" s="10"/>
      <c r="Z304" s="10"/>
    </row>
    <row r="305" spans="1:26" ht="18" customHeight="1" x14ac:dyDescent="0.25">
      <c r="A305" s="14">
        <v>20</v>
      </c>
      <c r="B305" s="52">
        <v>514031421237</v>
      </c>
      <c r="C305" s="53" t="s">
        <v>45</v>
      </c>
      <c r="D305" s="35" t="s">
        <v>28</v>
      </c>
      <c r="E305" s="53" t="s">
        <v>661</v>
      </c>
      <c r="F305" s="54" t="s">
        <v>24</v>
      </c>
      <c r="G305" s="55">
        <v>5500</v>
      </c>
      <c r="H305" s="54">
        <v>202505</v>
      </c>
      <c r="I305" s="54" t="s">
        <v>673</v>
      </c>
      <c r="J305" s="56">
        <v>6488</v>
      </c>
      <c r="K305" s="56">
        <v>7581</v>
      </c>
      <c r="L305" s="57">
        <v>1093</v>
      </c>
      <c r="M305" s="58">
        <v>1886478</v>
      </c>
      <c r="N305" s="60">
        <v>0</v>
      </c>
      <c r="O305" s="60">
        <v>0</v>
      </c>
      <c r="P305" s="60">
        <v>0</v>
      </c>
      <c r="Q305" s="20">
        <v>0</v>
      </c>
      <c r="R305" s="19">
        <f t="shared" si="39"/>
        <v>1886478</v>
      </c>
      <c r="S305" s="19">
        <v>3000</v>
      </c>
      <c r="T305" s="19">
        <f t="shared" si="40"/>
        <v>1889478</v>
      </c>
      <c r="U305" s="105"/>
      <c r="X305" s="10"/>
      <c r="Z305" s="10"/>
    </row>
    <row r="306" spans="1:26" ht="18" customHeight="1" x14ac:dyDescent="0.25">
      <c r="A306" s="14">
        <v>21</v>
      </c>
      <c r="B306" s="52">
        <v>514031421245</v>
      </c>
      <c r="C306" s="53" t="s">
        <v>45</v>
      </c>
      <c r="D306" s="35" t="s">
        <v>28</v>
      </c>
      <c r="E306" s="53" t="s">
        <v>667</v>
      </c>
      <c r="F306" s="54" t="s">
        <v>24</v>
      </c>
      <c r="G306" s="55">
        <v>5500</v>
      </c>
      <c r="H306" s="54">
        <v>202505</v>
      </c>
      <c r="I306" s="54" t="s">
        <v>674</v>
      </c>
      <c r="J306" s="56">
        <v>3243</v>
      </c>
      <c r="K306" s="56">
        <v>5084</v>
      </c>
      <c r="L306" s="57">
        <v>1841</v>
      </c>
      <c r="M306" s="58">
        <v>3071051</v>
      </c>
      <c r="N306" s="60">
        <v>0</v>
      </c>
      <c r="O306" s="60">
        <v>0</v>
      </c>
      <c r="P306" s="60">
        <v>0</v>
      </c>
      <c r="Q306" s="20">
        <v>0</v>
      </c>
      <c r="R306" s="19">
        <f t="shared" si="39"/>
        <v>3071051</v>
      </c>
      <c r="S306" s="19">
        <v>3000</v>
      </c>
      <c r="T306" s="19">
        <f t="shared" si="40"/>
        <v>3074051</v>
      </c>
      <c r="U306" s="105"/>
      <c r="X306" s="10"/>
      <c r="Z306" s="10"/>
    </row>
    <row r="307" spans="1:26" ht="18" customHeight="1" x14ac:dyDescent="0.25">
      <c r="A307" s="14">
        <v>22</v>
      </c>
      <c r="B307" s="52">
        <v>514031421252</v>
      </c>
      <c r="C307" s="53" t="s">
        <v>45</v>
      </c>
      <c r="D307" s="35" t="s">
        <v>28</v>
      </c>
      <c r="E307" s="53" t="s">
        <v>654</v>
      </c>
      <c r="F307" s="54" t="s">
        <v>24</v>
      </c>
      <c r="G307" s="55">
        <v>5500</v>
      </c>
      <c r="H307" s="54">
        <v>202505</v>
      </c>
      <c r="I307" s="54" t="s">
        <v>675</v>
      </c>
      <c r="J307" s="56">
        <v>54990</v>
      </c>
      <c r="K307" s="56">
        <v>55993</v>
      </c>
      <c r="L307" s="57">
        <v>1003</v>
      </c>
      <c r="M307" s="58">
        <v>1689333</v>
      </c>
      <c r="N307" s="60">
        <v>0</v>
      </c>
      <c r="O307" s="60">
        <v>0</v>
      </c>
      <c r="P307" s="60">
        <v>0</v>
      </c>
      <c r="Q307" s="20">
        <v>0</v>
      </c>
      <c r="R307" s="19">
        <f t="shared" si="39"/>
        <v>1689333</v>
      </c>
      <c r="S307" s="19">
        <v>3000</v>
      </c>
      <c r="T307" s="19">
        <f t="shared" si="40"/>
        <v>1692333</v>
      </c>
      <c r="U307" s="105"/>
      <c r="X307" s="10"/>
      <c r="Z307" s="10"/>
    </row>
    <row r="308" spans="1:26" ht="18" customHeight="1" x14ac:dyDescent="0.25">
      <c r="A308" s="14">
        <v>23</v>
      </c>
      <c r="B308" s="52">
        <v>514031421260</v>
      </c>
      <c r="C308" s="53" t="s">
        <v>45</v>
      </c>
      <c r="D308" s="35" t="s">
        <v>28</v>
      </c>
      <c r="E308" s="53" t="s">
        <v>676</v>
      </c>
      <c r="F308" s="54" t="s">
        <v>24</v>
      </c>
      <c r="G308" s="55">
        <v>7700</v>
      </c>
      <c r="H308" s="54">
        <v>202505</v>
      </c>
      <c r="I308" s="54" t="s">
        <v>677</v>
      </c>
      <c r="J308" s="56">
        <v>4954</v>
      </c>
      <c r="K308" s="56">
        <v>6091</v>
      </c>
      <c r="L308" s="57">
        <v>1137</v>
      </c>
      <c r="M308" s="58">
        <v>1930666</v>
      </c>
      <c r="N308" s="60">
        <v>0</v>
      </c>
      <c r="O308" s="60">
        <v>0</v>
      </c>
      <c r="P308" s="60">
        <v>0</v>
      </c>
      <c r="Q308" s="20">
        <v>0</v>
      </c>
      <c r="R308" s="19">
        <f t="shared" si="39"/>
        <v>1930666</v>
      </c>
      <c r="S308" s="19">
        <v>3000</v>
      </c>
      <c r="T308" s="19">
        <f t="shared" si="40"/>
        <v>1933666</v>
      </c>
      <c r="U308" s="105"/>
      <c r="X308" s="10"/>
      <c r="Z308" s="10"/>
    </row>
    <row r="309" spans="1:26" ht="18" customHeight="1" x14ac:dyDescent="0.25">
      <c r="A309" s="14">
        <v>24</v>
      </c>
      <c r="B309" s="52">
        <v>514031421278</v>
      </c>
      <c r="C309" s="53" t="s">
        <v>45</v>
      </c>
      <c r="D309" s="35" t="s">
        <v>28</v>
      </c>
      <c r="E309" s="53" t="s">
        <v>676</v>
      </c>
      <c r="F309" s="54" t="s">
        <v>24</v>
      </c>
      <c r="G309" s="55">
        <v>4400</v>
      </c>
      <c r="H309" s="54">
        <v>202505</v>
      </c>
      <c r="I309" s="54" t="s">
        <v>678</v>
      </c>
      <c r="J309" s="56">
        <v>44423</v>
      </c>
      <c r="K309" s="56">
        <v>44819</v>
      </c>
      <c r="L309" s="57">
        <v>396</v>
      </c>
      <c r="M309" s="58">
        <v>645821</v>
      </c>
      <c r="N309" s="60">
        <v>0</v>
      </c>
      <c r="O309" s="60">
        <v>0</v>
      </c>
      <c r="P309" s="60">
        <v>0</v>
      </c>
      <c r="Q309" s="20">
        <v>0</v>
      </c>
      <c r="R309" s="19">
        <f t="shared" si="39"/>
        <v>645821</v>
      </c>
      <c r="S309" s="19">
        <v>3000</v>
      </c>
      <c r="T309" s="19">
        <f t="shared" si="40"/>
        <v>648821</v>
      </c>
      <c r="U309" s="105"/>
      <c r="X309" s="10"/>
      <c r="Z309" s="10"/>
    </row>
    <row r="310" spans="1:26" ht="18" customHeight="1" x14ac:dyDescent="0.25">
      <c r="A310" s="14">
        <v>25</v>
      </c>
      <c r="B310" s="52">
        <v>514031421286</v>
      </c>
      <c r="C310" s="53" t="s">
        <v>45</v>
      </c>
      <c r="D310" s="35" t="s">
        <v>28</v>
      </c>
      <c r="E310" s="53" t="s">
        <v>676</v>
      </c>
      <c r="F310" s="54" t="s">
        <v>24</v>
      </c>
      <c r="G310" s="55">
        <v>4400</v>
      </c>
      <c r="H310" s="54">
        <v>202505</v>
      </c>
      <c r="I310" s="54" t="s">
        <v>679</v>
      </c>
      <c r="J310" s="56">
        <v>9138</v>
      </c>
      <c r="K310" s="56">
        <v>10595</v>
      </c>
      <c r="L310" s="57">
        <v>1457</v>
      </c>
      <c r="M310" s="58">
        <v>2226384</v>
      </c>
      <c r="N310" s="60">
        <v>0</v>
      </c>
      <c r="O310" s="60">
        <v>0</v>
      </c>
      <c r="P310" s="60">
        <v>0</v>
      </c>
      <c r="Q310" s="20">
        <v>0</v>
      </c>
      <c r="R310" s="19">
        <f t="shared" si="39"/>
        <v>2226384</v>
      </c>
      <c r="S310" s="19">
        <v>3000</v>
      </c>
      <c r="T310" s="19">
        <f t="shared" si="40"/>
        <v>2229384</v>
      </c>
      <c r="U310" s="105"/>
      <c r="X310" s="10"/>
      <c r="Z310" s="10"/>
    </row>
    <row r="311" spans="1:26" ht="18" customHeight="1" x14ac:dyDescent="0.25">
      <c r="A311" s="14">
        <v>26</v>
      </c>
      <c r="B311" s="52">
        <v>514031421294</v>
      </c>
      <c r="C311" s="53" t="s">
        <v>45</v>
      </c>
      <c r="D311" s="35" t="s">
        <v>28</v>
      </c>
      <c r="E311" s="53" t="s">
        <v>665</v>
      </c>
      <c r="F311" s="54" t="s">
        <v>24</v>
      </c>
      <c r="G311" s="55">
        <v>4400</v>
      </c>
      <c r="H311" s="54">
        <v>202505</v>
      </c>
      <c r="I311" s="54" t="s">
        <v>680</v>
      </c>
      <c r="J311" s="56">
        <v>79550</v>
      </c>
      <c r="K311" s="56">
        <v>80031</v>
      </c>
      <c r="L311" s="57">
        <v>481</v>
      </c>
      <c r="M311" s="58">
        <v>791981</v>
      </c>
      <c r="N311" s="60">
        <v>0</v>
      </c>
      <c r="O311" s="60">
        <v>0</v>
      </c>
      <c r="P311" s="60">
        <v>0</v>
      </c>
      <c r="Q311" s="20">
        <v>0</v>
      </c>
      <c r="R311" s="19">
        <f t="shared" si="39"/>
        <v>791981</v>
      </c>
      <c r="S311" s="19">
        <v>3000</v>
      </c>
      <c r="T311" s="19">
        <f t="shared" si="40"/>
        <v>794981</v>
      </c>
      <c r="U311" s="105"/>
      <c r="X311" s="10"/>
      <c r="Z311" s="10"/>
    </row>
    <row r="312" spans="1:26" ht="18" customHeight="1" x14ac:dyDescent="0.25">
      <c r="A312" s="14">
        <v>27</v>
      </c>
      <c r="B312" s="52">
        <v>514031421308</v>
      </c>
      <c r="C312" s="53" t="s">
        <v>45</v>
      </c>
      <c r="D312" s="35" t="s">
        <v>28</v>
      </c>
      <c r="E312" s="53" t="s">
        <v>681</v>
      </c>
      <c r="F312" s="54" t="s">
        <v>24</v>
      </c>
      <c r="G312" s="55">
        <v>4400</v>
      </c>
      <c r="H312" s="54">
        <v>202505</v>
      </c>
      <c r="I312" s="54" t="s">
        <v>682</v>
      </c>
      <c r="J312" s="56">
        <v>81683</v>
      </c>
      <c r="K312" s="56">
        <v>82903</v>
      </c>
      <c r="L312" s="57">
        <v>1220</v>
      </c>
      <c r="M312" s="58">
        <v>1934065</v>
      </c>
      <c r="N312" s="60">
        <v>0</v>
      </c>
      <c r="O312" s="60">
        <v>0</v>
      </c>
      <c r="P312" s="60">
        <v>0</v>
      </c>
      <c r="Q312" s="20">
        <v>0</v>
      </c>
      <c r="R312" s="19">
        <f t="shared" si="39"/>
        <v>1934065</v>
      </c>
      <c r="S312" s="19">
        <v>3000</v>
      </c>
      <c r="T312" s="19">
        <f t="shared" si="40"/>
        <v>1937065</v>
      </c>
      <c r="U312" s="105"/>
      <c r="X312" s="10"/>
      <c r="Z312" s="10"/>
    </row>
    <row r="313" spans="1:26" ht="18" customHeight="1" x14ac:dyDescent="0.25">
      <c r="A313" s="14">
        <v>28</v>
      </c>
      <c r="B313" s="52">
        <v>514031421316</v>
      </c>
      <c r="C313" s="53" t="s">
        <v>45</v>
      </c>
      <c r="D313" s="35" t="s">
        <v>28</v>
      </c>
      <c r="E313" s="53" t="s">
        <v>665</v>
      </c>
      <c r="F313" s="54" t="s">
        <v>24</v>
      </c>
      <c r="G313" s="55">
        <v>5500</v>
      </c>
      <c r="H313" s="54">
        <v>202505</v>
      </c>
      <c r="I313" s="54" t="s">
        <v>683</v>
      </c>
      <c r="J313" s="56">
        <v>22671</v>
      </c>
      <c r="K313" s="56">
        <v>23677</v>
      </c>
      <c r="L313" s="57">
        <v>1006</v>
      </c>
      <c r="M313" s="58">
        <v>1680835</v>
      </c>
      <c r="N313" s="60">
        <v>0</v>
      </c>
      <c r="O313" s="60">
        <v>0</v>
      </c>
      <c r="P313" s="60">
        <v>0</v>
      </c>
      <c r="Q313" s="20">
        <v>0</v>
      </c>
      <c r="R313" s="19">
        <f t="shared" si="39"/>
        <v>1680835</v>
      </c>
      <c r="S313" s="19">
        <v>3000</v>
      </c>
      <c r="T313" s="19">
        <f t="shared" si="40"/>
        <v>1683835</v>
      </c>
      <c r="U313" s="105"/>
      <c r="X313" s="10"/>
      <c r="Z313" s="10"/>
    </row>
    <row r="314" spans="1:26" ht="18" customHeight="1" x14ac:dyDescent="0.25">
      <c r="A314" s="14">
        <v>29</v>
      </c>
      <c r="B314" s="52">
        <v>514031421332</v>
      </c>
      <c r="C314" s="53" t="s">
        <v>45</v>
      </c>
      <c r="D314" s="35" t="s">
        <v>28</v>
      </c>
      <c r="E314" s="53" t="s">
        <v>170</v>
      </c>
      <c r="F314" s="54" t="s">
        <v>24</v>
      </c>
      <c r="G314" s="55">
        <v>4400</v>
      </c>
      <c r="H314" s="54">
        <v>202505</v>
      </c>
      <c r="I314" s="54" t="s">
        <v>684</v>
      </c>
      <c r="J314" s="56">
        <v>29897</v>
      </c>
      <c r="K314" s="56">
        <v>31087</v>
      </c>
      <c r="L314" s="57">
        <v>1190</v>
      </c>
      <c r="M314" s="58">
        <v>2007145</v>
      </c>
      <c r="N314" s="60">
        <v>0</v>
      </c>
      <c r="O314" s="60">
        <v>0</v>
      </c>
      <c r="P314" s="60">
        <v>0</v>
      </c>
      <c r="Q314" s="20">
        <v>0</v>
      </c>
      <c r="R314" s="19">
        <f t="shared" si="39"/>
        <v>2007145</v>
      </c>
      <c r="S314" s="19">
        <v>3000</v>
      </c>
      <c r="T314" s="19">
        <f t="shared" si="40"/>
        <v>2010145</v>
      </c>
      <c r="U314" s="105"/>
      <c r="X314" s="10"/>
      <c r="Z314" s="10"/>
    </row>
    <row r="315" spans="1:26" ht="18" customHeight="1" x14ac:dyDescent="0.25">
      <c r="A315" s="14">
        <v>30</v>
      </c>
      <c r="B315" s="52">
        <v>514031421340</v>
      </c>
      <c r="C315" s="53" t="s">
        <v>45</v>
      </c>
      <c r="D315" s="35" t="s">
        <v>22</v>
      </c>
      <c r="E315" s="53" t="s">
        <v>669</v>
      </c>
      <c r="F315" s="54" t="s">
        <v>24</v>
      </c>
      <c r="G315" s="55">
        <v>4400</v>
      </c>
      <c r="H315" s="54">
        <v>202505</v>
      </c>
      <c r="I315" s="54" t="s">
        <v>685</v>
      </c>
      <c r="J315" s="56">
        <v>3485</v>
      </c>
      <c r="K315" s="56">
        <v>4693</v>
      </c>
      <c r="L315" s="57">
        <v>1208</v>
      </c>
      <c r="M315" s="58">
        <v>1961258</v>
      </c>
      <c r="N315" s="60">
        <v>0</v>
      </c>
      <c r="O315" s="60">
        <v>0</v>
      </c>
      <c r="P315" s="60">
        <v>0</v>
      </c>
      <c r="Q315" s="20">
        <v>0</v>
      </c>
      <c r="R315" s="19">
        <f t="shared" si="39"/>
        <v>1961258</v>
      </c>
      <c r="S315" s="19">
        <v>3000</v>
      </c>
      <c r="T315" s="19">
        <f t="shared" si="40"/>
        <v>1964258</v>
      </c>
      <c r="U315" s="105"/>
      <c r="X315" s="10"/>
      <c r="Z315" s="10"/>
    </row>
    <row r="316" spans="1:26" ht="18" customHeight="1" x14ac:dyDescent="0.25">
      <c r="A316" s="14">
        <v>31</v>
      </c>
      <c r="B316" s="52">
        <v>514031421357</v>
      </c>
      <c r="C316" s="53" t="s">
        <v>45</v>
      </c>
      <c r="D316" s="35" t="s">
        <v>28</v>
      </c>
      <c r="E316" s="53" t="s">
        <v>686</v>
      </c>
      <c r="F316" s="54" t="s">
        <v>24</v>
      </c>
      <c r="G316" s="55">
        <v>4400</v>
      </c>
      <c r="H316" s="54">
        <v>202505</v>
      </c>
      <c r="I316" s="54" t="s">
        <v>687</v>
      </c>
      <c r="J316" s="56">
        <v>75142</v>
      </c>
      <c r="K316" s="56">
        <v>77221</v>
      </c>
      <c r="L316" s="57">
        <v>2079</v>
      </c>
      <c r="M316" s="58">
        <v>3465342</v>
      </c>
      <c r="N316" s="60">
        <v>0</v>
      </c>
      <c r="O316" s="60">
        <v>0</v>
      </c>
      <c r="P316" s="60">
        <v>0</v>
      </c>
      <c r="Q316" s="20">
        <v>0</v>
      </c>
      <c r="R316" s="19">
        <f t="shared" si="39"/>
        <v>3465342</v>
      </c>
      <c r="S316" s="19">
        <v>3000</v>
      </c>
      <c r="T316" s="19">
        <f t="shared" si="40"/>
        <v>3468342</v>
      </c>
      <c r="U316" s="105"/>
      <c r="X316" s="10"/>
      <c r="Z316" s="10"/>
    </row>
    <row r="317" spans="1:26" ht="18" customHeight="1" x14ac:dyDescent="0.25">
      <c r="A317" s="14">
        <v>32</v>
      </c>
      <c r="B317" s="52">
        <v>514031421365</v>
      </c>
      <c r="C317" s="53" t="s">
        <v>45</v>
      </c>
      <c r="D317" s="35" t="s">
        <v>22</v>
      </c>
      <c r="E317" s="53" t="s">
        <v>688</v>
      </c>
      <c r="F317" s="54" t="s">
        <v>24</v>
      </c>
      <c r="G317" s="55">
        <v>7700</v>
      </c>
      <c r="H317" s="54">
        <v>202505</v>
      </c>
      <c r="I317" s="54" t="s">
        <v>689</v>
      </c>
      <c r="J317" s="56">
        <v>91315</v>
      </c>
      <c r="K317" s="56">
        <v>92426</v>
      </c>
      <c r="L317" s="57">
        <v>1111</v>
      </c>
      <c r="M317" s="58">
        <v>1888178</v>
      </c>
      <c r="N317" s="60">
        <v>0</v>
      </c>
      <c r="O317" s="60">
        <v>0</v>
      </c>
      <c r="P317" s="60">
        <v>0</v>
      </c>
      <c r="Q317" s="20">
        <v>0</v>
      </c>
      <c r="R317" s="19">
        <f t="shared" si="39"/>
        <v>1888178</v>
      </c>
      <c r="S317" s="19">
        <v>3000</v>
      </c>
      <c r="T317" s="19">
        <f t="shared" si="40"/>
        <v>1891178</v>
      </c>
      <c r="U317" s="105"/>
      <c r="X317" s="10"/>
      <c r="Z317" s="10"/>
    </row>
    <row r="318" spans="1:26" ht="18" customHeight="1" x14ac:dyDescent="0.25">
      <c r="A318" s="14">
        <v>33</v>
      </c>
      <c r="B318" s="52">
        <v>514031421373</v>
      </c>
      <c r="C318" s="53" t="s">
        <v>45</v>
      </c>
      <c r="D318" s="35" t="s">
        <v>22</v>
      </c>
      <c r="E318" s="53" t="s">
        <v>690</v>
      </c>
      <c r="F318" s="54" t="s">
        <v>24</v>
      </c>
      <c r="G318" s="55">
        <v>5500</v>
      </c>
      <c r="H318" s="54">
        <v>202505</v>
      </c>
      <c r="I318" s="54" t="s">
        <v>691</v>
      </c>
      <c r="J318" s="56">
        <v>7023</v>
      </c>
      <c r="K318" s="56">
        <v>8642</v>
      </c>
      <c r="L318" s="57">
        <v>1619</v>
      </c>
      <c r="M318" s="58">
        <v>2821220</v>
      </c>
      <c r="N318" s="60">
        <v>0</v>
      </c>
      <c r="O318" s="60">
        <v>0</v>
      </c>
      <c r="P318" s="60">
        <v>0</v>
      </c>
      <c r="Q318" s="20">
        <v>0</v>
      </c>
      <c r="R318" s="19">
        <f t="shared" si="39"/>
        <v>2821220</v>
      </c>
      <c r="S318" s="19">
        <v>3000</v>
      </c>
      <c r="T318" s="19">
        <f t="shared" si="40"/>
        <v>2824220</v>
      </c>
      <c r="U318" s="105"/>
      <c r="X318" s="10"/>
      <c r="Z318" s="10"/>
    </row>
    <row r="319" spans="1:26" ht="18" customHeight="1" x14ac:dyDescent="0.25">
      <c r="A319" s="14">
        <v>34</v>
      </c>
      <c r="B319" s="52">
        <v>514031421381</v>
      </c>
      <c r="C319" s="53" t="s">
        <v>45</v>
      </c>
      <c r="D319" s="35" t="s">
        <v>22</v>
      </c>
      <c r="E319" s="53" t="s">
        <v>669</v>
      </c>
      <c r="F319" s="54" t="s">
        <v>24</v>
      </c>
      <c r="G319" s="55">
        <v>4400</v>
      </c>
      <c r="H319" s="54">
        <v>202505</v>
      </c>
      <c r="I319" s="54" t="s">
        <v>692</v>
      </c>
      <c r="J319" s="56">
        <v>92827</v>
      </c>
      <c r="K319" s="56">
        <v>94450</v>
      </c>
      <c r="L319" s="57">
        <v>1623</v>
      </c>
      <c r="M319" s="58">
        <v>2637671</v>
      </c>
      <c r="N319" s="60">
        <v>0</v>
      </c>
      <c r="O319" s="60">
        <v>0</v>
      </c>
      <c r="P319" s="60">
        <v>0</v>
      </c>
      <c r="Q319" s="20">
        <v>0</v>
      </c>
      <c r="R319" s="19">
        <f t="shared" si="39"/>
        <v>2637671</v>
      </c>
      <c r="S319" s="19">
        <v>3000</v>
      </c>
      <c r="T319" s="19">
        <f t="shared" si="40"/>
        <v>2640671</v>
      </c>
      <c r="U319" s="105"/>
      <c r="X319" s="10"/>
      <c r="Z319" s="10"/>
    </row>
    <row r="320" spans="1:26" ht="18" customHeight="1" x14ac:dyDescent="0.25">
      <c r="A320" s="14">
        <v>35</v>
      </c>
      <c r="B320" s="52">
        <v>514031421399</v>
      </c>
      <c r="C320" s="53" t="s">
        <v>45</v>
      </c>
      <c r="D320" s="35" t="s">
        <v>28</v>
      </c>
      <c r="E320" s="53" t="s">
        <v>693</v>
      </c>
      <c r="F320" s="54" t="s">
        <v>24</v>
      </c>
      <c r="G320" s="55">
        <v>4400</v>
      </c>
      <c r="H320" s="54">
        <v>202505</v>
      </c>
      <c r="I320" s="54" t="s">
        <v>694</v>
      </c>
      <c r="J320" s="56">
        <v>94589</v>
      </c>
      <c r="K320" s="56">
        <v>95752</v>
      </c>
      <c r="L320" s="57">
        <v>1163</v>
      </c>
      <c r="M320" s="58">
        <v>1284845</v>
      </c>
      <c r="N320" s="60">
        <v>0</v>
      </c>
      <c r="O320" s="60">
        <v>0</v>
      </c>
      <c r="P320" s="60">
        <v>0</v>
      </c>
      <c r="Q320" s="20">
        <v>0</v>
      </c>
      <c r="R320" s="19">
        <f t="shared" si="39"/>
        <v>1284845</v>
      </c>
      <c r="S320" s="19">
        <v>3000</v>
      </c>
      <c r="T320" s="19">
        <f t="shared" si="40"/>
        <v>1287845</v>
      </c>
      <c r="U320" s="105"/>
      <c r="X320" s="10"/>
      <c r="Z320" s="10"/>
    </row>
    <row r="321" spans="1:26" ht="18" customHeight="1" x14ac:dyDescent="0.25">
      <c r="A321" s="14">
        <v>36</v>
      </c>
      <c r="B321" s="52">
        <v>514031421402</v>
      </c>
      <c r="C321" s="53" t="s">
        <v>45</v>
      </c>
      <c r="D321" s="35" t="s">
        <v>28</v>
      </c>
      <c r="E321" s="53" t="s">
        <v>693</v>
      </c>
      <c r="F321" s="54" t="s">
        <v>24</v>
      </c>
      <c r="G321" s="55">
        <v>4400</v>
      </c>
      <c r="H321" s="54">
        <v>202505</v>
      </c>
      <c r="I321" s="54" t="s">
        <v>695</v>
      </c>
      <c r="J321" s="56">
        <v>90046</v>
      </c>
      <c r="K321" s="56">
        <v>90699</v>
      </c>
      <c r="L321" s="57">
        <v>653</v>
      </c>
      <c r="M321" s="58">
        <v>786882</v>
      </c>
      <c r="N321" s="60">
        <v>0</v>
      </c>
      <c r="O321" s="60">
        <v>0</v>
      </c>
      <c r="P321" s="60">
        <v>0</v>
      </c>
      <c r="Q321" s="20">
        <v>0</v>
      </c>
      <c r="R321" s="19">
        <f t="shared" si="39"/>
        <v>786882</v>
      </c>
      <c r="S321" s="19">
        <v>3000</v>
      </c>
      <c r="T321" s="19">
        <f t="shared" si="40"/>
        <v>789882</v>
      </c>
      <c r="U321" s="105"/>
      <c r="X321" s="10"/>
      <c r="Z321" s="10"/>
    </row>
    <row r="322" spans="1:26" ht="18" customHeight="1" x14ac:dyDescent="0.25">
      <c r="A322" s="14">
        <v>37</v>
      </c>
      <c r="B322" s="52">
        <v>514031421410</v>
      </c>
      <c r="C322" s="53" t="s">
        <v>45</v>
      </c>
      <c r="D322" s="35" t="s">
        <v>28</v>
      </c>
      <c r="E322" s="53" t="s">
        <v>49</v>
      </c>
      <c r="F322" s="54" t="s">
        <v>24</v>
      </c>
      <c r="G322" s="55">
        <v>4400</v>
      </c>
      <c r="H322" s="54">
        <v>202505</v>
      </c>
      <c r="I322" s="54" t="s">
        <v>696</v>
      </c>
      <c r="J322" s="56">
        <v>91866</v>
      </c>
      <c r="K322" s="56">
        <v>92795</v>
      </c>
      <c r="L322" s="57">
        <v>929</v>
      </c>
      <c r="M322" s="58">
        <v>1451399</v>
      </c>
      <c r="N322" s="60">
        <v>0</v>
      </c>
      <c r="O322" s="60">
        <v>0</v>
      </c>
      <c r="P322" s="60">
        <v>0</v>
      </c>
      <c r="Q322" s="20">
        <v>0</v>
      </c>
      <c r="R322" s="19">
        <f t="shared" si="39"/>
        <v>1451399</v>
      </c>
      <c r="S322" s="19">
        <v>3000</v>
      </c>
      <c r="T322" s="19">
        <f t="shared" si="40"/>
        <v>1454399</v>
      </c>
      <c r="U322" s="105"/>
      <c r="X322" s="10"/>
      <c r="Z322" s="10"/>
    </row>
    <row r="323" spans="1:26" ht="18" customHeight="1" x14ac:dyDescent="0.25">
      <c r="A323" s="14">
        <v>38</v>
      </c>
      <c r="B323" s="52">
        <v>514031421428</v>
      </c>
      <c r="C323" s="53" t="s">
        <v>45</v>
      </c>
      <c r="D323" s="35" t="s">
        <v>28</v>
      </c>
      <c r="E323" s="53" t="s">
        <v>643</v>
      </c>
      <c r="F323" s="54" t="s">
        <v>24</v>
      </c>
      <c r="G323" s="55">
        <v>4400</v>
      </c>
      <c r="H323" s="54">
        <v>202505</v>
      </c>
      <c r="I323" s="54" t="s">
        <v>697</v>
      </c>
      <c r="J323" s="56">
        <v>62693</v>
      </c>
      <c r="K323" s="56">
        <v>63758</v>
      </c>
      <c r="L323" s="57">
        <v>1065</v>
      </c>
      <c r="M323" s="58">
        <v>1854187</v>
      </c>
      <c r="N323" s="60">
        <v>0</v>
      </c>
      <c r="O323" s="60">
        <v>0</v>
      </c>
      <c r="P323" s="60">
        <v>0</v>
      </c>
      <c r="Q323" s="20">
        <v>0</v>
      </c>
      <c r="R323" s="19">
        <f t="shared" si="39"/>
        <v>1854187</v>
      </c>
      <c r="S323" s="19">
        <v>3000</v>
      </c>
      <c r="T323" s="19">
        <f t="shared" si="40"/>
        <v>1857187</v>
      </c>
      <c r="U323" s="105"/>
      <c r="X323" s="10"/>
      <c r="Z323" s="10"/>
    </row>
    <row r="324" spans="1:26" ht="18" customHeight="1" x14ac:dyDescent="0.25">
      <c r="A324" s="14">
        <v>39</v>
      </c>
      <c r="B324" s="52">
        <v>514031421436</v>
      </c>
      <c r="C324" s="53" t="s">
        <v>45</v>
      </c>
      <c r="D324" s="35" t="s">
        <v>28</v>
      </c>
      <c r="E324" s="53" t="s">
        <v>698</v>
      </c>
      <c r="F324" s="54" t="s">
        <v>24</v>
      </c>
      <c r="G324" s="55">
        <v>4400</v>
      </c>
      <c r="H324" s="54">
        <v>202505</v>
      </c>
      <c r="I324" s="54" t="s">
        <v>699</v>
      </c>
      <c r="J324" s="56">
        <v>61147</v>
      </c>
      <c r="K324" s="56">
        <v>62718</v>
      </c>
      <c r="L324" s="57">
        <v>1571</v>
      </c>
      <c r="M324" s="58">
        <v>2569689</v>
      </c>
      <c r="N324" s="60">
        <v>0</v>
      </c>
      <c r="O324" s="60">
        <v>0</v>
      </c>
      <c r="P324" s="60">
        <v>0</v>
      </c>
      <c r="Q324" s="20">
        <v>0</v>
      </c>
      <c r="R324" s="19">
        <f t="shared" si="39"/>
        <v>2569689</v>
      </c>
      <c r="S324" s="19">
        <v>3000</v>
      </c>
      <c r="T324" s="19">
        <f t="shared" si="40"/>
        <v>2572689</v>
      </c>
      <c r="U324" s="105"/>
      <c r="X324" s="10"/>
      <c r="Z324" s="10"/>
    </row>
    <row r="325" spans="1:26" ht="18" customHeight="1" x14ac:dyDescent="0.25">
      <c r="A325" s="14">
        <v>40</v>
      </c>
      <c r="B325" s="52">
        <v>514031421444</v>
      </c>
      <c r="C325" s="53" t="s">
        <v>45</v>
      </c>
      <c r="D325" s="35" t="s">
        <v>28</v>
      </c>
      <c r="E325" s="53" t="s">
        <v>49</v>
      </c>
      <c r="F325" s="54" t="s">
        <v>24</v>
      </c>
      <c r="G325" s="55">
        <v>4400</v>
      </c>
      <c r="H325" s="54">
        <v>202505</v>
      </c>
      <c r="I325" s="54" t="s">
        <v>700</v>
      </c>
      <c r="J325" s="56">
        <v>34294</v>
      </c>
      <c r="K325" s="56">
        <v>35487</v>
      </c>
      <c r="L325" s="57">
        <v>1193</v>
      </c>
      <c r="M325" s="58">
        <v>1876281</v>
      </c>
      <c r="N325" s="60">
        <v>0</v>
      </c>
      <c r="O325" s="60">
        <v>0</v>
      </c>
      <c r="P325" s="60">
        <v>0</v>
      </c>
      <c r="Q325" s="20">
        <v>0</v>
      </c>
      <c r="R325" s="19">
        <f t="shared" si="39"/>
        <v>1876281</v>
      </c>
      <c r="S325" s="19">
        <v>3000</v>
      </c>
      <c r="T325" s="19">
        <f t="shared" si="40"/>
        <v>1879281</v>
      </c>
      <c r="U325" s="105"/>
      <c r="X325" s="10"/>
      <c r="Z325" s="10"/>
    </row>
    <row r="326" spans="1:26" s="25" customFormat="1" ht="18" customHeight="1" x14ac:dyDescent="0.25">
      <c r="A326" s="14"/>
      <c r="B326" s="15"/>
      <c r="C326" s="14"/>
      <c r="D326" s="14"/>
      <c r="E326" s="14"/>
      <c r="F326" s="15"/>
      <c r="G326" s="15"/>
      <c r="H326" s="15"/>
      <c r="I326" s="15" t="s">
        <v>0</v>
      </c>
      <c r="J326" s="15"/>
      <c r="K326" s="15"/>
      <c r="L326" s="18" t="s">
        <v>0</v>
      </c>
      <c r="M326" s="19"/>
      <c r="N326" s="38"/>
      <c r="O326" s="38"/>
      <c r="P326" s="38"/>
      <c r="Q326" s="38"/>
      <c r="R326" s="37"/>
      <c r="S326" s="37"/>
      <c r="T326" s="37"/>
      <c r="U326" s="147"/>
      <c r="X326" s="10">
        <f t="shared" ref="X326:X391" si="41">M326+N326+O326+P326</f>
        <v>0</v>
      </c>
      <c r="Y326" s="2">
        <f t="shared" ref="Y326:Y391" si="42">IF(X326&gt;5000000,10000,IF(V326&lt;5000000,0,IF(V326=5000000,10000)))</f>
        <v>0</v>
      </c>
      <c r="Z326" s="10"/>
    </row>
    <row r="327" spans="1:26" ht="33" customHeight="1" x14ac:dyDescent="0.25">
      <c r="A327" s="34" t="s">
        <v>139</v>
      </c>
      <c r="B327" s="9"/>
      <c r="C327" s="9"/>
      <c r="D327" s="9"/>
      <c r="E327" s="9"/>
      <c r="F327" s="9"/>
      <c r="G327" s="61">
        <f>SUM(G286:G326)</f>
        <v>214500</v>
      </c>
      <c r="H327" s="61"/>
      <c r="I327" s="61"/>
      <c r="J327" s="61"/>
      <c r="K327" s="61"/>
      <c r="L327" s="61">
        <f t="shared" ref="L327:R327" si="43">SUM(L286:L326)</f>
        <v>50361</v>
      </c>
      <c r="M327" s="61">
        <f t="shared" si="43"/>
        <v>82430604</v>
      </c>
      <c r="N327" s="61">
        <f t="shared" si="43"/>
        <v>0</v>
      </c>
      <c r="O327" s="61">
        <f t="shared" si="43"/>
        <v>0</v>
      </c>
      <c r="P327" s="61">
        <f t="shared" si="43"/>
        <v>0</v>
      </c>
      <c r="Q327" s="61">
        <f t="shared" si="43"/>
        <v>0</v>
      </c>
      <c r="R327" s="61">
        <f t="shared" si="43"/>
        <v>82430604</v>
      </c>
      <c r="S327" s="61">
        <f>SUM(S286:S326)</f>
        <v>120000</v>
      </c>
      <c r="T327" s="61">
        <f>SUM(T286:T326)</f>
        <v>82550604</v>
      </c>
      <c r="U327" s="28"/>
      <c r="W327" s="62"/>
      <c r="X327" s="10">
        <f t="shared" si="41"/>
        <v>82430604</v>
      </c>
      <c r="Y327" s="2">
        <f t="shared" si="42"/>
        <v>10000</v>
      </c>
      <c r="Z327" s="10"/>
    </row>
    <row r="328" spans="1:26" ht="18" customHeight="1" x14ac:dyDescent="0.25">
      <c r="A328" s="63"/>
      <c r="B328" s="63"/>
      <c r="C328" s="63" t="s">
        <v>140</v>
      </c>
      <c r="D328" s="63"/>
      <c r="E328" s="63" t="s">
        <v>140</v>
      </c>
      <c r="F328" s="63"/>
      <c r="G328" s="63"/>
      <c r="L328" s="31"/>
      <c r="X328" s="10">
        <f t="shared" si="41"/>
        <v>0</v>
      </c>
      <c r="Y328" s="2">
        <f t="shared" si="42"/>
        <v>0</v>
      </c>
      <c r="Z328" s="10"/>
    </row>
    <row r="329" spans="1:26" ht="18" customHeight="1" x14ac:dyDescent="0.25">
      <c r="A329" s="63"/>
      <c r="B329" s="63"/>
      <c r="C329" s="63"/>
      <c r="D329" s="63"/>
      <c r="E329" s="63"/>
      <c r="F329" s="63"/>
      <c r="G329" s="63"/>
      <c r="L329" s="31"/>
      <c r="X329" s="10"/>
      <c r="Z329" s="10"/>
    </row>
    <row r="330" spans="1:26" s="84" customFormat="1" ht="39" customHeight="1" x14ac:dyDescent="0.25">
      <c r="A330" s="9" t="s">
        <v>4</v>
      </c>
      <c r="B330" s="21" t="s">
        <v>5</v>
      </c>
      <c r="C330" s="21" t="s">
        <v>6</v>
      </c>
      <c r="D330" s="12"/>
      <c r="E330" s="9" t="s">
        <v>7</v>
      </c>
      <c r="F330" s="21" t="s">
        <v>8</v>
      </c>
      <c r="G330" s="21" t="s">
        <v>9</v>
      </c>
      <c r="H330" s="21" t="s">
        <v>10</v>
      </c>
      <c r="I330" s="21" t="s">
        <v>11</v>
      </c>
      <c r="J330" s="21" t="s">
        <v>12</v>
      </c>
      <c r="K330" s="21" t="s">
        <v>13</v>
      </c>
      <c r="L330" s="21" t="s">
        <v>14</v>
      </c>
      <c r="M330" s="143" t="s">
        <v>15</v>
      </c>
      <c r="N330" s="144" t="s">
        <v>16</v>
      </c>
      <c r="O330" s="144" t="s">
        <v>17</v>
      </c>
      <c r="P330" s="144" t="s">
        <v>18</v>
      </c>
      <c r="Q330" s="144" t="s">
        <v>19</v>
      </c>
      <c r="R330" s="143" t="s">
        <v>20</v>
      </c>
      <c r="S330" s="143" t="s">
        <v>3471</v>
      </c>
      <c r="T330" s="143" t="s">
        <v>3472</v>
      </c>
      <c r="U330" s="145"/>
      <c r="V330" s="145"/>
      <c r="W330" s="145"/>
      <c r="X330" s="145"/>
    </row>
    <row r="331" spans="1:26" ht="18" customHeight="1" x14ac:dyDescent="0.25">
      <c r="A331" s="34"/>
      <c r="B331" s="9"/>
      <c r="C331" s="15"/>
      <c r="D331" s="15"/>
      <c r="E331" s="15"/>
      <c r="F331" s="15"/>
      <c r="G331" s="15"/>
      <c r="H331" s="15"/>
      <c r="I331" s="15"/>
      <c r="J331" s="15"/>
      <c r="K331" s="15"/>
      <c r="L331" s="18"/>
      <c r="M331" s="19"/>
      <c r="N331" s="20"/>
      <c r="O331" s="20"/>
      <c r="P331" s="20"/>
      <c r="Q331" s="20"/>
      <c r="R331" s="19"/>
      <c r="S331" s="19"/>
      <c r="T331" s="19"/>
      <c r="U331" s="105"/>
      <c r="X331" s="10">
        <f t="shared" si="41"/>
        <v>0</v>
      </c>
      <c r="Y331" s="2">
        <f t="shared" si="42"/>
        <v>0</v>
      </c>
      <c r="Z331" s="10"/>
    </row>
    <row r="332" spans="1:26" ht="18" customHeight="1" x14ac:dyDescent="0.25">
      <c r="A332" s="34"/>
      <c r="B332" s="9"/>
      <c r="C332" s="15"/>
      <c r="D332" s="15"/>
      <c r="E332" s="35" t="s">
        <v>141</v>
      </c>
      <c r="F332" s="15"/>
      <c r="G332" s="61">
        <f>G327</f>
        <v>214500</v>
      </c>
      <c r="H332" s="61">
        <f t="shared" ref="H332:R332" si="44">H327</f>
        <v>0</v>
      </c>
      <c r="I332" s="61">
        <f t="shared" si="44"/>
        <v>0</v>
      </c>
      <c r="J332" s="61"/>
      <c r="K332" s="61"/>
      <c r="L332" s="61">
        <f t="shared" si="44"/>
        <v>50361</v>
      </c>
      <c r="M332" s="64">
        <f t="shared" si="44"/>
        <v>82430604</v>
      </c>
      <c r="N332" s="65">
        <f t="shared" si="44"/>
        <v>0</v>
      </c>
      <c r="O332" s="65">
        <f t="shared" si="44"/>
        <v>0</v>
      </c>
      <c r="P332" s="65">
        <f t="shared" si="44"/>
        <v>0</v>
      </c>
      <c r="Q332" s="65">
        <f t="shared" si="44"/>
        <v>0</v>
      </c>
      <c r="R332" s="64">
        <f t="shared" si="44"/>
        <v>82430604</v>
      </c>
      <c r="S332" s="64">
        <f>S327</f>
        <v>120000</v>
      </c>
      <c r="T332" s="64">
        <f>T327</f>
        <v>82550604</v>
      </c>
      <c r="U332" s="148"/>
      <c r="X332" s="10">
        <f t="shared" si="41"/>
        <v>82430604</v>
      </c>
      <c r="Y332" s="2">
        <f t="shared" si="42"/>
        <v>10000</v>
      </c>
      <c r="Z332" s="10"/>
    </row>
    <row r="333" spans="1:26" ht="18" customHeight="1" x14ac:dyDescent="0.25">
      <c r="A333" s="66">
        <v>41</v>
      </c>
      <c r="B333" s="67">
        <v>514031421451</v>
      </c>
      <c r="C333" s="53" t="s">
        <v>45</v>
      </c>
      <c r="D333" s="15" t="s">
        <v>28</v>
      </c>
      <c r="E333" s="35" t="s">
        <v>701</v>
      </c>
      <c r="F333" s="15" t="s">
        <v>24</v>
      </c>
      <c r="G333" s="18">
        <v>5500</v>
      </c>
      <c r="H333" s="18">
        <v>202505</v>
      </c>
      <c r="I333" s="18" t="s">
        <v>702</v>
      </c>
      <c r="J333" s="18">
        <v>67479</v>
      </c>
      <c r="K333" s="18">
        <v>69226</v>
      </c>
      <c r="L333" s="18">
        <v>1747</v>
      </c>
      <c r="M333" s="68">
        <v>2488112</v>
      </c>
      <c r="N333" s="69">
        <v>0</v>
      </c>
      <c r="O333" s="69">
        <v>0</v>
      </c>
      <c r="P333" s="69">
        <v>0</v>
      </c>
      <c r="Q333" s="69">
        <v>0</v>
      </c>
      <c r="R333" s="68">
        <f t="shared" ref="R333:R343" si="45">M333+N333+O333+P333+Q333</f>
        <v>2488112</v>
      </c>
      <c r="S333" s="19">
        <v>3000</v>
      </c>
      <c r="T333" s="19">
        <f t="shared" ref="T333:T343" si="46">R333+S333</f>
        <v>2491112</v>
      </c>
      <c r="U333" s="149"/>
      <c r="X333" s="10"/>
      <c r="Z333" s="10"/>
    </row>
    <row r="334" spans="1:26" ht="18" customHeight="1" x14ac:dyDescent="0.25">
      <c r="A334" s="66">
        <v>42</v>
      </c>
      <c r="B334" s="67">
        <v>514031421469</v>
      </c>
      <c r="C334" s="53" t="s">
        <v>45</v>
      </c>
      <c r="D334" s="15" t="s">
        <v>22</v>
      </c>
      <c r="E334" s="35" t="s">
        <v>85</v>
      </c>
      <c r="F334" s="15" t="s">
        <v>24</v>
      </c>
      <c r="G334" s="18">
        <v>5500</v>
      </c>
      <c r="H334" s="18">
        <v>202505</v>
      </c>
      <c r="I334" s="18" t="s">
        <v>703</v>
      </c>
      <c r="J334" s="18">
        <v>3753</v>
      </c>
      <c r="K334" s="18">
        <v>5484</v>
      </c>
      <c r="L334" s="18">
        <v>1731</v>
      </c>
      <c r="M334" s="68">
        <v>3137332</v>
      </c>
      <c r="N334" s="69">
        <v>0</v>
      </c>
      <c r="O334" s="69">
        <v>0</v>
      </c>
      <c r="P334" s="69">
        <v>0</v>
      </c>
      <c r="Q334" s="69">
        <v>0</v>
      </c>
      <c r="R334" s="68">
        <f t="shared" si="45"/>
        <v>3137332</v>
      </c>
      <c r="S334" s="19">
        <v>3000</v>
      </c>
      <c r="T334" s="19">
        <f t="shared" si="46"/>
        <v>3140332</v>
      </c>
      <c r="U334" s="149"/>
      <c r="X334" s="10"/>
      <c r="Z334" s="10"/>
    </row>
    <row r="335" spans="1:26" ht="18" customHeight="1" x14ac:dyDescent="0.25">
      <c r="A335" s="66">
        <v>43</v>
      </c>
      <c r="B335" s="67">
        <v>514031421477</v>
      </c>
      <c r="C335" s="53" t="s">
        <v>45</v>
      </c>
      <c r="D335" s="15" t="s">
        <v>22</v>
      </c>
      <c r="E335" s="35" t="s">
        <v>643</v>
      </c>
      <c r="F335" s="15" t="s">
        <v>24</v>
      </c>
      <c r="G335" s="18">
        <v>4400</v>
      </c>
      <c r="H335" s="18">
        <v>202505</v>
      </c>
      <c r="I335" s="18" t="s">
        <v>704</v>
      </c>
      <c r="J335" s="18">
        <v>23835</v>
      </c>
      <c r="K335" s="18">
        <v>25096</v>
      </c>
      <c r="L335" s="18">
        <v>1261</v>
      </c>
      <c r="M335" s="68">
        <v>2188995</v>
      </c>
      <c r="N335" s="69">
        <v>0</v>
      </c>
      <c r="O335" s="69">
        <v>0</v>
      </c>
      <c r="P335" s="69">
        <v>0</v>
      </c>
      <c r="Q335" s="69">
        <v>0</v>
      </c>
      <c r="R335" s="68">
        <f t="shared" si="45"/>
        <v>2188995</v>
      </c>
      <c r="S335" s="19">
        <v>3000</v>
      </c>
      <c r="T335" s="19">
        <f t="shared" si="46"/>
        <v>2191995</v>
      </c>
      <c r="U335" s="149"/>
      <c r="X335" s="10"/>
      <c r="Z335" s="10"/>
    </row>
    <row r="336" spans="1:26" ht="18" customHeight="1" x14ac:dyDescent="0.25">
      <c r="A336" s="66">
        <v>44</v>
      </c>
      <c r="B336" s="67">
        <v>514031421485</v>
      </c>
      <c r="C336" s="53" t="s">
        <v>45</v>
      </c>
      <c r="D336" s="15" t="s">
        <v>28</v>
      </c>
      <c r="E336" s="35" t="s">
        <v>643</v>
      </c>
      <c r="F336" s="15" t="s">
        <v>24</v>
      </c>
      <c r="G336" s="18">
        <v>4400</v>
      </c>
      <c r="H336" s="18">
        <v>202505</v>
      </c>
      <c r="I336" s="18" t="s">
        <v>705</v>
      </c>
      <c r="J336" s="18">
        <v>44368</v>
      </c>
      <c r="K336" s="18">
        <v>45429</v>
      </c>
      <c r="L336" s="18">
        <v>1061</v>
      </c>
      <c r="M336" s="68">
        <v>1765812</v>
      </c>
      <c r="N336" s="69">
        <v>0</v>
      </c>
      <c r="O336" s="69">
        <v>0</v>
      </c>
      <c r="P336" s="69">
        <v>0</v>
      </c>
      <c r="Q336" s="69">
        <v>0</v>
      </c>
      <c r="R336" s="68">
        <f t="shared" si="45"/>
        <v>1765812</v>
      </c>
      <c r="S336" s="19">
        <v>3000</v>
      </c>
      <c r="T336" s="19">
        <f t="shared" si="46"/>
        <v>1768812</v>
      </c>
      <c r="U336" s="149"/>
      <c r="X336" s="10"/>
      <c r="Z336" s="10"/>
    </row>
    <row r="337" spans="1:26" ht="18" customHeight="1" x14ac:dyDescent="0.25">
      <c r="A337" s="66">
        <v>45</v>
      </c>
      <c r="B337" s="67">
        <v>514031421493</v>
      </c>
      <c r="C337" s="53" t="s">
        <v>45</v>
      </c>
      <c r="D337" s="15" t="s">
        <v>22</v>
      </c>
      <c r="E337" s="35" t="s">
        <v>652</v>
      </c>
      <c r="F337" s="15" t="s">
        <v>24</v>
      </c>
      <c r="G337" s="18">
        <v>5500</v>
      </c>
      <c r="H337" s="18">
        <v>202505</v>
      </c>
      <c r="I337" s="18" t="s">
        <v>706</v>
      </c>
      <c r="J337" s="18">
        <v>47114</v>
      </c>
      <c r="K337" s="18">
        <v>48406</v>
      </c>
      <c r="L337" s="18">
        <v>1292</v>
      </c>
      <c r="M337" s="68">
        <v>1838891</v>
      </c>
      <c r="N337" s="69">
        <v>0</v>
      </c>
      <c r="O337" s="69">
        <v>0</v>
      </c>
      <c r="P337" s="69">
        <v>0</v>
      </c>
      <c r="Q337" s="69">
        <v>0</v>
      </c>
      <c r="R337" s="68">
        <f t="shared" si="45"/>
        <v>1838891</v>
      </c>
      <c r="S337" s="19">
        <v>3000</v>
      </c>
      <c r="T337" s="19">
        <f t="shared" si="46"/>
        <v>1841891</v>
      </c>
      <c r="U337" s="149"/>
      <c r="X337" s="10"/>
      <c r="Z337" s="10"/>
    </row>
    <row r="338" spans="1:26" ht="18" customHeight="1" x14ac:dyDescent="0.25">
      <c r="A338" s="66">
        <v>46</v>
      </c>
      <c r="B338" s="67">
        <v>514031421507</v>
      </c>
      <c r="C338" s="53" t="s">
        <v>45</v>
      </c>
      <c r="D338" s="15" t="s">
        <v>28</v>
      </c>
      <c r="E338" s="35" t="s">
        <v>652</v>
      </c>
      <c r="F338" s="15" t="s">
        <v>24</v>
      </c>
      <c r="G338" s="18">
        <v>4400</v>
      </c>
      <c r="H338" s="18">
        <v>202505</v>
      </c>
      <c r="I338" s="18" t="s">
        <v>707</v>
      </c>
      <c r="J338" s="18">
        <v>20591</v>
      </c>
      <c r="K338" s="18">
        <v>22834</v>
      </c>
      <c r="L338" s="18">
        <v>2243</v>
      </c>
      <c r="M338" s="68">
        <v>4065276</v>
      </c>
      <c r="N338" s="69">
        <v>0</v>
      </c>
      <c r="O338" s="69">
        <v>0</v>
      </c>
      <c r="P338" s="69">
        <v>0</v>
      </c>
      <c r="Q338" s="69">
        <v>0</v>
      </c>
      <c r="R338" s="68">
        <f t="shared" si="45"/>
        <v>4065276</v>
      </c>
      <c r="S338" s="19">
        <v>3000</v>
      </c>
      <c r="T338" s="19">
        <f t="shared" si="46"/>
        <v>4068276</v>
      </c>
      <c r="U338" s="149"/>
      <c r="X338" s="10"/>
      <c r="Z338" s="10"/>
    </row>
    <row r="339" spans="1:26" ht="18" customHeight="1" x14ac:dyDescent="0.25">
      <c r="A339" s="66">
        <v>47</v>
      </c>
      <c r="B339" s="67">
        <v>514031421515</v>
      </c>
      <c r="C339" s="53" t="s">
        <v>45</v>
      </c>
      <c r="D339" s="15" t="s">
        <v>28</v>
      </c>
      <c r="E339" s="35" t="s">
        <v>645</v>
      </c>
      <c r="F339" s="15" t="s">
        <v>24</v>
      </c>
      <c r="G339" s="18">
        <v>5500</v>
      </c>
      <c r="H339" s="18">
        <v>202505</v>
      </c>
      <c r="I339" s="18" t="s">
        <v>708</v>
      </c>
      <c r="J339" s="18">
        <v>18047</v>
      </c>
      <c r="K339" s="18">
        <v>20243</v>
      </c>
      <c r="L339" s="18">
        <v>2196</v>
      </c>
      <c r="M339" s="68">
        <v>3558816</v>
      </c>
      <c r="N339" s="69">
        <v>0</v>
      </c>
      <c r="O339" s="69">
        <v>0</v>
      </c>
      <c r="P339" s="69">
        <v>0</v>
      </c>
      <c r="Q339" s="69">
        <v>0</v>
      </c>
      <c r="R339" s="68">
        <f t="shared" si="45"/>
        <v>3558816</v>
      </c>
      <c r="S339" s="19">
        <v>3000</v>
      </c>
      <c r="T339" s="19">
        <f t="shared" si="46"/>
        <v>3561816</v>
      </c>
      <c r="U339" s="149"/>
      <c r="X339" s="10"/>
      <c r="Z339" s="10"/>
    </row>
    <row r="340" spans="1:26" ht="18" customHeight="1" x14ac:dyDescent="0.25">
      <c r="A340" s="66">
        <v>48</v>
      </c>
      <c r="B340" s="67">
        <v>514031421523</v>
      </c>
      <c r="C340" s="53" t="s">
        <v>45</v>
      </c>
      <c r="D340" s="15" t="s">
        <v>28</v>
      </c>
      <c r="E340" s="35" t="s">
        <v>676</v>
      </c>
      <c r="F340" s="15" t="s">
        <v>24</v>
      </c>
      <c r="G340" s="18">
        <v>5500</v>
      </c>
      <c r="H340" s="18">
        <v>202505</v>
      </c>
      <c r="I340" s="18" t="s">
        <v>709</v>
      </c>
      <c r="J340" s="18">
        <v>42387</v>
      </c>
      <c r="K340" s="18">
        <v>43194</v>
      </c>
      <c r="L340" s="18">
        <v>807</v>
      </c>
      <c r="M340" s="68">
        <v>1235558</v>
      </c>
      <c r="N340" s="69">
        <v>0</v>
      </c>
      <c r="O340" s="69">
        <v>0</v>
      </c>
      <c r="P340" s="69">
        <v>0</v>
      </c>
      <c r="Q340" s="69">
        <v>0</v>
      </c>
      <c r="R340" s="68">
        <f t="shared" si="45"/>
        <v>1235558</v>
      </c>
      <c r="S340" s="19">
        <v>3000</v>
      </c>
      <c r="T340" s="19">
        <f t="shared" si="46"/>
        <v>1238558</v>
      </c>
      <c r="U340" s="149"/>
      <c r="X340" s="10"/>
      <c r="Z340" s="10"/>
    </row>
    <row r="341" spans="1:26" ht="18" customHeight="1" x14ac:dyDescent="0.25">
      <c r="A341" s="66">
        <v>49</v>
      </c>
      <c r="B341" s="67">
        <v>514031851937</v>
      </c>
      <c r="C341" s="53" t="s">
        <v>710</v>
      </c>
      <c r="D341" s="15" t="s">
        <v>28</v>
      </c>
      <c r="E341" s="35" t="s">
        <v>667</v>
      </c>
      <c r="F341" s="15" t="s">
        <v>24</v>
      </c>
      <c r="G341" s="18">
        <v>3500</v>
      </c>
      <c r="H341" s="18">
        <v>202505</v>
      </c>
      <c r="I341" s="18" t="s">
        <v>711</v>
      </c>
      <c r="J341" s="18">
        <v>71990</v>
      </c>
      <c r="K341" s="18">
        <v>72652</v>
      </c>
      <c r="L341" s="18">
        <v>662</v>
      </c>
      <c r="M341" s="68">
        <v>1114892</v>
      </c>
      <c r="N341" s="69">
        <v>0</v>
      </c>
      <c r="O341" s="69">
        <v>0</v>
      </c>
      <c r="P341" s="69">
        <v>0</v>
      </c>
      <c r="Q341" s="69">
        <v>0</v>
      </c>
      <c r="R341" s="68">
        <f t="shared" si="45"/>
        <v>1114892</v>
      </c>
      <c r="S341" s="19">
        <v>3000</v>
      </c>
      <c r="T341" s="19">
        <f t="shared" si="46"/>
        <v>1117892</v>
      </c>
      <c r="U341" s="149"/>
      <c r="X341" s="10"/>
      <c r="Z341" s="10"/>
    </row>
    <row r="342" spans="1:26" ht="18" customHeight="1" x14ac:dyDescent="0.25">
      <c r="A342" s="66">
        <v>50</v>
      </c>
      <c r="B342" s="67">
        <v>514032196543</v>
      </c>
      <c r="C342" s="14" t="s">
        <v>712</v>
      </c>
      <c r="D342" s="15" t="s">
        <v>28</v>
      </c>
      <c r="E342" s="35" t="s">
        <v>654</v>
      </c>
      <c r="F342" s="15" t="s">
        <v>24</v>
      </c>
      <c r="G342" s="18">
        <v>3500</v>
      </c>
      <c r="H342" s="18">
        <v>202505</v>
      </c>
      <c r="I342" s="18" t="s">
        <v>713</v>
      </c>
      <c r="J342" s="18">
        <v>31350</v>
      </c>
      <c r="K342" s="18">
        <v>32177</v>
      </c>
      <c r="L342" s="18">
        <v>827</v>
      </c>
      <c r="M342" s="68">
        <v>1366422</v>
      </c>
      <c r="N342" s="69">
        <v>0</v>
      </c>
      <c r="O342" s="69">
        <v>0</v>
      </c>
      <c r="P342" s="69">
        <v>0</v>
      </c>
      <c r="Q342" s="69">
        <v>0</v>
      </c>
      <c r="R342" s="68">
        <f t="shared" si="45"/>
        <v>1366422</v>
      </c>
      <c r="S342" s="19">
        <v>3000</v>
      </c>
      <c r="T342" s="19">
        <f t="shared" si="46"/>
        <v>1369422</v>
      </c>
      <c r="U342" s="149"/>
      <c r="X342" s="10"/>
      <c r="Z342" s="10"/>
    </row>
    <row r="343" spans="1:26" ht="18" customHeight="1" x14ac:dyDescent="0.25">
      <c r="A343" s="66">
        <v>51</v>
      </c>
      <c r="B343" s="67">
        <v>514100615956</v>
      </c>
      <c r="C343" s="14" t="s">
        <v>714</v>
      </c>
      <c r="D343" s="15" t="s">
        <v>28</v>
      </c>
      <c r="E343" s="35" t="s">
        <v>667</v>
      </c>
      <c r="F343" s="15" t="s">
        <v>24</v>
      </c>
      <c r="G343" s="18">
        <v>5500</v>
      </c>
      <c r="H343" s="18">
        <v>202505</v>
      </c>
      <c r="I343" s="18" t="s">
        <v>715</v>
      </c>
      <c r="J343" s="18">
        <v>95091</v>
      </c>
      <c r="K343" s="18">
        <v>96034</v>
      </c>
      <c r="L343" s="18">
        <v>943</v>
      </c>
      <c r="M343" s="68">
        <v>1119990</v>
      </c>
      <c r="N343" s="69">
        <v>0</v>
      </c>
      <c r="O343" s="69">
        <v>0</v>
      </c>
      <c r="P343" s="69">
        <v>0</v>
      </c>
      <c r="Q343" s="69">
        <v>0</v>
      </c>
      <c r="R343" s="68">
        <f t="shared" si="45"/>
        <v>1119990</v>
      </c>
      <c r="S343" s="19">
        <v>3000</v>
      </c>
      <c r="T343" s="19">
        <f t="shared" si="46"/>
        <v>1122990</v>
      </c>
      <c r="U343" s="149"/>
      <c r="X343" s="10"/>
      <c r="Z343" s="10"/>
    </row>
    <row r="344" spans="1:26" s="25" customFormat="1" ht="18" customHeight="1" x14ac:dyDescent="0.25">
      <c r="A344" s="70"/>
      <c r="B344" s="9"/>
      <c r="C344" s="51"/>
      <c r="D344" s="51"/>
      <c r="E344" s="51"/>
      <c r="F344" s="9"/>
      <c r="G344" s="71"/>
      <c r="H344" s="61"/>
      <c r="I344" s="9"/>
      <c r="J344" s="9"/>
      <c r="K344" s="9"/>
      <c r="L344" s="61"/>
      <c r="M344" s="37"/>
      <c r="N344" s="38"/>
      <c r="O344" s="38"/>
      <c r="P344" s="38"/>
      <c r="Q344" s="38"/>
      <c r="R344" s="37"/>
      <c r="S344" s="37"/>
      <c r="T344" s="37"/>
      <c r="U344" s="147"/>
      <c r="X344" s="48">
        <f>M344+N344+O344+P344</f>
        <v>0</v>
      </c>
      <c r="Y344" s="25">
        <f>IF(X344&gt;5000000,10000,IF(V344&lt;5000000,0,IF(V344=5000000,10000)))</f>
        <v>0</v>
      </c>
      <c r="Z344" s="48"/>
    </row>
    <row r="345" spans="1:26" s="25" customFormat="1" ht="33" customHeight="1" x14ac:dyDescent="0.25">
      <c r="A345" s="34" t="s">
        <v>716</v>
      </c>
      <c r="B345" s="40"/>
      <c r="C345" s="40"/>
      <c r="D345" s="40"/>
      <c r="E345" s="40"/>
      <c r="F345" s="40"/>
      <c r="G345" s="36">
        <f>SUM(G332:G344)</f>
        <v>267700</v>
      </c>
      <c r="H345" s="36"/>
      <c r="I345" s="36"/>
      <c r="J345" s="36"/>
      <c r="K345" s="36"/>
      <c r="L345" s="36">
        <f t="shared" ref="L345:R345" si="47">SUM(L332:L344)</f>
        <v>65131</v>
      </c>
      <c r="M345" s="36">
        <f t="shared" si="47"/>
        <v>106310700</v>
      </c>
      <c r="N345" s="36">
        <f t="shared" si="47"/>
        <v>0</v>
      </c>
      <c r="O345" s="36">
        <f t="shared" si="47"/>
        <v>0</v>
      </c>
      <c r="P345" s="36">
        <f t="shared" si="47"/>
        <v>0</v>
      </c>
      <c r="Q345" s="36">
        <f t="shared" si="47"/>
        <v>0</v>
      </c>
      <c r="R345" s="36">
        <f t="shared" si="47"/>
        <v>106310700</v>
      </c>
      <c r="S345" s="36">
        <f>SUM(S332:S344)</f>
        <v>153000</v>
      </c>
      <c r="T345" s="36">
        <f>SUM(T332:T344)</f>
        <v>106463700</v>
      </c>
      <c r="U345" s="39"/>
      <c r="V345" s="25">
        <v>106310700</v>
      </c>
      <c r="W345" s="48">
        <f>R345-V345</f>
        <v>0</v>
      </c>
      <c r="X345" s="10">
        <f>M345+N345+O345+P345</f>
        <v>106310700</v>
      </c>
      <c r="Y345" s="2">
        <f>IF(X345&gt;5000000,10000,IF(V345&lt;5000000,0,IF(V345=5000000,10000)))</f>
        <v>10000</v>
      </c>
      <c r="Z345" s="10"/>
    </row>
    <row r="346" spans="1:26" ht="18" customHeight="1" x14ac:dyDescent="0.25">
      <c r="A346" s="72"/>
      <c r="B346" s="73"/>
      <c r="C346" s="74"/>
      <c r="D346" s="74"/>
      <c r="E346" s="74"/>
      <c r="F346" s="73"/>
      <c r="G346" s="75"/>
      <c r="H346" s="75"/>
      <c r="I346" s="75"/>
      <c r="J346" s="75"/>
      <c r="K346" s="75"/>
      <c r="L346" s="75"/>
      <c r="X346" s="10">
        <f t="shared" si="41"/>
        <v>0</v>
      </c>
      <c r="Y346" s="2">
        <f t="shared" si="42"/>
        <v>0</v>
      </c>
      <c r="Z346" s="10"/>
    </row>
    <row r="347" spans="1:26" ht="18" customHeight="1" x14ac:dyDescent="0.25">
      <c r="A347" s="25"/>
      <c r="B347" s="7"/>
      <c r="C347" s="8"/>
      <c r="D347" s="8"/>
      <c r="E347" s="8"/>
      <c r="F347" s="7"/>
      <c r="G347" s="39"/>
      <c r="H347" s="39"/>
      <c r="I347" s="39"/>
      <c r="J347" s="39"/>
      <c r="K347" s="39"/>
      <c r="L347" s="39"/>
      <c r="X347" s="10"/>
      <c r="Z347" s="10"/>
    </row>
    <row r="348" spans="1:26" ht="18" customHeight="1" x14ac:dyDescent="0.25">
      <c r="A348" s="76" t="s">
        <v>717</v>
      </c>
      <c r="B348" s="63"/>
      <c r="C348" s="77"/>
      <c r="D348" s="77"/>
      <c r="E348" s="77"/>
      <c r="F348" s="63"/>
      <c r="G348" s="78"/>
      <c r="L348" s="31"/>
      <c r="X348" s="10">
        <f t="shared" si="41"/>
        <v>0</v>
      </c>
      <c r="Y348" s="2">
        <f t="shared" si="42"/>
        <v>0</v>
      </c>
      <c r="Z348" s="10"/>
    </row>
    <row r="349" spans="1:26" s="84" customFormat="1" ht="39" customHeight="1" x14ac:dyDescent="0.25">
      <c r="A349" s="9" t="s">
        <v>4</v>
      </c>
      <c r="B349" s="21" t="s">
        <v>5</v>
      </c>
      <c r="C349" s="21" t="s">
        <v>6</v>
      </c>
      <c r="D349" s="12"/>
      <c r="E349" s="9" t="s">
        <v>7</v>
      </c>
      <c r="F349" s="21" t="s">
        <v>8</v>
      </c>
      <c r="G349" s="21" t="s">
        <v>9</v>
      </c>
      <c r="H349" s="21" t="s">
        <v>10</v>
      </c>
      <c r="I349" s="21" t="s">
        <v>11</v>
      </c>
      <c r="J349" s="21" t="s">
        <v>12</v>
      </c>
      <c r="K349" s="21" t="s">
        <v>13</v>
      </c>
      <c r="L349" s="21" t="s">
        <v>14</v>
      </c>
      <c r="M349" s="143" t="s">
        <v>15</v>
      </c>
      <c r="N349" s="144" t="s">
        <v>16</v>
      </c>
      <c r="O349" s="144" t="s">
        <v>17</v>
      </c>
      <c r="P349" s="144" t="s">
        <v>18</v>
      </c>
      <c r="Q349" s="144" t="s">
        <v>19</v>
      </c>
      <c r="R349" s="143" t="s">
        <v>20</v>
      </c>
      <c r="S349" s="143" t="s">
        <v>3471</v>
      </c>
      <c r="T349" s="143" t="s">
        <v>3472</v>
      </c>
      <c r="U349" s="145"/>
      <c r="V349" s="145"/>
      <c r="W349" s="145"/>
      <c r="X349" s="145"/>
    </row>
    <row r="350" spans="1:26" ht="18" customHeight="1" x14ac:dyDescent="0.25">
      <c r="A350" s="34"/>
      <c r="B350" s="9"/>
      <c r="C350" s="15"/>
      <c r="D350" s="15"/>
      <c r="E350" s="15"/>
      <c r="F350" s="15"/>
      <c r="G350" s="15"/>
      <c r="H350" s="15"/>
      <c r="I350" s="15"/>
      <c r="J350" s="15"/>
      <c r="K350" s="15"/>
      <c r="L350" s="18">
        <f>+H350+I350</f>
        <v>0</v>
      </c>
      <c r="M350" s="19"/>
      <c r="N350" s="20"/>
      <c r="O350" s="20"/>
      <c r="P350" s="20"/>
      <c r="Q350" s="20"/>
      <c r="R350" s="19"/>
      <c r="S350" s="19"/>
      <c r="T350" s="19"/>
      <c r="U350" s="105"/>
      <c r="X350" s="10">
        <f t="shared" si="41"/>
        <v>0</v>
      </c>
      <c r="Y350" s="2">
        <f t="shared" si="42"/>
        <v>0</v>
      </c>
      <c r="Z350" s="10"/>
    </row>
    <row r="351" spans="1:26" ht="18" customHeight="1" x14ac:dyDescent="0.25">
      <c r="A351" s="11">
        <v>1</v>
      </c>
      <c r="B351" s="15" t="s">
        <v>718</v>
      </c>
      <c r="C351" s="14" t="s">
        <v>719</v>
      </c>
      <c r="D351" s="14" t="s">
        <v>68</v>
      </c>
      <c r="E351" s="14" t="s">
        <v>720</v>
      </c>
      <c r="F351" s="15" t="s">
        <v>24</v>
      </c>
      <c r="G351" s="46">
        <v>3500</v>
      </c>
      <c r="H351" s="15" t="s">
        <v>25</v>
      </c>
      <c r="I351" s="15" t="s">
        <v>721</v>
      </c>
      <c r="J351" s="15">
        <v>15624</v>
      </c>
      <c r="K351" s="15">
        <v>15815</v>
      </c>
      <c r="L351" s="68">
        <v>191</v>
      </c>
      <c r="M351" s="68">
        <v>324610</v>
      </c>
      <c r="N351" s="79">
        <v>0</v>
      </c>
      <c r="O351" s="79">
        <v>0</v>
      </c>
      <c r="P351" s="79">
        <v>0</v>
      </c>
      <c r="Q351" s="79">
        <v>0</v>
      </c>
      <c r="R351" s="19">
        <f t="shared" ref="R351:R390" si="48">+M351+N351+O351+P351+Q351</f>
        <v>324610</v>
      </c>
      <c r="S351" s="19">
        <v>3000</v>
      </c>
      <c r="T351" s="19">
        <f t="shared" ref="T351:T390" si="49">R351+S351</f>
        <v>327610</v>
      </c>
      <c r="U351" s="105"/>
      <c r="X351" s="10">
        <f t="shared" si="41"/>
        <v>324610</v>
      </c>
      <c r="Y351" s="2">
        <f t="shared" si="42"/>
        <v>0</v>
      </c>
      <c r="Z351" s="10">
        <f t="shared" ref="Z351:Z390" si="50">Q351-Y351</f>
        <v>0</v>
      </c>
    </row>
    <row r="352" spans="1:26" ht="18" customHeight="1" x14ac:dyDescent="0.25">
      <c r="A352" s="11">
        <v>2</v>
      </c>
      <c r="B352" s="15" t="s">
        <v>722</v>
      </c>
      <c r="C352" s="14" t="s">
        <v>723</v>
      </c>
      <c r="D352" s="14" t="s">
        <v>68</v>
      </c>
      <c r="E352" s="14" t="s">
        <v>724</v>
      </c>
      <c r="F352" s="15" t="s">
        <v>24</v>
      </c>
      <c r="G352" s="46">
        <v>7700</v>
      </c>
      <c r="H352" s="15" t="s">
        <v>25</v>
      </c>
      <c r="I352" s="15" t="s">
        <v>725</v>
      </c>
      <c r="J352" s="15">
        <v>59649</v>
      </c>
      <c r="K352" s="15">
        <v>60253</v>
      </c>
      <c r="L352" s="68">
        <v>604</v>
      </c>
      <c r="M352" s="68">
        <v>1026516</v>
      </c>
      <c r="N352" s="79">
        <v>0</v>
      </c>
      <c r="O352" s="79">
        <v>0</v>
      </c>
      <c r="P352" s="79">
        <v>0</v>
      </c>
      <c r="Q352" s="79">
        <v>0</v>
      </c>
      <c r="R352" s="19">
        <f t="shared" si="48"/>
        <v>1026516</v>
      </c>
      <c r="S352" s="19">
        <v>3000</v>
      </c>
      <c r="T352" s="19">
        <f t="shared" si="49"/>
        <v>1029516</v>
      </c>
      <c r="U352" s="105"/>
      <c r="X352" s="10">
        <f t="shared" si="41"/>
        <v>1026516</v>
      </c>
      <c r="Y352" s="2">
        <f t="shared" si="42"/>
        <v>0</v>
      </c>
      <c r="Z352" s="10">
        <f t="shared" si="50"/>
        <v>0</v>
      </c>
    </row>
    <row r="353" spans="1:26" ht="18" customHeight="1" x14ac:dyDescent="0.25">
      <c r="A353" s="11">
        <v>3</v>
      </c>
      <c r="B353" s="15" t="s">
        <v>726</v>
      </c>
      <c r="C353" s="14" t="s">
        <v>45</v>
      </c>
      <c r="D353" s="14" t="s">
        <v>28</v>
      </c>
      <c r="E353" s="14" t="s">
        <v>727</v>
      </c>
      <c r="F353" s="15" t="s">
        <v>24</v>
      </c>
      <c r="G353" s="46">
        <v>2200</v>
      </c>
      <c r="H353" s="15" t="s">
        <v>25</v>
      </c>
      <c r="I353" s="15" t="s">
        <v>728</v>
      </c>
      <c r="J353" s="15">
        <v>76288</v>
      </c>
      <c r="K353" s="15">
        <v>77432</v>
      </c>
      <c r="L353" s="68">
        <v>1144</v>
      </c>
      <c r="M353" s="68">
        <v>1944262</v>
      </c>
      <c r="N353" s="79">
        <v>0</v>
      </c>
      <c r="O353" s="79">
        <v>0</v>
      </c>
      <c r="P353" s="79">
        <v>0</v>
      </c>
      <c r="Q353" s="79">
        <v>0</v>
      </c>
      <c r="R353" s="19">
        <f t="shared" si="48"/>
        <v>1944262</v>
      </c>
      <c r="S353" s="19">
        <v>3000</v>
      </c>
      <c r="T353" s="19">
        <f t="shared" si="49"/>
        <v>1947262</v>
      </c>
      <c r="U353" s="105"/>
      <c r="X353" s="10">
        <f t="shared" si="41"/>
        <v>1944262</v>
      </c>
      <c r="Y353" s="2">
        <f t="shared" si="42"/>
        <v>0</v>
      </c>
      <c r="Z353" s="10">
        <f t="shared" si="50"/>
        <v>0</v>
      </c>
    </row>
    <row r="354" spans="1:26" ht="18" customHeight="1" x14ac:dyDescent="0.25">
      <c r="A354" s="11">
        <v>4</v>
      </c>
      <c r="B354" s="15" t="s">
        <v>729</v>
      </c>
      <c r="C354" s="14" t="s">
        <v>730</v>
      </c>
      <c r="D354" s="14" t="s">
        <v>68</v>
      </c>
      <c r="E354" s="14" t="s">
        <v>731</v>
      </c>
      <c r="F354" s="15" t="s">
        <v>24</v>
      </c>
      <c r="G354" s="46">
        <v>2200</v>
      </c>
      <c r="H354" s="15" t="s">
        <v>25</v>
      </c>
      <c r="I354" s="15" t="s">
        <v>732</v>
      </c>
      <c r="J354" s="15">
        <v>14639</v>
      </c>
      <c r="K354" s="15">
        <v>14952</v>
      </c>
      <c r="L354" s="68">
        <v>313</v>
      </c>
      <c r="M354" s="68">
        <v>531953</v>
      </c>
      <c r="N354" s="79">
        <v>0</v>
      </c>
      <c r="O354" s="79">
        <v>0</v>
      </c>
      <c r="P354" s="79">
        <v>0</v>
      </c>
      <c r="Q354" s="79">
        <v>0</v>
      </c>
      <c r="R354" s="19">
        <f t="shared" si="48"/>
        <v>531953</v>
      </c>
      <c r="S354" s="19">
        <v>3000</v>
      </c>
      <c r="T354" s="19">
        <f t="shared" si="49"/>
        <v>534953</v>
      </c>
      <c r="U354" s="105"/>
      <c r="X354" s="10">
        <f t="shared" si="41"/>
        <v>531953</v>
      </c>
      <c r="Y354" s="2">
        <f t="shared" si="42"/>
        <v>0</v>
      </c>
      <c r="Z354" s="10">
        <f t="shared" si="50"/>
        <v>0</v>
      </c>
    </row>
    <row r="355" spans="1:26" ht="18" customHeight="1" x14ac:dyDescent="0.25">
      <c r="A355" s="11">
        <v>5</v>
      </c>
      <c r="B355" s="15" t="s">
        <v>733</v>
      </c>
      <c r="C355" s="14" t="s">
        <v>734</v>
      </c>
      <c r="D355" s="14" t="s">
        <v>68</v>
      </c>
      <c r="E355" s="14" t="s">
        <v>735</v>
      </c>
      <c r="F355" s="15" t="s">
        <v>24</v>
      </c>
      <c r="G355" s="46">
        <v>7700</v>
      </c>
      <c r="H355" s="15" t="s">
        <v>25</v>
      </c>
      <c r="I355" s="15" t="s">
        <v>736</v>
      </c>
      <c r="J355" s="15">
        <v>21824</v>
      </c>
      <c r="K355" s="15">
        <v>23851</v>
      </c>
      <c r="L355" s="68">
        <v>2027</v>
      </c>
      <c r="M355" s="68">
        <v>3444947</v>
      </c>
      <c r="N355" s="79">
        <v>0</v>
      </c>
      <c r="O355" s="79">
        <v>0</v>
      </c>
      <c r="P355" s="79">
        <v>0</v>
      </c>
      <c r="Q355" s="79">
        <v>0</v>
      </c>
      <c r="R355" s="19">
        <f t="shared" si="48"/>
        <v>3444947</v>
      </c>
      <c r="S355" s="19">
        <v>3000</v>
      </c>
      <c r="T355" s="19">
        <f t="shared" si="49"/>
        <v>3447947</v>
      </c>
      <c r="U355" s="105"/>
      <c r="X355" s="10">
        <f t="shared" si="41"/>
        <v>3444947</v>
      </c>
      <c r="Y355" s="2">
        <f t="shared" si="42"/>
        <v>0</v>
      </c>
      <c r="Z355" s="10">
        <f t="shared" si="50"/>
        <v>0</v>
      </c>
    </row>
    <row r="356" spans="1:26" ht="18" customHeight="1" x14ac:dyDescent="0.25">
      <c r="A356" s="11">
        <v>6</v>
      </c>
      <c r="B356" s="15" t="s">
        <v>737</v>
      </c>
      <c r="C356" s="14" t="s">
        <v>738</v>
      </c>
      <c r="D356" s="14" t="s">
        <v>739</v>
      </c>
      <c r="E356" s="14" t="s">
        <v>740</v>
      </c>
      <c r="F356" s="15" t="s">
        <v>24</v>
      </c>
      <c r="G356" s="46">
        <v>5500</v>
      </c>
      <c r="H356" s="15" t="s">
        <v>25</v>
      </c>
      <c r="I356" s="15" t="s">
        <v>741</v>
      </c>
      <c r="J356" s="15">
        <v>24594</v>
      </c>
      <c r="K356" s="15">
        <v>24967</v>
      </c>
      <c r="L356" s="68">
        <v>373</v>
      </c>
      <c r="M356" s="68">
        <v>633925</v>
      </c>
      <c r="N356" s="79">
        <v>0</v>
      </c>
      <c r="O356" s="79">
        <v>0</v>
      </c>
      <c r="P356" s="79">
        <v>0</v>
      </c>
      <c r="Q356" s="79">
        <v>0</v>
      </c>
      <c r="R356" s="19">
        <f t="shared" si="48"/>
        <v>633925</v>
      </c>
      <c r="S356" s="19">
        <v>3000</v>
      </c>
      <c r="T356" s="19">
        <f t="shared" si="49"/>
        <v>636925</v>
      </c>
      <c r="U356" s="105"/>
      <c r="X356" s="10">
        <f t="shared" si="41"/>
        <v>633925</v>
      </c>
      <c r="Y356" s="2">
        <f t="shared" si="42"/>
        <v>0</v>
      </c>
      <c r="Z356" s="10">
        <f t="shared" si="50"/>
        <v>0</v>
      </c>
    </row>
    <row r="357" spans="1:26" ht="18" customHeight="1" x14ac:dyDescent="0.25">
      <c r="A357" s="11">
        <v>7</v>
      </c>
      <c r="B357" s="15" t="s">
        <v>742</v>
      </c>
      <c r="C357" s="14" t="s">
        <v>45</v>
      </c>
      <c r="D357" s="14" t="s">
        <v>68</v>
      </c>
      <c r="E357" s="14" t="s">
        <v>743</v>
      </c>
      <c r="F357" s="15" t="s">
        <v>24</v>
      </c>
      <c r="G357" s="46">
        <v>3500</v>
      </c>
      <c r="H357" s="15" t="s">
        <v>25</v>
      </c>
      <c r="I357" s="15" t="s">
        <v>744</v>
      </c>
      <c r="J357" s="15">
        <v>89306</v>
      </c>
      <c r="K357" s="15">
        <v>90168</v>
      </c>
      <c r="L357" s="68">
        <v>862</v>
      </c>
      <c r="M357" s="68">
        <v>1464995</v>
      </c>
      <c r="N357" s="79">
        <v>0</v>
      </c>
      <c r="O357" s="79">
        <v>0</v>
      </c>
      <c r="P357" s="79">
        <v>0</v>
      </c>
      <c r="Q357" s="79">
        <v>0</v>
      </c>
      <c r="R357" s="19">
        <f t="shared" si="48"/>
        <v>1464995</v>
      </c>
      <c r="S357" s="19">
        <v>3000</v>
      </c>
      <c r="T357" s="19">
        <f t="shared" si="49"/>
        <v>1467995</v>
      </c>
      <c r="U357" s="105"/>
      <c r="X357" s="10">
        <f t="shared" si="41"/>
        <v>1464995</v>
      </c>
      <c r="Y357" s="2">
        <f t="shared" si="42"/>
        <v>0</v>
      </c>
      <c r="Z357" s="10">
        <f t="shared" si="50"/>
        <v>0</v>
      </c>
    </row>
    <row r="358" spans="1:26" ht="18" customHeight="1" x14ac:dyDescent="0.25">
      <c r="A358" s="11">
        <v>8</v>
      </c>
      <c r="B358" s="15" t="s">
        <v>745</v>
      </c>
      <c r="C358" s="14" t="s">
        <v>45</v>
      </c>
      <c r="D358" s="14" t="s">
        <v>68</v>
      </c>
      <c r="E358" s="14" t="s">
        <v>746</v>
      </c>
      <c r="F358" s="15" t="s">
        <v>24</v>
      </c>
      <c r="G358" s="46">
        <v>7700</v>
      </c>
      <c r="H358" s="15" t="s">
        <v>25</v>
      </c>
      <c r="I358" s="15" t="s">
        <v>747</v>
      </c>
      <c r="J358" s="15">
        <v>15621</v>
      </c>
      <c r="K358" s="15">
        <v>16738</v>
      </c>
      <c r="L358" s="68">
        <v>1117</v>
      </c>
      <c r="M358" s="68">
        <v>1898375</v>
      </c>
      <c r="N358" s="79">
        <v>0</v>
      </c>
      <c r="O358" s="79">
        <v>0</v>
      </c>
      <c r="P358" s="79">
        <v>0</v>
      </c>
      <c r="Q358" s="79">
        <v>0</v>
      </c>
      <c r="R358" s="19">
        <f t="shared" si="48"/>
        <v>1898375</v>
      </c>
      <c r="S358" s="19">
        <v>3000</v>
      </c>
      <c r="T358" s="19">
        <f t="shared" si="49"/>
        <v>1901375</v>
      </c>
      <c r="U358" s="105"/>
      <c r="X358" s="10">
        <f t="shared" si="41"/>
        <v>1898375</v>
      </c>
      <c r="Y358" s="2">
        <f t="shared" si="42"/>
        <v>0</v>
      </c>
      <c r="Z358" s="10">
        <f t="shared" si="50"/>
        <v>0</v>
      </c>
    </row>
    <row r="359" spans="1:26" ht="18" customHeight="1" x14ac:dyDescent="0.25">
      <c r="A359" s="11">
        <v>9</v>
      </c>
      <c r="B359" s="15" t="s">
        <v>748</v>
      </c>
      <c r="C359" s="14" t="s">
        <v>749</v>
      </c>
      <c r="D359" s="14" t="s">
        <v>68</v>
      </c>
      <c r="E359" s="14" t="s">
        <v>750</v>
      </c>
      <c r="F359" s="15" t="s">
        <v>24</v>
      </c>
      <c r="G359" s="46">
        <v>11000</v>
      </c>
      <c r="H359" s="15" t="s">
        <v>25</v>
      </c>
      <c r="I359" s="15" t="s">
        <v>751</v>
      </c>
      <c r="J359" s="15">
        <v>785</v>
      </c>
      <c r="K359" s="15">
        <v>835</v>
      </c>
      <c r="L359" s="68">
        <v>440</v>
      </c>
      <c r="M359" s="68">
        <v>747793</v>
      </c>
      <c r="N359" s="79">
        <v>0</v>
      </c>
      <c r="O359" s="79">
        <v>0</v>
      </c>
      <c r="P359" s="79">
        <v>0</v>
      </c>
      <c r="Q359" s="79">
        <v>0</v>
      </c>
      <c r="R359" s="19">
        <f t="shared" si="48"/>
        <v>747793</v>
      </c>
      <c r="S359" s="19">
        <v>3000</v>
      </c>
      <c r="T359" s="19">
        <f t="shared" si="49"/>
        <v>750793</v>
      </c>
      <c r="U359" s="105"/>
      <c r="X359" s="10">
        <f t="shared" si="41"/>
        <v>747793</v>
      </c>
      <c r="Y359" s="2">
        <f t="shared" si="42"/>
        <v>0</v>
      </c>
      <c r="Z359" s="10">
        <f t="shared" si="50"/>
        <v>0</v>
      </c>
    </row>
    <row r="360" spans="1:26" ht="18" customHeight="1" x14ac:dyDescent="0.25">
      <c r="A360" s="11">
        <v>10</v>
      </c>
      <c r="B360" s="15" t="s">
        <v>752</v>
      </c>
      <c r="C360" s="14" t="s">
        <v>45</v>
      </c>
      <c r="D360" s="14" t="s">
        <v>68</v>
      </c>
      <c r="E360" s="14" t="s">
        <v>753</v>
      </c>
      <c r="F360" s="15" t="s">
        <v>24</v>
      </c>
      <c r="G360" s="46">
        <v>5500</v>
      </c>
      <c r="H360" s="15" t="s">
        <v>25</v>
      </c>
      <c r="I360" s="15" t="s">
        <v>754</v>
      </c>
      <c r="J360" s="15">
        <v>33068</v>
      </c>
      <c r="K360" s="15">
        <v>35119</v>
      </c>
      <c r="L360" s="68">
        <v>2051</v>
      </c>
      <c r="M360" s="68">
        <v>3485736</v>
      </c>
      <c r="N360" s="79">
        <v>0</v>
      </c>
      <c r="O360" s="79">
        <v>0</v>
      </c>
      <c r="P360" s="79">
        <v>0</v>
      </c>
      <c r="Q360" s="79">
        <v>0</v>
      </c>
      <c r="R360" s="19">
        <f t="shared" si="48"/>
        <v>3485736</v>
      </c>
      <c r="S360" s="19">
        <v>3000</v>
      </c>
      <c r="T360" s="19">
        <f t="shared" si="49"/>
        <v>3488736</v>
      </c>
      <c r="U360" s="105"/>
      <c r="X360" s="10">
        <f t="shared" si="41"/>
        <v>3485736</v>
      </c>
      <c r="Y360" s="2">
        <f t="shared" si="42"/>
        <v>0</v>
      </c>
      <c r="Z360" s="10">
        <f t="shared" si="50"/>
        <v>0</v>
      </c>
    </row>
    <row r="361" spans="1:26" ht="18" customHeight="1" x14ac:dyDescent="0.25">
      <c r="A361" s="11">
        <v>11</v>
      </c>
      <c r="B361" s="15" t="s">
        <v>755</v>
      </c>
      <c r="C361" s="14" t="s">
        <v>756</v>
      </c>
      <c r="D361" s="14" t="s">
        <v>68</v>
      </c>
      <c r="E361" s="14" t="s">
        <v>757</v>
      </c>
      <c r="F361" s="15" t="s">
        <v>24</v>
      </c>
      <c r="G361" s="46">
        <v>7700</v>
      </c>
      <c r="H361" s="15" t="s">
        <v>25</v>
      </c>
      <c r="I361" s="15" t="s">
        <v>758</v>
      </c>
      <c r="J361" s="15">
        <v>96719</v>
      </c>
      <c r="K361" s="15">
        <v>96849</v>
      </c>
      <c r="L361" s="68">
        <v>308</v>
      </c>
      <c r="M361" s="68">
        <v>523455</v>
      </c>
      <c r="N361" s="79">
        <v>0</v>
      </c>
      <c r="O361" s="79">
        <v>0</v>
      </c>
      <c r="P361" s="79">
        <v>0</v>
      </c>
      <c r="Q361" s="79">
        <v>0</v>
      </c>
      <c r="R361" s="19">
        <f t="shared" si="48"/>
        <v>523455</v>
      </c>
      <c r="S361" s="19">
        <v>3000</v>
      </c>
      <c r="T361" s="19">
        <f t="shared" si="49"/>
        <v>526455</v>
      </c>
      <c r="U361" s="105"/>
      <c r="X361" s="10">
        <f t="shared" si="41"/>
        <v>523455</v>
      </c>
      <c r="Y361" s="2">
        <f t="shared" si="42"/>
        <v>0</v>
      </c>
      <c r="Z361" s="10">
        <f t="shared" si="50"/>
        <v>0</v>
      </c>
    </row>
    <row r="362" spans="1:26" ht="18" customHeight="1" x14ac:dyDescent="0.25">
      <c r="A362" s="11">
        <v>12</v>
      </c>
      <c r="B362" s="15" t="s">
        <v>759</v>
      </c>
      <c r="C362" s="14" t="s">
        <v>45</v>
      </c>
      <c r="D362" s="14" t="s">
        <v>68</v>
      </c>
      <c r="E362" s="14" t="s">
        <v>760</v>
      </c>
      <c r="F362" s="15" t="s">
        <v>24</v>
      </c>
      <c r="G362" s="46">
        <v>4400</v>
      </c>
      <c r="H362" s="15" t="s">
        <v>25</v>
      </c>
      <c r="I362" s="15" t="s">
        <v>761</v>
      </c>
      <c r="J362" s="15">
        <v>94008</v>
      </c>
      <c r="K362" s="15">
        <v>94328</v>
      </c>
      <c r="L362" s="68">
        <v>320</v>
      </c>
      <c r="M362" s="68">
        <v>543850</v>
      </c>
      <c r="N362" s="79">
        <v>0</v>
      </c>
      <c r="O362" s="79">
        <v>0</v>
      </c>
      <c r="P362" s="79">
        <v>0</v>
      </c>
      <c r="Q362" s="79">
        <v>0</v>
      </c>
      <c r="R362" s="19">
        <f t="shared" si="48"/>
        <v>543850</v>
      </c>
      <c r="S362" s="19">
        <v>3000</v>
      </c>
      <c r="T362" s="19">
        <f t="shared" si="49"/>
        <v>546850</v>
      </c>
      <c r="U362" s="105"/>
      <c r="X362" s="10">
        <f t="shared" si="41"/>
        <v>543850</v>
      </c>
      <c r="Y362" s="2">
        <f t="shared" si="42"/>
        <v>0</v>
      </c>
      <c r="Z362" s="10">
        <f t="shared" si="50"/>
        <v>0</v>
      </c>
    </row>
    <row r="363" spans="1:26" ht="18" customHeight="1" x14ac:dyDescent="0.25">
      <c r="A363" s="11">
        <v>13</v>
      </c>
      <c r="B363" s="15" t="s">
        <v>762</v>
      </c>
      <c r="C363" s="14" t="s">
        <v>45</v>
      </c>
      <c r="D363" s="14" t="s">
        <v>68</v>
      </c>
      <c r="E363" s="14" t="s">
        <v>763</v>
      </c>
      <c r="F363" s="15" t="s">
        <v>24</v>
      </c>
      <c r="G363" s="46">
        <v>5500</v>
      </c>
      <c r="H363" s="15" t="s">
        <v>25</v>
      </c>
      <c r="I363" s="15" t="s">
        <v>764</v>
      </c>
      <c r="J363" s="15">
        <v>84749</v>
      </c>
      <c r="K363" s="15">
        <v>85777</v>
      </c>
      <c r="L363" s="68">
        <v>1028</v>
      </c>
      <c r="M363" s="68">
        <v>1747117</v>
      </c>
      <c r="N363" s="79">
        <v>0</v>
      </c>
      <c r="O363" s="79">
        <v>0</v>
      </c>
      <c r="P363" s="79">
        <v>0</v>
      </c>
      <c r="Q363" s="79">
        <v>0</v>
      </c>
      <c r="R363" s="19">
        <f t="shared" si="48"/>
        <v>1747117</v>
      </c>
      <c r="S363" s="19">
        <v>3000</v>
      </c>
      <c r="T363" s="19">
        <f t="shared" si="49"/>
        <v>1750117</v>
      </c>
      <c r="U363" s="105"/>
      <c r="X363" s="10">
        <f t="shared" si="41"/>
        <v>1747117</v>
      </c>
      <c r="Y363" s="2">
        <f t="shared" si="42"/>
        <v>0</v>
      </c>
      <c r="Z363" s="10">
        <f t="shared" si="50"/>
        <v>0</v>
      </c>
    </row>
    <row r="364" spans="1:26" ht="18" customHeight="1" x14ac:dyDescent="0.25">
      <c r="A364" s="11">
        <v>14</v>
      </c>
      <c r="B364" s="15" t="s">
        <v>765</v>
      </c>
      <c r="C364" s="14" t="s">
        <v>45</v>
      </c>
      <c r="D364" s="14" t="s">
        <v>68</v>
      </c>
      <c r="E364" s="14" t="s">
        <v>763</v>
      </c>
      <c r="F364" s="15" t="s">
        <v>24</v>
      </c>
      <c r="G364" s="46">
        <v>7700</v>
      </c>
      <c r="H364" s="15" t="s">
        <v>25</v>
      </c>
      <c r="I364" s="15" t="s">
        <v>766</v>
      </c>
      <c r="J364" s="15">
        <v>53624</v>
      </c>
      <c r="K364" s="15">
        <v>53908</v>
      </c>
      <c r="L364" s="68">
        <v>308</v>
      </c>
      <c r="M364" s="68">
        <v>523455</v>
      </c>
      <c r="N364" s="79">
        <v>0</v>
      </c>
      <c r="O364" s="79">
        <v>0</v>
      </c>
      <c r="P364" s="79">
        <v>0</v>
      </c>
      <c r="Q364" s="79">
        <v>0</v>
      </c>
      <c r="R364" s="19">
        <f t="shared" si="48"/>
        <v>523455</v>
      </c>
      <c r="S364" s="19">
        <v>3000</v>
      </c>
      <c r="T364" s="19">
        <f t="shared" si="49"/>
        <v>526455</v>
      </c>
      <c r="U364" s="105"/>
      <c r="X364" s="10">
        <f t="shared" si="41"/>
        <v>523455</v>
      </c>
      <c r="Y364" s="2">
        <f t="shared" si="42"/>
        <v>0</v>
      </c>
      <c r="Z364" s="10">
        <f t="shared" si="50"/>
        <v>0</v>
      </c>
    </row>
    <row r="365" spans="1:26" ht="18" customHeight="1" x14ac:dyDescent="0.25">
      <c r="A365" s="11">
        <v>15</v>
      </c>
      <c r="B365" s="15" t="s">
        <v>767</v>
      </c>
      <c r="C365" s="14" t="s">
        <v>738</v>
      </c>
      <c r="D365" s="14" t="s">
        <v>68</v>
      </c>
      <c r="E365" s="14" t="s">
        <v>768</v>
      </c>
      <c r="F365" s="15" t="s">
        <v>24</v>
      </c>
      <c r="G365" s="46">
        <v>6000</v>
      </c>
      <c r="H365" s="15" t="s">
        <v>25</v>
      </c>
      <c r="I365" s="15" t="s">
        <v>769</v>
      </c>
      <c r="J365" s="15">
        <v>308114</v>
      </c>
      <c r="K365" s="15">
        <v>309886</v>
      </c>
      <c r="L365" s="68">
        <v>1772</v>
      </c>
      <c r="M365" s="68">
        <v>3011567</v>
      </c>
      <c r="N365" s="79">
        <v>0</v>
      </c>
      <c r="O365" s="79">
        <v>0</v>
      </c>
      <c r="P365" s="79">
        <v>0</v>
      </c>
      <c r="Q365" s="79">
        <v>0</v>
      </c>
      <c r="R365" s="19">
        <f t="shared" si="48"/>
        <v>3011567</v>
      </c>
      <c r="S365" s="19">
        <v>3000</v>
      </c>
      <c r="T365" s="19">
        <f t="shared" si="49"/>
        <v>3014567</v>
      </c>
      <c r="U365" s="105"/>
      <c r="X365" s="10">
        <f t="shared" si="41"/>
        <v>3011567</v>
      </c>
      <c r="Y365" s="2">
        <f t="shared" si="42"/>
        <v>0</v>
      </c>
      <c r="Z365" s="10">
        <f t="shared" si="50"/>
        <v>0</v>
      </c>
    </row>
    <row r="366" spans="1:26" ht="18" customHeight="1" x14ac:dyDescent="0.25">
      <c r="A366" s="11">
        <v>16</v>
      </c>
      <c r="B366" s="15" t="s">
        <v>770</v>
      </c>
      <c r="C366" s="14" t="s">
        <v>738</v>
      </c>
      <c r="D366" s="14" t="s">
        <v>68</v>
      </c>
      <c r="E366" s="14" t="s">
        <v>771</v>
      </c>
      <c r="F366" s="15" t="s">
        <v>24</v>
      </c>
      <c r="G366" s="46">
        <v>11000</v>
      </c>
      <c r="H366" s="15" t="s">
        <v>25</v>
      </c>
      <c r="I366" s="15" t="s">
        <v>772</v>
      </c>
      <c r="J366" s="15">
        <v>10370</v>
      </c>
      <c r="K366" s="15">
        <v>11277</v>
      </c>
      <c r="L366" s="68">
        <v>907</v>
      </c>
      <c r="M366" s="68">
        <v>1541474</v>
      </c>
      <c r="N366" s="79">
        <v>0</v>
      </c>
      <c r="O366" s="79">
        <v>0</v>
      </c>
      <c r="P366" s="79">
        <v>0</v>
      </c>
      <c r="Q366" s="79">
        <v>0</v>
      </c>
      <c r="R366" s="19">
        <f t="shared" si="48"/>
        <v>1541474</v>
      </c>
      <c r="S366" s="19">
        <v>3000</v>
      </c>
      <c r="T366" s="19">
        <f t="shared" si="49"/>
        <v>1544474</v>
      </c>
      <c r="U366" s="105"/>
      <c r="X366" s="10">
        <f t="shared" si="41"/>
        <v>1541474</v>
      </c>
      <c r="Y366" s="2">
        <f t="shared" si="42"/>
        <v>0</v>
      </c>
      <c r="Z366" s="10">
        <f t="shared" si="50"/>
        <v>0</v>
      </c>
    </row>
    <row r="367" spans="1:26" ht="18" customHeight="1" x14ac:dyDescent="0.25">
      <c r="A367" s="11">
        <v>17</v>
      </c>
      <c r="B367" s="15" t="s">
        <v>773</v>
      </c>
      <c r="C367" s="14" t="s">
        <v>774</v>
      </c>
      <c r="D367" s="14" t="s">
        <v>68</v>
      </c>
      <c r="E367" s="14" t="s">
        <v>775</v>
      </c>
      <c r="F367" s="15" t="s">
        <v>24</v>
      </c>
      <c r="G367" s="46">
        <v>7700</v>
      </c>
      <c r="H367" s="15" t="s">
        <v>25</v>
      </c>
      <c r="I367" s="15" t="s">
        <v>776</v>
      </c>
      <c r="J367" s="15">
        <v>20199</v>
      </c>
      <c r="K367" s="15">
        <v>20875</v>
      </c>
      <c r="L367" s="68">
        <v>676</v>
      </c>
      <c r="M367" s="68">
        <v>1148882</v>
      </c>
      <c r="N367" s="79">
        <v>0</v>
      </c>
      <c r="O367" s="79">
        <v>0</v>
      </c>
      <c r="P367" s="79">
        <v>0</v>
      </c>
      <c r="Q367" s="79">
        <v>0</v>
      </c>
      <c r="R367" s="19">
        <f t="shared" si="48"/>
        <v>1148882</v>
      </c>
      <c r="S367" s="19">
        <v>3000</v>
      </c>
      <c r="T367" s="19">
        <f t="shared" si="49"/>
        <v>1151882</v>
      </c>
      <c r="U367" s="105"/>
      <c r="X367" s="10">
        <f t="shared" si="41"/>
        <v>1148882</v>
      </c>
      <c r="Y367" s="2">
        <f t="shared" si="42"/>
        <v>0</v>
      </c>
      <c r="Z367" s="10">
        <f t="shared" si="50"/>
        <v>0</v>
      </c>
    </row>
    <row r="368" spans="1:26" ht="18" customHeight="1" x14ac:dyDescent="0.25">
      <c r="A368" s="11">
        <v>18</v>
      </c>
      <c r="B368" s="15" t="s">
        <v>777</v>
      </c>
      <c r="C368" s="14" t="s">
        <v>778</v>
      </c>
      <c r="D368" s="14" t="s">
        <v>68</v>
      </c>
      <c r="E368" s="14" t="s">
        <v>779</v>
      </c>
      <c r="F368" s="15" t="s">
        <v>24</v>
      </c>
      <c r="G368" s="46">
        <v>11000</v>
      </c>
      <c r="H368" s="15" t="s">
        <v>25</v>
      </c>
      <c r="I368" s="15" t="s">
        <v>780</v>
      </c>
      <c r="J368" s="15">
        <v>19955</v>
      </c>
      <c r="K368" s="15">
        <v>21246</v>
      </c>
      <c r="L368" s="68">
        <v>1291</v>
      </c>
      <c r="M368" s="68">
        <v>2194093</v>
      </c>
      <c r="N368" s="79">
        <v>0</v>
      </c>
      <c r="O368" s="79">
        <v>0</v>
      </c>
      <c r="P368" s="79">
        <v>0</v>
      </c>
      <c r="Q368" s="79">
        <v>0</v>
      </c>
      <c r="R368" s="19">
        <f t="shared" si="48"/>
        <v>2194093</v>
      </c>
      <c r="S368" s="19">
        <v>3000</v>
      </c>
      <c r="T368" s="19">
        <f t="shared" si="49"/>
        <v>2197093</v>
      </c>
      <c r="U368" s="105"/>
      <c r="X368" s="10">
        <f t="shared" si="41"/>
        <v>2194093</v>
      </c>
      <c r="Y368" s="2">
        <f t="shared" si="42"/>
        <v>0</v>
      </c>
      <c r="Z368" s="10">
        <f t="shared" si="50"/>
        <v>0</v>
      </c>
    </row>
    <row r="369" spans="1:26" ht="18" customHeight="1" x14ac:dyDescent="0.25">
      <c r="A369" s="11">
        <v>19</v>
      </c>
      <c r="B369" s="15" t="s">
        <v>781</v>
      </c>
      <c r="C369" s="14" t="s">
        <v>782</v>
      </c>
      <c r="D369" s="14" t="s">
        <v>22</v>
      </c>
      <c r="E369" s="14" t="s">
        <v>783</v>
      </c>
      <c r="F369" s="15" t="s">
        <v>24</v>
      </c>
      <c r="G369" s="46">
        <v>3500</v>
      </c>
      <c r="H369" s="15" t="s">
        <v>25</v>
      </c>
      <c r="I369" s="15" t="s">
        <v>784</v>
      </c>
      <c r="J369" s="15">
        <v>11844</v>
      </c>
      <c r="K369" s="15">
        <v>13384</v>
      </c>
      <c r="L369" s="68">
        <v>1540</v>
      </c>
      <c r="M369" s="68">
        <v>2617276</v>
      </c>
      <c r="N369" s="79">
        <v>0</v>
      </c>
      <c r="O369" s="79">
        <v>0</v>
      </c>
      <c r="P369" s="79">
        <v>0</v>
      </c>
      <c r="Q369" s="79">
        <v>0</v>
      </c>
      <c r="R369" s="19">
        <f t="shared" si="48"/>
        <v>2617276</v>
      </c>
      <c r="S369" s="19">
        <v>3000</v>
      </c>
      <c r="T369" s="19">
        <f t="shared" si="49"/>
        <v>2620276</v>
      </c>
      <c r="U369" s="105"/>
      <c r="X369" s="10">
        <f t="shared" si="41"/>
        <v>2617276</v>
      </c>
      <c r="Y369" s="2">
        <f t="shared" si="42"/>
        <v>0</v>
      </c>
      <c r="Z369" s="10">
        <f t="shared" si="50"/>
        <v>0</v>
      </c>
    </row>
    <row r="370" spans="1:26" ht="18" customHeight="1" x14ac:dyDescent="0.25">
      <c r="A370" s="11">
        <v>20</v>
      </c>
      <c r="B370" s="15" t="s">
        <v>785</v>
      </c>
      <c r="C370" s="14" t="s">
        <v>786</v>
      </c>
      <c r="D370" s="14" t="s">
        <v>22</v>
      </c>
      <c r="E370" s="14" t="s">
        <v>787</v>
      </c>
      <c r="F370" s="15" t="s">
        <v>24</v>
      </c>
      <c r="G370" s="46">
        <v>3500</v>
      </c>
      <c r="H370" s="15" t="s">
        <v>25</v>
      </c>
      <c r="I370" s="15" t="s">
        <v>788</v>
      </c>
      <c r="J370" s="15">
        <v>59637</v>
      </c>
      <c r="K370" s="15">
        <v>60112</v>
      </c>
      <c r="L370" s="68">
        <v>475</v>
      </c>
      <c r="M370" s="68">
        <v>807277</v>
      </c>
      <c r="N370" s="79">
        <v>0</v>
      </c>
      <c r="O370" s="79">
        <v>0</v>
      </c>
      <c r="P370" s="79">
        <v>0</v>
      </c>
      <c r="Q370" s="79">
        <v>0</v>
      </c>
      <c r="R370" s="19">
        <f t="shared" si="48"/>
        <v>807277</v>
      </c>
      <c r="S370" s="19">
        <v>3000</v>
      </c>
      <c r="T370" s="19">
        <f t="shared" si="49"/>
        <v>810277</v>
      </c>
      <c r="U370" s="105"/>
      <c r="X370" s="10">
        <f t="shared" si="41"/>
        <v>807277</v>
      </c>
      <c r="Y370" s="2">
        <f t="shared" si="42"/>
        <v>0</v>
      </c>
      <c r="Z370" s="10">
        <f t="shared" si="50"/>
        <v>0</v>
      </c>
    </row>
    <row r="371" spans="1:26" ht="18" customHeight="1" x14ac:dyDescent="0.25">
      <c r="A371" s="11">
        <v>21</v>
      </c>
      <c r="B371" s="15" t="s">
        <v>789</v>
      </c>
      <c r="C371" s="14" t="s">
        <v>790</v>
      </c>
      <c r="D371" s="14" t="s">
        <v>22</v>
      </c>
      <c r="E371" s="14" t="s">
        <v>791</v>
      </c>
      <c r="F371" s="15" t="s">
        <v>24</v>
      </c>
      <c r="G371" s="46">
        <v>2200</v>
      </c>
      <c r="H371" s="15" t="s">
        <v>25</v>
      </c>
      <c r="I371" s="15" t="s">
        <v>792</v>
      </c>
      <c r="J371" s="15">
        <v>29221</v>
      </c>
      <c r="K371" s="15">
        <v>30572</v>
      </c>
      <c r="L371" s="68">
        <v>1351</v>
      </c>
      <c r="M371" s="68">
        <v>2296065</v>
      </c>
      <c r="N371" s="79">
        <v>0</v>
      </c>
      <c r="O371" s="79">
        <v>0</v>
      </c>
      <c r="P371" s="79">
        <v>0</v>
      </c>
      <c r="Q371" s="79">
        <v>0</v>
      </c>
      <c r="R371" s="19">
        <f t="shared" si="48"/>
        <v>2296065</v>
      </c>
      <c r="S371" s="19">
        <v>3000</v>
      </c>
      <c r="T371" s="19">
        <f t="shared" si="49"/>
        <v>2299065</v>
      </c>
      <c r="U371" s="105"/>
      <c r="X371" s="10">
        <f t="shared" si="41"/>
        <v>2296065</v>
      </c>
      <c r="Y371" s="2">
        <f t="shared" si="42"/>
        <v>0</v>
      </c>
      <c r="Z371" s="10">
        <f t="shared" si="50"/>
        <v>0</v>
      </c>
    </row>
    <row r="372" spans="1:26" ht="18" customHeight="1" x14ac:dyDescent="0.25">
      <c r="A372" s="11">
        <v>22</v>
      </c>
      <c r="B372" s="15" t="s">
        <v>793</v>
      </c>
      <c r="C372" s="14" t="s">
        <v>794</v>
      </c>
      <c r="D372" s="14" t="s">
        <v>22</v>
      </c>
      <c r="E372" s="14" t="s">
        <v>795</v>
      </c>
      <c r="F372" s="15" t="s">
        <v>24</v>
      </c>
      <c r="G372" s="46">
        <v>2200</v>
      </c>
      <c r="H372" s="15" t="s">
        <v>25</v>
      </c>
      <c r="I372" s="15" t="s">
        <v>796</v>
      </c>
      <c r="J372" s="15">
        <v>65152</v>
      </c>
      <c r="K372" s="15">
        <v>65346</v>
      </c>
      <c r="L372" s="68">
        <v>194</v>
      </c>
      <c r="M372" s="68">
        <v>329709</v>
      </c>
      <c r="N372" s="79">
        <v>0</v>
      </c>
      <c r="O372" s="79">
        <v>0</v>
      </c>
      <c r="P372" s="79">
        <v>0</v>
      </c>
      <c r="Q372" s="79">
        <v>0</v>
      </c>
      <c r="R372" s="19">
        <f t="shared" si="48"/>
        <v>329709</v>
      </c>
      <c r="S372" s="19">
        <v>3000</v>
      </c>
      <c r="T372" s="19">
        <f t="shared" si="49"/>
        <v>332709</v>
      </c>
      <c r="U372" s="105"/>
      <c r="X372" s="10">
        <f t="shared" si="41"/>
        <v>329709</v>
      </c>
      <c r="Y372" s="2">
        <f t="shared" si="42"/>
        <v>0</v>
      </c>
      <c r="Z372" s="10">
        <f t="shared" si="50"/>
        <v>0</v>
      </c>
    </row>
    <row r="373" spans="1:26" ht="18" customHeight="1" x14ac:dyDescent="0.25">
      <c r="A373" s="11">
        <v>23</v>
      </c>
      <c r="B373" s="15" t="s">
        <v>797</v>
      </c>
      <c r="C373" s="14" t="s">
        <v>798</v>
      </c>
      <c r="D373" s="14" t="s">
        <v>68</v>
      </c>
      <c r="E373" s="14" t="s">
        <v>799</v>
      </c>
      <c r="F373" s="15" t="s">
        <v>24</v>
      </c>
      <c r="G373" s="46">
        <v>3500</v>
      </c>
      <c r="H373" s="15" t="s">
        <v>25</v>
      </c>
      <c r="I373" s="15" t="s">
        <v>800</v>
      </c>
      <c r="J373" s="15">
        <v>108968</v>
      </c>
      <c r="K373" s="15">
        <v>109975</v>
      </c>
      <c r="L373" s="68">
        <v>1007</v>
      </c>
      <c r="M373" s="68">
        <v>1711427</v>
      </c>
      <c r="N373" s="79">
        <v>0</v>
      </c>
      <c r="O373" s="79">
        <v>0</v>
      </c>
      <c r="P373" s="79">
        <v>0</v>
      </c>
      <c r="Q373" s="79">
        <v>0</v>
      </c>
      <c r="R373" s="19">
        <f t="shared" si="48"/>
        <v>1711427</v>
      </c>
      <c r="S373" s="19">
        <v>3000</v>
      </c>
      <c r="T373" s="19">
        <f t="shared" si="49"/>
        <v>1714427</v>
      </c>
      <c r="U373" s="105"/>
      <c r="X373" s="10">
        <f t="shared" si="41"/>
        <v>1711427</v>
      </c>
      <c r="Y373" s="2">
        <f t="shared" si="42"/>
        <v>0</v>
      </c>
      <c r="Z373" s="10">
        <f t="shared" si="50"/>
        <v>0</v>
      </c>
    </row>
    <row r="374" spans="1:26" ht="18" customHeight="1" x14ac:dyDescent="0.25">
      <c r="A374" s="11">
        <v>24</v>
      </c>
      <c r="B374" s="15" t="s">
        <v>801</v>
      </c>
      <c r="C374" s="14" t="s">
        <v>802</v>
      </c>
      <c r="D374" s="14" t="s">
        <v>68</v>
      </c>
      <c r="E374" s="14" t="s">
        <v>803</v>
      </c>
      <c r="F374" s="15" t="s">
        <v>24</v>
      </c>
      <c r="G374" s="46">
        <v>3500</v>
      </c>
      <c r="H374" s="15" t="s">
        <v>25</v>
      </c>
      <c r="I374" s="15" t="s">
        <v>804</v>
      </c>
      <c r="J374" s="15">
        <v>6077</v>
      </c>
      <c r="K374" s="15">
        <v>7039</v>
      </c>
      <c r="L374" s="68">
        <v>962</v>
      </c>
      <c r="M374" s="68">
        <v>1634948</v>
      </c>
      <c r="N374" s="79">
        <v>0</v>
      </c>
      <c r="O374" s="79">
        <v>0</v>
      </c>
      <c r="P374" s="79">
        <v>0</v>
      </c>
      <c r="Q374" s="79">
        <v>0</v>
      </c>
      <c r="R374" s="19">
        <f t="shared" si="48"/>
        <v>1634948</v>
      </c>
      <c r="S374" s="19">
        <v>3000</v>
      </c>
      <c r="T374" s="19">
        <f t="shared" si="49"/>
        <v>1637948</v>
      </c>
      <c r="U374" s="105"/>
      <c r="X374" s="10">
        <f t="shared" si="41"/>
        <v>1634948</v>
      </c>
      <c r="Y374" s="2">
        <f t="shared" si="42"/>
        <v>0</v>
      </c>
      <c r="Z374" s="10">
        <f t="shared" si="50"/>
        <v>0</v>
      </c>
    </row>
    <row r="375" spans="1:26" ht="18" customHeight="1" x14ac:dyDescent="0.25">
      <c r="A375" s="11">
        <v>25</v>
      </c>
      <c r="B375" s="15" t="s">
        <v>805</v>
      </c>
      <c r="C375" s="14" t="s">
        <v>806</v>
      </c>
      <c r="D375" s="14" t="s">
        <v>22</v>
      </c>
      <c r="E375" s="14" t="s">
        <v>807</v>
      </c>
      <c r="F375" s="15" t="s">
        <v>24</v>
      </c>
      <c r="G375" s="46">
        <v>5500</v>
      </c>
      <c r="H375" s="15" t="s">
        <v>25</v>
      </c>
      <c r="I375" s="15" t="s">
        <v>808</v>
      </c>
      <c r="J375" s="15">
        <v>84504</v>
      </c>
      <c r="K375" s="15">
        <v>86623</v>
      </c>
      <c r="L375" s="68">
        <v>2119</v>
      </c>
      <c r="M375" s="68">
        <v>3601304</v>
      </c>
      <c r="N375" s="79">
        <v>0</v>
      </c>
      <c r="O375" s="79">
        <v>0</v>
      </c>
      <c r="P375" s="79">
        <v>0</v>
      </c>
      <c r="Q375" s="79">
        <v>0</v>
      </c>
      <c r="R375" s="19">
        <f t="shared" si="48"/>
        <v>3601304</v>
      </c>
      <c r="S375" s="19">
        <v>3000</v>
      </c>
      <c r="T375" s="19">
        <f t="shared" si="49"/>
        <v>3604304</v>
      </c>
      <c r="U375" s="105"/>
      <c r="X375" s="10">
        <f t="shared" si="41"/>
        <v>3601304</v>
      </c>
      <c r="Y375" s="2">
        <f t="shared" si="42"/>
        <v>0</v>
      </c>
      <c r="Z375" s="10">
        <f t="shared" si="50"/>
        <v>0</v>
      </c>
    </row>
    <row r="376" spans="1:26" ht="18" customHeight="1" x14ac:dyDescent="0.25">
      <c r="A376" s="11">
        <v>26</v>
      </c>
      <c r="B376" s="15" t="s">
        <v>809</v>
      </c>
      <c r="C376" s="14" t="s">
        <v>810</v>
      </c>
      <c r="D376" s="14" t="s">
        <v>68</v>
      </c>
      <c r="E376" s="14" t="s">
        <v>811</v>
      </c>
      <c r="F376" s="15" t="s">
        <v>24</v>
      </c>
      <c r="G376" s="46">
        <v>3500</v>
      </c>
      <c r="H376" s="15" t="s">
        <v>25</v>
      </c>
      <c r="I376" s="15" t="s">
        <v>812</v>
      </c>
      <c r="J376" s="15">
        <v>25840</v>
      </c>
      <c r="K376" s="15">
        <v>26368</v>
      </c>
      <c r="L376" s="68">
        <v>528</v>
      </c>
      <c r="M376" s="68">
        <v>897352</v>
      </c>
      <c r="N376" s="79">
        <v>0</v>
      </c>
      <c r="O376" s="79">
        <v>0</v>
      </c>
      <c r="P376" s="79">
        <v>0</v>
      </c>
      <c r="Q376" s="79">
        <v>0</v>
      </c>
      <c r="R376" s="19">
        <f t="shared" si="48"/>
        <v>897352</v>
      </c>
      <c r="S376" s="19">
        <v>3000</v>
      </c>
      <c r="T376" s="19">
        <f t="shared" si="49"/>
        <v>900352</v>
      </c>
      <c r="U376" s="105"/>
      <c r="X376" s="10">
        <f t="shared" si="41"/>
        <v>897352</v>
      </c>
      <c r="Y376" s="2">
        <f t="shared" si="42"/>
        <v>0</v>
      </c>
      <c r="Z376" s="10">
        <f t="shared" si="50"/>
        <v>0</v>
      </c>
    </row>
    <row r="377" spans="1:26" ht="18" customHeight="1" x14ac:dyDescent="0.25">
      <c r="A377" s="11">
        <v>27</v>
      </c>
      <c r="B377" s="15" t="s">
        <v>813</v>
      </c>
      <c r="C377" s="14" t="s">
        <v>814</v>
      </c>
      <c r="D377" s="14" t="s">
        <v>68</v>
      </c>
      <c r="E377" s="14" t="s">
        <v>815</v>
      </c>
      <c r="F377" s="15" t="s">
        <v>24</v>
      </c>
      <c r="G377" s="46">
        <v>11000</v>
      </c>
      <c r="H377" s="15" t="s">
        <v>25</v>
      </c>
      <c r="I377" s="15" t="s">
        <v>816</v>
      </c>
      <c r="J377" s="15">
        <v>5892</v>
      </c>
      <c r="K377" s="15">
        <v>7439</v>
      </c>
      <c r="L377" s="68">
        <v>1547</v>
      </c>
      <c r="M377" s="68">
        <v>2629173</v>
      </c>
      <c r="N377" s="79">
        <v>0</v>
      </c>
      <c r="O377" s="79">
        <v>0</v>
      </c>
      <c r="P377" s="79">
        <v>0</v>
      </c>
      <c r="Q377" s="79">
        <v>0</v>
      </c>
      <c r="R377" s="19">
        <f t="shared" si="48"/>
        <v>2629173</v>
      </c>
      <c r="S377" s="19">
        <v>3000</v>
      </c>
      <c r="T377" s="19">
        <f t="shared" si="49"/>
        <v>2632173</v>
      </c>
      <c r="U377" s="105"/>
      <c r="X377" s="10">
        <f t="shared" si="41"/>
        <v>2629173</v>
      </c>
      <c r="Y377" s="2">
        <f t="shared" si="42"/>
        <v>0</v>
      </c>
      <c r="Z377" s="10">
        <f t="shared" si="50"/>
        <v>0</v>
      </c>
    </row>
    <row r="378" spans="1:26" ht="18" customHeight="1" x14ac:dyDescent="0.25">
      <c r="A378" s="11">
        <v>28</v>
      </c>
      <c r="B378" s="15" t="s">
        <v>817</v>
      </c>
      <c r="C378" s="14" t="s">
        <v>818</v>
      </c>
      <c r="D378" s="14" t="s">
        <v>22</v>
      </c>
      <c r="E378" s="14" t="s">
        <v>819</v>
      </c>
      <c r="F378" s="15" t="s">
        <v>24</v>
      </c>
      <c r="G378" s="46">
        <v>3500</v>
      </c>
      <c r="H378" s="15" t="s">
        <v>25</v>
      </c>
      <c r="I378" s="15" t="s">
        <v>820</v>
      </c>
      <c r="J378" s="15">
        <v>95316</v>
      </c>
      <c r="K378" s="15">
        <v>95659</v>
      </c>
      <c r="L378" s="68">
        <v>343</v>
      </c>
      <c r="M378" s="68">
        <v>582939</v>
      </c>
      <c r="N378" s="79">
        <v>0</v>
      </c>
      <c r="O378" s="79">
        <v>0</v>
      </c>
      <c r="P378" s="79">
        <v>0</v>
      </c>
      <c r="Q378" s="79">
        <v>0</v>
      </c>
      <c r="R378" s="19">
        <f t="shared" si="48"/>
        <v>582939</v>
      </c>
      <c r="S378" s="19">
        <v>3000</v>
      </c>
      <c r="T378" s="19">
        <f t="shared" si="49"/>
        <v>585939</v>
      </c>
      <c r="U378" s="105"/>
      <c r="X378" s="10">
        <f t="shared" si="41"/>
        <v>582939</v>
      </c>
      <c r="Y378" s="2">
        <f t="shared" si="42"/>
        <v>0</v>
      </c>
      <c r="Z378" s="10">
        <f t="shared" si="50"/>
        <v>0</v>
      </c>
    </row>
    <row r="379" spans="1:26" ht="18" customHeight="1" x14ac:dyDescent="0.25">
      <c r="A379" s="11">
        <v>29</v>
      </c>
      <c r="B379" s="15" t="s">
        <v>821</v>
      </c>
      <c r="C379" s="14" t="s">
        <v>822</v>
      </c>
      <c r="D379" s="14" t="s">
        <v>22</v>
      </c>
      <c r="E379" s="14" t="s">
        <v>823</v>
      </c>
      <c r="F379" s="15" t="s">
        <v>24</v>
      </c>
      <c r="G379" s="46">
        <v>4400</v>
      </c>
      <c r="H379" s="15" t="s">
        <v>25</v>
      </c>
      <c r="I379" s="15" t="s">
        <v>824</v>
      </c>
      <c r="J379" s="15">
        <v>30150</v>
      </c>
      <c r="K379" s="15">
        <v>30753</v>
      </c>
      <c r="L379" s="68">
        <v>603</v>
      </c>
      <c r="M379" s="68">
        <v>1024817</v>
      </c>
      <c r="N379" s="79">
        <v>0</v>
      </c>
      <c r="O379" s="79">
        <v>0</v>
      </c>
      <c r="P379" s="79">
        <v>0</v>
      </c>
      <c r="Q379" s="79">
        <v>0</v>
      </c>
      <c r="R379" s="19">
        <f t="shared" si="48"/>
        <v>1024817</v>
      </c>
      <c r="S379" s="19">
        <v>3000</v>
      </c>
      <c r="T379" s="19">
        <f t="shared" si="49"/>
        <v>1027817</v>
      </c>
      <c r="U379" s="105"/>
      <c r="X379" s="10">
        <f t="shared" si="41"/>
        <v>1024817</v>
      </c>
      <c r="Y379" s="2">
        <f t="shared" si="42"/>
        <v>0</v>
      </c>
      <c r="Z379" s="10">
        <f t="shared" si="50"/>
        <v>0</v>
      </c>
    </row>
    <row r="380" spans="1:26" ht="18" customHeight="1" x14ac:dyDescent="0.25">
      <c r="A380" s="11">
        <v>30</v>
      </c>
      <c r="B380" s="15" t="s">
        <v>825</v>
      </c>
      <c r="C380" s="14" t="s">
        <v>826</v>
      </c>
      <c r="D380" s="14" t="s">
        <v>22</v>
      </c>
      <c r="E380" s="14" t="s">
        <v>827</v>
      </c>
      <c r="F380" s="15" t="s">
        <v>24</v>
      </c>
      <c r="G380" s="46">
        <v>4400</v>
      </c>
      <c r="H380" s="15" t="s">
        <v>25</v>
      </c>
      <c r="I380" s="15" t="s">
        <v>828</v>
      </c>
      <c r="J380" s="15">
        <v>47268</v>
      </c>
      <c r="K380" s="15">
        <v>49727</v>
      </c>
      <c r="L380" s="68">
        <v>2459</v>
      </c>
      <c r="M380" s="68">
        <v>4179144</v>
      </c>
      <c r="N380" s="79">
        <v>0</v>
      </c>
      <c r="O380" s="79">
        <v>0</v>
      </c>
      <c r="P380" s="79">
        <v>0</v>
      </c>
      <c r="Q380" s="79">
        <v>0</v>
      </c>
      <c r="R380" s="19">
        <f t="shared" si="48"/>
        <v>4179144</v>
      </c>
      <c r="S380" s="19">
        <v>3000</v>
      </c>
      <c r="T380" s="19">
        <f t="shared" si="49"/>
        <v>4182144</v>
      </c>
      <c r="U380" s="105"/>
      <c r="X380" s="10">
        <f t="shared" si="41"/>
        <v>4179144</v>
      </c>
      <c r="Y380" s="2">
        <f t="shared" si="42"/>
        <v>0</v>
      </c>
      <c r="Z380" s="10">
        <f t="shared" si="50"/>
        <v>0</v>
      </c>
    </row>
    <row r="381" spans="1:26" ht="18" customHeight="1" x14ac:dyDescent="0.25">
      <c r="A381" s="11">
        <v>31</v>
      </c>
      <c r="B381" s="15" t="s">
        <v>829</v>
      </c>
      <c r="C381" s="14" t="s">
        <v>830</v>
      </c>
      <c r="D381" s="14" t="s">
        <v>22</v>
      </c>
      <c r="E381" s="14" t="s">
        <v>831</v>
      </c>
      <c r="F381" s="15" t="s">
        <v>24</v>
      </c>
      <c r="G381" s="46">
        <v>7700</v>
      </c>
      <c r="H381" s="15" t="s">
        <v>25</v>
      </c>
      <c r="I381" s="15" t="s">
        <v>832</v>
      </c>
      <c r="J381" s="15">
        <v>36035</v>
      </c>
      <c r="K381" s="15">
        <v>36596</v>
      </c>
      <c r="L381" s="68">
        <v>561</v>
      </c>
      <c r="M381" s="68">
        <v>953436</v>
      </c>
      <c r="N381" s="79">
        <v>0</v>
      </c>
      <c r="O381" s="79">
        <v>0</v>
      </c>
      <c r="P381" s="79">
        <v>0</v>
      </c>
      <c r="Q381" s="79">
        <v>0</v>
      </c>
      <c r="R381" s="19">
        <f t="shared" si="48"/>
        <v>953436</v>
      </c>
      <c r="S381" s="19">
        <v>3000</v>
      </c>
      <c r="T381" s="19">
        <f t="shared" si="49"/>
        <v>956436</v>
      </c>
      <c r="U381" s="105"/>
      <c r="X381" s="10">
        <f t="shared" si="41"/>
        <v>953436</v>
      </c>
      <c r="Y381" s="2">
        <f t="shared" si="42"/>
        <v>0</v>
      </c>
      <c r="Z381" s="10">
        <f t="shared" si="50"/>
        <v>0</v>
      </c>
    </row>
    <row r="382" spans="1:26" ht="18" customHeight="1" x14ac:dyDescent="0.25">
      <c r="A382" s="11">
        <v>32</v>
      </c>
      <c r="B382" s="15" t="s">
        <v>833</v>
      </c>
      <c r="C382" s="14" t="s">
        <v>834</v>
      </c>
      <c r="D382" s="14" t="s">
        <v>22</v>
      </c>
      <c r="E382" s="14" t="s">
        <v>831</v>
      </c>
      <c r="F382" s="15" t="s">
        <v>24</v>
      </c>
      <c r="G382" s="46">
        <v>4400</v>
      </c>
      <c r="H382" s="15" t="s">
        <v>25</v>
      </c>
      <c r="I382" s="15" t="s">
        <v>835</v>
      </c>
      <c r="J382" s="15">
        <v>33729</v>
      </c>
      <c r="K382" s="15">
        <v>34785</v>
      </c>
      <c r="L382" s="68">
        <v>1056</v>
      </c>
      <c r="M382" s="68">
        <v>1794704</v>
      </c>
      <c r="N382" s="79">
        <v>0</v>
      </c>
      <c r="O382" s="79">
        <v>0</v>
      </c>
      <c r="P382" s="79">
        <v>0</v>
      </c>
      <c r="Q382" s="79">
        <v>0</v>
      </c>
      <c r="R382" s="19">
        <f t="shared" si="48"/>
        <v>1794704</v>
      </c>
      <c r="S382" s="19">
        <v>3000</v>
      </c>
      <c r="T382" s="19">
        <f t="shared" si="49"/>
        <v>1797704</v>
      </c>
      <c r="U382" s="105"/>
      <c r="X382" s="10">
        <f t="shared" si="41"/>
        <v>1794704</v>
      </c>
      <c r="Y382" s="2">
        <f t="shared" si="42"/>
        <v>0</v>
      </c>
      <c r="Z382" s="10">
        <f t="shared" si="50"/>
        <v>0</v>
      </c>
    </row>
    <row r="383" spans="1:26" ht="18" customHeight="1" x14ac:dyDescent="0.25">
      <c r="A383" s="11">
        <v>33</v>
      </c>
      <c r="B383" s="15" t="s">
        <v>836</v>
      </c>
      <c r="C383" s="14" t="s">
        <v>837</v>
      </c>
      <c r="D383" s="14" t="s">
        <v>28</v>
      </c>
      <c r="E383" s="14" t="s">
        <v>838</v>
      </c>
      <c r="F383" s="15" t="s">
        <v>24</v>
      </c>
      <c r="G383" s="46">
        <v>5500</v>
      </c>
      <c r="H383" s="15" t="s">
        <v>25</v>
      </c>
      <c r="I383" s="15" t="s">
        <v>839</v>
      </c>
      <c r="J383" s="15">
        <v>73483</v>
      </c>
      <c r="K383" s="15">
        <v>75206</v>
      </c>
      <c r="L383" s="68">
        <v>1723</v>
      </c>
      <c r="M383" s="68">
        <v>2928290</v>
      </c>
      <c r="N383" s="79">
        <v>0</v>
      </c>
      <c r="O383" s="79">
        <v>0</v>
      </c>
      <c r="P383" s="79">
        <v>0</v>
      </c>
      <c r="Q383" s="79">
        <v>0</v>
      </c>
      <c r="R383" s="19">
        <f t="shared" si="48"/>
        <v>2928290</v>
      </c>
      <c r="S383" s="19">
        <v>3000</v>
      </c>
      <c r="T383" s="19">
        <f t="shared" si="49"/>
        <v>2931290</v>
      </c>
      <c r="U383" s="105"/>
      <c r="X383" s="10">
        <f t="shared" si="41"/>
        <v>2928290</v>
      </c>
      <c r="Y383" s="2">
        <f t="shared" si="42"/>
        <v>0</v>
      </c>
      <c r="Z383" s="10">
        <f t="shared" si="50"/>
        <v>0</v>
      </c>
    </row>
    <row r="384" spans="1:26" ht="18" customHeight="1" x14ac:dyDescent="0.25">
      <c r="A384" s="11">
        <v>34</v>
      </c>
      <c r="B384" s="15" t="s">
        <v>840</v>
      </c>
      <c r="C384" s="14" t="s">
        <v>841</v>
      </c>
      <c r="D384" s="14" t="s">
        <v>68</v>
      </c>
      <c r="E384" s="14" t="s">
        <v>842</v>
      </c>
      <c r="F384" s="15" t="s">
        <v>24</v>
      </c>
      <c r="G384" s="46">
        <v>7700</v>
      </c>
      <c r="H384" s="15" t="s">
        <v>25</v>
      </c>
      <c r="I384" s="15" t="s">
        <v>843</v>
      </c>
      <c r="J384" s="15">
        <v>70315</v>
      </c>
      <c r="K384" s="15">
        <v>70518</v>
      </c>
      <c r="L384" s="68">
        <v>308</v>
      </c>
      <c r="M384" s="68">
        <v>523455</v>
      </c>
      <c r="N384" s="79">
        <v>0</v>
      </c>
      <c r="O384" s="79">
        <v>0</v>
      </c>
      <c r="P384" s="79">
        <v>0</v>
      </c>
      <c r="Q384" s="79">
        <v>0</v>
      </c>
      <c r="R384" s="19">
        <f t="shared" si="48"/>
        <v>523455</v>
      </c>
      <c r="S384" s="19">
        <v>3000</v>
      </c>
      <c r="T384" s="19">
        <f t="shared" si="49"/>
        <v>526455</v>
      </c>
      <c r="U384" s="105"/>
      <c r="X384" s="10">
        <f t="shared" si="41"/>
        <v>523455</v>
      </c>
      <c r="Y384" s="2">
        <f t="shared" si="42"/>
        <v>0</v>
      </c>
      <c r="Z384" s="10">
        <f t="shared" si="50"/>
        <v>0</v>
      </c>
    </row>
    <row r="385" spans="1:26" ht="18" customHeight="1" x14ac:dyDescent="0.25">
      <c r="A385" s="11">
        <v>35</v>
      </c>
      <c r="B385" s="15" t="s">
        <v>844</v>
      </c>
      <c r="C385" s="14" t="s">
        <v>845</v>
      </c>
      <c r="D385" s="14" t="s">
        <v>68</v>
      </c>
      <c r="E385" s="14" t="s">
        <v>842</v>
      </c>
      <c r="F385" s="15" t="s">
        <v>24</v>
      </c>
      <c r="G385" s="46">
        <v>7700</v>
      </c>
      <c r="H385" s="15" t="s">
        <v>25</v>
      </c>
      <c r="I385" s="15" t="s">
        <v>846</v>
      </c>
      <c r="J385" s="15">
        <v>98429</v>
      </c>
      <c r="K385" s="15">
        <v>99646</v>
      </c>
      <c r="L385" s="68">
        <v>1217</v>
      </c>
      <c r="M385" s="68">
        <v>2068328</v>
      </c>
      <c r="N385" s="79">
        <v>0</v>
      </c>
      <c r="O385" s="79">
        <v>0</v>
      </c>
      <c r="P385" s="79">
        <v>0</v>
      </c>
      <c r="Q385" s="79">
        <v>0</v>
      </c>
      <c r="R385" s="19">
        <f t="shared" si="48"/>
        <v>2068328</v>
      </c>
      <c r="S385" s="19">
        <v>3000</v>
      </c>
      <c r="T385" s="19">
        <f t="shared" si="49"/>
        <v>2071328</v>
      </c>
      <c r="U385" s="105"/>
      <c r="X385" s="10">
        <f t="shared" si="41"/>
        <v>2068328</v>
      </c>
      <c r="Y385" s="2">
        <f t="shared" si="42"/>
        <v>0</v>
      </c>
      <c r="Z385" s="10">
        <f t="shared" si="50"/>
        <v>0</v>
      </c>
    </row>
    <row r="386" spans="1:26" ht="18" customHeight="1" x14ac:dyDescent="0.25">
      <c r="A386" s="11">
        <v>36</v>
      </c>
      <c r="B386" s="15" t="s">
        <v>847</v>
      </c>
      <c r="C386" s="14" t="s">
        <v>848</v>
      </c>
      <c r="D386" s="14" t="s">
        <v>68</v>
      </c>
      <c r="E386" s="14" t="s">
        <v>849</v>
      </c>
      <c r="F386" s="15" t="s">
        <v>24</v>
      </c>
      <c r="G386" s="46">
        <v>7700</v>
      </c>
      <c r="H386" s="15" t="s">
        <v>25</v>
      </c>
      <c r="I386" s="15" t="s">
        <v>850</v>
      </c>
      <c r="J386" s="15">
        <v>126998</v>
      </c>
      <c r="K386" s="15">
        <v>127802</v>
      </c>
      <c r="L386" s="68">
        <v>804</v>
      </c>
      <c r="M386" s="68">
        <v>1366422</v>
      </c>
      <c r="N386" s="79">
        <v>0</v>
      </c>
      <c r="O386" s="79">
        <v>0</v>
      </c>
      <c r="P386" s="79">
        <v>0</v>
      </c>
      <c r="Q386" s="79">
        <v>0</v>
      </c>
      <c r="R386" s="19">
        <f t="shared" si="48"/>
        <v>1366422</v>
      </c>
      <c r="S386" s="19">
        <v>3000</v>
      </c>
      <c r="T386" s="19">
        <f t="shared" si="49"/>
        <v>1369422</v>
      </c>
      <c r="U386" s="105"/>
      <c r="X386" s="10">
        <f t="shared" si="41"/>
        <v>1366422</v>
      </c>
      <c r="Y386" s="2">
        <f t="shared" si="42"/>
        <v>0</v>
      </c>
      <c r="Z386" s="10">
        <f t="shared" si="50"/>
        <v>0</v>
      </c>
    </row>
    <row r="387" spans="1:26" ht="18" customHeight="1" x14ac:dyDescent="0.25">
      <c r="A387" s="11">
        <v>37</v>
      </c>
      <c r="B387" s="15" t="s">
        <v>851</v>
      </c>
      <c r="C387" s="14" t="s">
        <v>852</v>
      </c>
      <c r="D387" s="14" t="s">
        <v>68</v>
      </c>
      <c r="E387" s="14" t="s">
        <v>849</v>
      </c>
      <c r="F387" s="15" t="s">
        <v>24</v>
      </c>
      <c r="G387" s="46">
        <v>7700</v>
      </c>
      <c r="H387" s="15" t="s">
        <v>25</v>
      </c>
      <c r="I387" s="15" t="s">
        <v>853</v>
      </c>
      <c r="J387" s="15">
        <v>312876</v>
      </c>
      <c r="K387" s="15">
        <v>314498</v>
      </c>
      <c r="L387" s="68">
        <v>1622</v>
      </c>
      <c r="M387" s="68">
        <v>2756638</v>
      </c>
      <c r="N387" s="79">
        <v>0</v>
      </c>
      <c r="O387" s="79">
        <v>0</v>
      </c>
      <c r="P387" s="79">
        <v>0</v>
      </c>
      <c r="Q387" s="79">
        <v>0</v>
      </c>
      <c r="R387" s="19">
        <f t="shared" si="48"/>
        <v>2756638</v>
      </c>
      <c r="S387" s="19">
        <v>3000</v>
      </c>
      <c r="T387" s="19">
        <f t="shared" si="49"/>
        <v>2759638</v>
      </c>
      <c r="U387" s="105"/>
      <c r="X387" s="10">
        <f t="shared" si="41"/>
        <v>2756638</v>
      </c>
      <c r="Y387" s="2">
        <f t="shared" si="42"/>
        <v>0</v>
      </c>
      <c r="Z387" s="10">
        <f t="shared" si="50"/>
        <v>0</v>
      </c>
    </row>
    <row r="388" spans="1:26" ht="18" customHeight="1" x14ac:dyDescent="0.25">
      <c r="A388" s="11">
        <v>38</v>
      </c>
      <c r="B388" s="15" t="s">
        <v>854</v>
      </c>
      <c r="C388" s="14" t="s">
        <v>855</v>
      </c>
      <c r="D388" s="14" t="s">
        <v>68</v>
      </c>
      <c r="E388" s="14" t="s">
        <v>842</v>
      </c>
      <c r="F388" s="15" t="s">
        <v>24</v>
      </c>
      <c r="G388" s="46">
        <v>7700</v>
      </c>
      <c r="H388" s="15" t="s">
        <v>25</v>
      </c>
      <c r="I388" s="15" t="s">
        <v>856</v>
      </c>
      <c r="J388" s="15">
        <v>3313</v>
      </c>
      <c r="K388" s="15">
        <v>5191</v>
      </c>
      <c r="L388" s="68">
        <v>1878</v>
      </c>
      <c r="M388" s="68">
        <v>3191717</v>
      </c>
      <c r="N388" s="79">
        <v>0</v>
      </c>
      <c r="O388" s="79">
        <v>0</v>
      </c>
      <c r="P388" s="79">
        <v>0</v>
      </c>
      <c r="Q388" s="79">
        <v>0</v>
      </c>
      <c r="R388" s="19">
        <f t="shared" si="48"/>
        <v>3191717</v>
      </c>
      <c r="S388" s="19">
        <v>3000</v>
      </c>
      <c r="T388" s="19">
        <f t="shared" si="49"/>
        <v>3194717</v>
      </c>
      <c r="U388" s="105"/>
      <c r="X388" s="10">
        <f t="shared" si="41"/>
        <v>3191717</v>
      </c>
      <c r="Y388" s="2">
        <f t="shared" si="42"/>
        <v>0</v>
      </c>
      <c r="Z388" s="10">
        <f t="shared" si="50"/>
        <v>0</v>
      </c>
    </row>
    <row r="389" spans="1:26" ht="18" customHeight="1" x14ac:dyDescent="0.25">
      <c r="A389" s="11">
        <v>39</v>
      </c>
      <c r="B389" s="15" t="s">
        <v>857</v>
      </c>
      <c r="C389" s="14" t="s">
        <v>858</v>
      </c>
      <c r="D389" s="14" t="s">
        <v>68</v>
      </c>
      <c r="E389" s="14" t="s">
        <v>859</v>
      </c>
      <c r="F389" s="15" t="s">
        <v>24</v>
      </c>
      <c r="G389" s="46">
        <v>11000</v>
      </c>
      <c r="H389" s="15" t="s">
        <v>25</v>
      </c>
      <c r="I389" s="15" t="s">
        <v>860</v>
      </c>
      <c r="J389" s="15">
        <v>17276</v>
      </c>
      <c r="K389" s="15">
        <v>17613</v>
      </c>
      <c r="L389" s="68">
        <v>440</v>
      </c>
      <c r="M389" s="68">
        <v>747793</v>
      </c>
      <c r="N389" s="79">
        <v>0</v>
      </c>
      <c r="O389" s="79">
        <v>0</v>
      </c>
      <c r="P389" s="79">
        <v>0</v>
      </c>
      <c r="Q389" s="79">
        <v>0</v>
      </c>
      <c r="R389" s="19">
        <f t="shared" si="48"/>
        <v>747793</v>
      </c>
      <c r="S389" s="19">
        <v>3000</v>
      </c>
      <c r="T389" s="19">
        <f t="shared" si="49"/>
        <v>750793</v>
      </c>
      <c r="U389" s="105"/>
      <c r="X389" s="10">
        <f t="shared" si="41"/>
        <v>747793</v>
      </c>
      <c r="Y389" s="2">
        <f t="shared" si="42"/>
        <v>0</v>
      </c>
      <c r="Z389" s="10">
        <f t="shared" si="50"/>
        <v>0</v>
      </c>
    </row>
    <row r="390" spans="1:26" ht="18" customHeight="1" x14ac:dyDescent="0.25">
      <c r="A390" s="11">
        <v>40</v>
      </c>
      <c r="B390" s="15" t="s">
        <v>861</v>
      </c>
      <c r="C390" s="14" t="s">
        <v>862</v>
      </c>
      <c r="D390" s="14" t="s">
        <v>68</v>
      </c>
      <c r="E390" s="14" t="s">
        <v>863</v>
      </c>
      <c r="F390" s="15" t="s">
        <v>24</v>
      </c>
      <c r="G390" s="46">
        <v>3500</v>
      </c>
      <c r="H390" s="15" t="s">
        <v>25</v>
      </c>
      <c r="I390" s="15" t="s">
        <v>864</v>
      </c>
      <c r="J390" s="15">
        <v>45118</v>
      </c>
      <c r="K390" s="15">
        <v>45295</v>
      </c>
      <c r="L390" s="68">
        <v>177</v>
      </c>
      <c r="M390" s="68">
        <v>300817</v>
      </c>
      <c r="N390" s="79">
        <v>0</v>
      </c>
      <c r="O390" s="79">
        <v>0</v>
      </c>
      <c r="P390" s="79">
        <v>0</v>
      </c>
      <c r="Q390" s="79">
        <v>0</v>
      </c>
      <c r="R390" s="19">
        <f t="shared" si="48"/>
        <v>300817</v>
      </c>
      <c r="S390" s="19">
        <v>3000</v>
      </c>
      <c r="T390" s="19">
        <f t="shared" si="49"/>
        <v>303817</v>
      </c>
      <c r="U390" s="105"/>
      <c r="X390" s="10">
        <f t="shared" si="41"/>
        <v>300817</v>
      </c>
      <c r="Y390" s="2">
        <f t="shared" si="42"/>
        <v>0</v>
      </c>
      <c r="Z390" s="10">
        <f t="shared" si="50"/>
        <v>0</v>
      </c>
    </row>
    <row r="391" spans="1:26" s="25" customFormat="1" ht="18" customHeight="1" x14ac:dyDescent="0.25">
      <c r="A391" s="14"/>
      <c r="B391" s="15"/>
      <c r="C391" s="14"/>
      <c r="D391" s="14"/>
      <c r="E391" s="14"/>
      <c r="F391" s="15"/>
      <c r="G391" s="15"/>
      <c r="H391" s="15"/>
      <c r="I391" s="15" t="s">
        <v>0</v>
      </c>
      <c r="J391" s="15"/>
      <c r="K391" s="15"/>
      <c r="L391" s="18" t="s">
        <v>0</v>
      </c>
      <c r="M391" s="19"/>
      <c r="N391" s="38"/>
      <c r="O391" s="38"/>
      <c r="P391" s="38"/>
      <c r="Q391" s="38"/>
      <c r="R391" s="37"/>
      <c r="S391" s="37"/>
      <c r="T391" s="37"/>
      <c r="U391" s="147"/>
      <c r="X391" s="10">
        <f t="shared" si="41"/>
        <v>0</v>
      </c>
      <c r="Y391" s="2">
        <f t="shared" si="42"/>
        <v>0</v>
      </c>
      <c r="Z391" s="10"/>
    </row>
    <row r="392" spans="1:26" ht="33" customHeight="1" x14ac:dyDescent="0.25">
      <c r="A392" s="34" t="s">
        <v>139</v>
      </c>
      <c r="B392" s="9"/>
      <c r="C392" s="9"/>
      <c r="D392" s="9"/>
      <c r="E392" s="9"/>
      <c r="F392" s="9"/>
      <c r="G392" s="61">
        <f>SUM(G351:G391)</f>
        <v>238800</v>
      </c>
      <c r="H392" s="61">
        <f t="shared" ref="H392:R392" si="51">SUM(H351:H391)</f>
        <v>0</v>
      </c>
      <c r="I392" s="61">
        <f t="shared" si="51"/>
        <v>0</v>
      </c>
      <c r="J392" s="61"/>
      <c r="K392" s="61"/>
      <c r="L392" s="61">
        <f t="shared" si="51"/>
        <v>38646</v>
      </c>
      <c r="M392" s="61">
        <f t="shared" si="51"/>
        <v>65680036</v>
      </c>
      <c r="N392" s="61">
        <f t="shared" si="51"/>
        <v>0</v>
      </c>
      <c r="O392" s="61">
        <f t="shared" si="51"/>
        <v>0</v>
      </c>
      <c r="P392" s="61">
        <f t="shared" si="51"/>
        <v>0</v>
      </c>
      <c r="Q392" s="61">
        <f t="shared" si="51"/>
        <v>0</v>
      </c>
      <c r="R392" s="61">
        <f t="shared" si="51"/>
        <v>65680036</v>
      </c>
      <c r="S392" s="61">
        <f>SUM(S351:S391)</f>
        <v>120000</v>
      </c>
      <c r="T392" s="61">
        <f>SUM(T351:T391)</f>
        <v>65800036</v>
      </c>
      <c r="U392" s="28"/>
      <c r="W392" s="62"/>
      <c r="X392" s="10">
        <f t="shared" ref="X392:X456" si="52">M392+N392+O392+P392</f>
        <v>65680036</v>
      </c>
      <c r="Y392" s="2">
        <f t="shared" ref="Y392:Y456" si="53">IF(X392&gt;5000000,10000,IF(V392&lt;5000000,0,IF(V392=5000000,10000)))</f>
        <v>10000</v>
      </c>
      <c r="Z392" s="10"/>
    </row>
    <row r="393" spans="1:26" ht="18" customHeight="1" x14ac:dyDescent="0.25">
      <c r="A393" s="63"/>
      <c r="B393" s="63"/>
      <c r="C393" s="63" t="s">
        <v>140</v>
      </c>
      <c r="D393" s="63"/>
      <c r="E393" s="63" t="s">
        <v>140</v>
      </c>
      <c r="F393" s="63"/>
      <c r="G393" s="63"/>
      <c r="L393" s="31"/>
      <c r="X393" s="10">
        <f t="shared" si="52"/>
        <v>0</v>
      </c>
      <c r="Y393" s="2">
        <f t="shared" si="53"/>
        <v>0</v>
      </c>
      <c r="Z393" s="10"/>
    </row>
    <row r="394" spans="1:26" ht="18" customHeight="1" x14ac:dyDescent="0.25">
      <c r="A394" s="63"/>
      <c r="B394" s="63"/>
      <c r="C394" s="63"/>
      <c r="D394" s="63"/>
      <c r="E394" s="63"/>
      <c r="F394" s="63"/>
      <c r="G394" s="63"/>
      <c r="L394" s="31"/>
      <c r="X394" s="10"/>
      <c r="Z394" s="10"/>
    </row>
    <row r="395" spans="1:26" s="84" customFormat="1" ht="39" customHeight="1" x14ac:dyDescent="0.25">
      <c r="A395" s="9" t="s">
        <v>4</v>
      </c>
      <c r="B395" s="21" t="s">
        <v>5</v>
      </c>
      <c r="C395" s="21" t="s">
        <v>6</v>
      </c>
      <c r="D395" s="12"/>
      <c r="E395" s="9" t="s">
        <v>7</v>
      </c>
      <c r="F395" s="21" t="s">
        <v>8</v>
      </c>
      <c r="G395" s="21" t="s">
        <v>9</v>
      </c>
      <c r="H395" s="21" t="s">
        <v>10</v>
      </c>
      <c r="I395" s="21" t="s">
        <v>11</v>
      </c>
      <c r="J395" s="21" t="s">
        <v>12</v>
      </c>
      <c r="K395" s="21" t="s">
        <v>13</v>
      </c>
      <c r="L395" s="21" t="s">
        <v>14</v>
      </c>
      <c r="M395" s="143" t="s">
        <v>15</v>
      </c>
      <c r="N395" s="144" t="s">
        <v>16</v>
      </c>
      <c r="O395" s="144" t="s">
        <v>17</v>
      </c>
      <c r="P395" s="144" t="s">
        <v>18</v>
      </c>
      <c r="Q395" s="144" t="s">
        <v>19</v>
      </c>
      <c r="R395" s="143" t="s">
        <v>20</v>
      </c>
      <c r="S395" s="143" t="s">
        <v>3471</v>
      </c>
      <c r="T395" s="143" t="s">
        <v>3472</v>
      </c>
      <c r="U395" s="145"/>
      <c r="V395" s="145"/>
      <c r="W395" s="145"/>
      <c r="X395" s="145"/>
    </row>
    <row r="396" spans="1:26" ht="18" customHeight="1" x14ac:dyDescent="0.25">
      <c r="A396" s="34"/>
      <c r="B396" s="9"/>
      <c r="C396" s="15"/>
      <c r="D396" s="15"/>
      <c r="E396" s="15"/>
      <c r="F396" s="15"/>
      <c r="G396" s="15"/>
      <c r="H396" s="15"/>
      <c r="I396" s="15"/>
      <c r="J396" s="15"/>
      <c r="K396" s="15"/>
      <c r="L396" s="18"/>
      <c r="M396" s="19"/>
      <c r="N396" s="20"/>
      <c r="O396" s="20"/>
      <c r="P396" s="20"/>
      <c r="Q396" s="20"/>
      <c r="R396" s="19"/>
      <c r="S396" s="19"/>
      <c r="T396" s="19"/>
      <c r="U396" s="105"/>
      <c r="X396" s="10">
        <f t="shared" si="52"/>
        <v>0</v>
      </c>
      <c r="Y396" s="2">
        <f t="shared" si="53"/>
        <v>0</v>
      </c>
      <c r="Z396" s="10"/>
    </row>
    <row r="397" spans="1:26" ht="18" customHeight="1" x14ac:dyDescent="0.25">
      <c r="A397" s="34"/>
      <c r="B397" s="9"/>
      <c r="C397" s="15"/>
      <c r="D397" s="15"/>
      <c r="E397" s="35" t="s">
        <v>141</v>
      </c>
      <c r="F397" s="15"/>
      <c r="G397" s="61">
        <f>G392</f>
        <v>238800</v>
      </c>
      <c r="H397" s="61">
        <f t="shared" ref="H397:R397" si="54">H392</f>
        <v>0</v>
      </c>
      <c r="I397" s="61">
        <f t="shared" si="54"/>
        <v>0</v>
      </c>
      <c r="J397" s="61"/>
      <c r="K397" s="61"/>
      <c r="L397" s="61">
        <f t="shared" si="54"/>
        <v>38646</v>
      </c>
      <c r="M397" s="64">
        <f t="shared" si="54"/>
        <v>65680036</v>
      </c>
      <c r="N397" s="65">
        <f t="shared" si="54"/>
        <v>0</v>
      </c>
      <c r="O397" s="65">
        <f t="shared" si="54"/>
        <v>0</v>
      </c>
      <c r="P397" s="65">
        <f t="shared" si="54"/>
        <v>0</v>
      </c>
      <c r="Q397" s="65">
        <f t="shared" si="54"/>
        <v>0</v>
      </c>
      <c r="R397" s="64">
        <f t="shared" si="54"/>
        <v>65680036</v>
      </c>
      <c r="S397" s="64">
        <f>S392</f>
        <v>120000</v>
      </c>
      <c r="T397" s="64">
        <f>T392</f>
        <v>65800036</v>
      </c>
      <c r="U397" s="148"/>
      <c r="X397" s="10">
        <f t="shared" si="52"/>
        <v>65680036</v>
      </c>
      <c r="Y397" s="2">
        <f t="shared" si="53"/>
        <v>10000</v>
      </c>
      <c r="Z397" s="10"/>
    </row>
    <row r="398" spans="1:26" ht="18" customHeight="1" x14ac:dyDescent="0.25">
      <c r="A398" s="11">
        <v>41</v>
      </c>
      <c r="B398" s="15" t="s">
        <v>865</v>
      </c>
      <c r="C398" s="14" t="s">
        <v>866</v>
      </c>
      <c r="D398" s="13" t="s">
        <v>68</v>
      </c>
      <c r="E398" s="14" t="s">
        <v>867</v>
      </c>
      <c r="F398" s="15" t="s">
        <v>24</v>
      </c>
      <c r="G398" s="46">
        <v>3500</v>
      </c>
      <c r="H398" s="15" t="s">
        <v>25</v>
      </c>
      <c r="I398" s="15" t="s">
        <v>868</v>
      </c>
      <c r="J398" s="15">
        <v>6374</v>
      </c>
      <c r="K398" s="15">
        <v>6723</v>
      </c>
      <c r="L398" s="68">
        <v>349</v>
      </c>
      <c r="M398" s="68">
        <v>593136</v>
      </c>
      <c r="N398" s="69">
        <v>0</v>
      </c>
      <c r="O398" s="69">
        <v>0</v>
      </c>
      <c r="P398" s="69">
        <v>0</v>
      </c>
      <c r="Q398" s="69">
        <v>0</v>
      </c>
      <c r="R398" s="19">
        <f t="shared" ref="R398:R437" si="55">M398+N398+O398+P398+Q398</f>
        <v>593136</v>
      </c>
      <c r="S398" s="19">
        <v>3000</v>
      </c>
      <c r="T398" s="19">
        <f t="shared" ref="T398:T437" si="56">R398+S398</f>
        <v>596136</v>
      </c>
      <c r="U398" s="105"/>
      <c r="X398" s="10">
        <f t="shared" si="52"/>
        <v>593136</v>
      </c>
      <c r="Y398" s="2">
        <f t="shared" si="53"/>
        <v>0</v>
      </c>
      <c r="Z398" s="10">
        <f t="shared" ref="Z398:Z437" si="57">Q398-Y398</f>
        <v>0</v>
      </c>
    </row>
    <row r="399" spans="1:26" ht="18" customHeight="1" x14ac:dyDescent="0.25">
      <c r="A399" s="11">
        <v>42</v>
      </c>
      <c r="B399" s="15" t="s">
        <v>869</v>
      </c>
      <c r="C399" s="14" t="s">
        <v>870</v>
      </c>
      <c r="D399" s="13" t="s">
        <v>68</v>
      </c>
      <c r="E399" s="14" t="s">
        <v>867</v>
      </c>
      <c r="F399" s="15" t="s">
        <v>24</v>
      </c>
      <c r="G399" s="46">
        <v>5500</v>
      </c>
      <c r="H399" s="15" t="s">
        <v>25</v>
      </c>
      <c r="I399" s="15" t="s">
        <v>871</v>
      </c>
      <c r="J399" s="15">
        <v>90397</v>
      </c>
      <c r="K399" s="15">
        <v>92603</v>
      </c>
      <c r="L399" s="68">
        <v>2206</v>
      </c>
      <c r="M399" s="68">
        <v>3749163</v>
      </c>
      <c r="N399" s="69">
        <v>0</v>
      </c>
      <c r="O399" s="69">
        <v>0</v>
      </c>
      <c r="P399" s="69">
        <v>0</v>
      </c>
      <c r="Q399" s="69">
        <v>0</v>
      </c>
      <c r="R399" s="19">
        <f t="shared" si="55"/>
        <v>3749163</v>
      </c>
      <c r="S399" s="19">
        <v>3000</v>
      </c>
      <c r="T399" s="19">
        <f t="shared" si="56"/>
        <v>3752163</v>
      </c>
      <c r="U399" s="105"/>
      <c r="X399" s="10">
        <f t="shared" si="52"/>
        <v>3749163</v>
      </c>
      <c r="Y399" s="2">
        <f t="shared" si="53"/>
        <v>0</v>
      </c>
      <c r="Z399" s="10">
        <f t="shared" si="57"/>
        <v>0</v>
      </c>
    </row>
    <row r="400" spans="1:26" ht="18" customHeight="1" x14ac:dyDescent="0.25">
      <c r="A400" s="11">
        <v>43</v>
      </c>
      <c r="B400" s="15" t="s">
        <v>872</v>
      </c>
      <c r="C400" s="14" t="s">
        <v>873</v>
      </c>
      <c r="D400" s="13" t="s">
        <v>68</v>
      </c>
      <c r="E400" s="14" t="s">
        <v>874</v>
      </c>
      <c r="F400" s="15" t="s">
        <v>24</v>
      </c>
      <c r="G400" s="46">
        <v>5500</v>
      </c>
      <c r="H400" s="15" t="s">
        <v>25</v>
      </c>
      <c r="I400" s="15" t="s">
        <v>875</v>
      </c>
      <c r="J400" s="15">
        <v>34612</v>
      </c>
      <c r="K400" s="15">
        <v>35096</v>
      </c>
      <c r="L400" s="68">
        <v>484</v>
      </c>
      <c r="M400" s="68">
        <v>822573</v>
      </c>
      <c r="N400" s="69">
        <v>0</v>
      </c>
      <c r="O400" s="69">
        <v>0</v>
      </c>
      <c r="P400" s="69">
        <v>0</v>
      </c>
      <c r="Q400" s="69">
        <v>0</v>
      </c>
      <c r="R400" s="19">
        <f t="shared" si="55"/>
        <v>822573</v>
      </c>
      <c r="S400" s="19">
        <v>3000</v>
      </c>
      <c r="T400" s="19">
        <f t="shared" si="56"/>
        <v>825573</v>
      </c>
      <c r="U400" s="105"/>
      <c r="X400" s="10">
        <f t="shared" si="52"/>
        <v>822573</v>
      </c>
      <c r="Y400" s="2">
        <f t="shared" si="53"/>
        <v>0</v>
      </c>
      <c r="Z400" s="10">
        <f t="shared" si="57"/>
        <v>0</v>
      </c>
    </row>
    <row r="401" spans="1:26" ht="18" customHeight="1" x14ac:dyDescent="0.25">
      <c r="A401" s="11">
        <v>44</v>
      </c>
      <c r="B401" s="15" t="s">
        <v>876</v>
      </c>
      <c r="C401" s="14" t="s">
        <v>877</v>
      </c>
      <c r="D401" s="13" t="s">
        <v>68</v>
      </c>
      <c r="E401" s="14" t="s">
        <v>878</v>
      </c>
      <c r="F401" s="15" t="s">
        <v>24</v>
      </c>
      <c r="G401" s="46">
        <v>2200</v>
      </c>
      <c r="H401" s="15" t="s">
        <v>25</v>
      </c>
      <c r="I401" s="15" t="s">
        <v>879</v>
      </c>
      <c r="J401" s="15">
        <v>332</v>
      </c>
      <c r="K401" s="15">
        <v>512</v>
      </c>
      <c r="L401" s="68">
        <v>180</v>
      </c>
      <c r="M401" s="68">
        <v>305915</v>
      </c>
      <c r="N401" s="69">
        <v>0</v>
      </c>
      <c r="O401" s="69">
        <v>0</v>
      </c>
      <c r="P401" s="69">
        <v>0</v>
      </c>
      <c r="Q401" s="69">
        <v>0</v>
      </c>
      <c r="R401" s="19">
        <f t="shared" si="55"/>
        <v>305915</v>
      </c>
      <c r="S401" s="19">
        <v>3000</v>
      </c>
      <c r="T401" s="19">
        <f t="shared" si="56"/>
        <v>308915</v>
      </c>
      <c r="U401" s="105"/>
      <c r="X401" s="10">
        <f t="shared" si="52"/>
        <v>305915</v>
      </c>
      <c r="Y401" s="2">
        <f t="shared" si="53"/>
        <v>0</v>
      </c>
      <c r="Z401" s="10">
        <f t="shared" si="57"/>
        <v>0</v>
      </c>
    </row>
    <row r="402" spans="1:26" ht="18" customHeight="1" x14ac:dyDescent="0.25">
      <c r="A402" s="11">
        <v>45</v>
      </c>
      <c r="B402" s="15" t="s">
        <v>880</v>
      </c>
      <c r="C402" s="14" t="s">
        <v>881</v>
      </c>
      <c r="D402" s="13" t="s">
        <v>22</v>
      </c>
      <c r="E402" s="14" t="s">
        <v>882</v>
      </c>
      <c r="F402" s="15" t="s">
        <v>24</v>
      </c>
      <c r="G402" s="46">
        <v>4400</v>
      </c>
      <c r="H402" s="15" t="s">
        <v>25</v>
      </c>
      <c r="I402" s="15" t="s">
        <v>883</v>
      </c>
      <c r="J402" s="15">
        <v>23997</v>
      </c>
      <c r="K402" s="15">
        <v>25489</v>
      </c>
      <c r="L402" s="68">
        <v>1492</v>
      </c>
      <c r="M402" s="68">
        <v>2535699</v>
      </c>
      <c r="N402" s="69">
        <v>0</v>
      </c>
      <c r="O402" s="69">
        <v>0</v>
      </c>
      <c r="P402" s="69">
        <v>0</v>
      </c>
      <c r="Q402" s="69">
        <v>0</v>
      </c>
      <c r="R402" s="19">
        <f t="shared" si="55"/>
        <v>2535699</v>
      </c>
      <c r="S402" s="19">
        <v>3000</v>
      </c>
      <c r="T402" s="19">
        <f t="shared" si="56"/>
        <v>2538699</v>
      </c>
      <c r="U402" s="105"/>
      <c r="X402" s="10">
        <f t="shared" si="52"/>
        <v>2535699</v>
      </c>
      <c r="Y402" s="2">
        <f t="shared" si="53"/>
        <v>0</v>
      </c>
      <c r="Z402" s="10">
        <f t="shared" si="57"/>
        <v>0</v>
      </c>
    </row>
    <row r="403" spans="1:26" ht="18" customHeight="1" x14ac:dyDescent="0.25">
      <c r="A403" s="11">
        <v>46</v>
      </c>
      <c r="B403" s="15" t="s">
        <v>884</v>
      </c>
      <c r="C403" s="14" t="s">
        <v>885</v>
      </c>
      <c r="D403" s="13" t="s">
        <v>22</v>
      </c>
      <c r="E403" s="14" t="s">
        <v>886</v>
      </c>
      <c r="F403" s="15" t="s">
        <v>24</v>
      </c>
      <c r="G403" s="46">
        <v>5500</v>
      </c>
      <c r="H403" s="15" t="s">
        <v>25</v>
      </c>
      <c r="I403" s="15" t="s">
        <v>887</v>
      </c>
      <c r="J403" s="15">
        <v>13206</v>
      </c>
      <c r="K403" s="15">
        <v>17126</v>
      </c>
      <c r="L403" s="68">
        <v>3920</v>
      </c>
      <c r="M403" s="68">
        <v>6662158</v>
      </c>
      <c r="N403" s="69">
        <v>0</v>
      </c>
      <c r="O403" s="69">
        <v>0</v>
      </c>
      <c r="P403" s="69">
        <v>0</v>
      </c>
      <c r="Q403" s="69">
        <v>10000</v>
      </c>
      <c r="R403" s="19">
        <f t="shared" si="55"/>
        <v>6672158</v>
      </c>
      <c r="S403" s="19">
        <v>3000</v>
      </c>
      <c r="T403" s="19">
        <f t="shared" si="56"/>
        <v>6675158</v>
      </c>
      <c r="U403" s="105"/>
      <c r="X403" s="10">
        <f t="shared" si="52"/>
        <v>6662158</v>
      </c>
      <c r="Y403" s="2">
        <f t="shared" si="53"/>
        <v>10000</v>
      </c>
      <c r="Z403" s="10">
        <f t="shared" si="57"/>
        <v>0</v>
      </c>
    </row>
    <row r="404" spans="1:26" ht="18" customHeight="1" x14ac:dyDescent="0.25">
      <c r="A404" s="11">
        <v>47</v>
      </c>
      <c r="B404" s="15" t="s">
        <v>888</v>
      </c>
      <c r="C404" s="14" t="s">
        <v>889</v>
      </c>
      <c r="D404" s="13" t="s">
        <v>22</v>
      </c>
      <c r="E404" s="14" t="s">
        <v>890</v>
      </c>
      <c r="F404" s="15" t="s">
        <v>24</v>
      </c>
      <c r="G404" s="46">
        <v>5500</v>
      </c>
      <c r="H404" s="15" t="s">
        <v>25</v>
      </c>
      <c r="I404" s="15" t="s">
        <v>891</v>
      </c>
      <c r="J404" s="15">
        <v>60793</v>
      </c>
      <c r="K404" s="15">
        <v>62766</v>
      </c>
      <c r="L404" s="68">
        <v>1973</v>
      </c>
      <c r="M404" s="68">
        <v>3353173</v>
      </c>
      <c r="N404" s="69">
        <v>0</v>
      </c>
      <c r="O404" s="69">
        <v>0</v>
      </c>
      <c r="P404" s="69">
        <v>0</v>
      </c>
      <c r="Q404" s="69">
        <v>0</v>
      </c>
      <c r="R404" s="19">
        <f t="shared" si="55"/>
        <v>3353173</v>
      </c>
      <c r="S404" s="19">
        <v>3000</v>
      </c>
      <c r="T404" s="19">
        <f t="shared" si="56"/>
        <v>3356173</v>
      </c>
      <c r="U404" s="105"/>
      <c r="X404" s="10">
        <f t="shared" si="52"/>
        <v>3353173</v>
      </c>
      <c r="Y404" s="2">
        <f t="shared" si="53"/>
        <v>0</v>
      </c>
      <c r="Z404" s="10">
        <f t="shared" si="57"/>
        <v>0</v>
      </c>
    </row>
    <row r="405" spans="1:26" ht="18" customHeight="1" x14ac:dyDescent="0.25">
      <c r="A405" s="11">
        <v>48</v>
      </c>
      <c r="B405" s="15" t="s">
        <v>892</v>
      </c>
      <c r="C405" s="14" t="s">
        <v>893</v>
      </c>
      <c r="D405" s="13" t="s">
        <v>68</v>
      </c>
      <c r="E405" s="14" t="s">
        <v>894</v>
      </c>
      <c r="F405" s="15" t="s">
        <v>24</v>
      </c>
      <c r="G405" s="46">
        <v>2200</v>
      </c>
      <c r="H405" s="15" t="s">
        <v>25</v>
      </c>
      <c r="I405" s="15" t="s">
        <v>895</v>
      </c>
      <c r="J405" s="15">
        <v>37836</v>
      </c>
      <c r="K405" s="15">
        <v>39417</v>
      </c>
      <c r="L405" s="68">
        <v>1581</v>
      </c>
      <c r="M405" s="68">
        <v>2686957</v>
      </c>
      <c r="N405" s="69">
        <v>0</v>
      </c>
      <c r="O405" s="69">
        <v>0</v>
      </c>
      <c r="P405" s="69">
        <v>0</v>
      </c>
      <c r="Q405" s="69">
        <v>0</v>
      </c>
      <c r="R405" s="19">
        <f t="shared" si="55"/>
        <v>2686957</v>
      </c>
      <c r="S405" s="19">
        <v>3000</v>
      </c>
      <c r="T405" s="19">
        <f t="shared" si="56"/>
        <v>2689957</v>
      </c>
      <c r="U405" s="105"/>
      <c r="X405" s="10">
        <f t="shared" si="52"/>
        <v>2686957</v>
      </c>
      <c r="Y405" s="2">
        <f t="shared" si="53"/>
        <v>0</v>
      </c>
      <c r="Z405" s="10">
        <f t="shared" si="57"/>
        <v>0</v>
      </c>
    </row>
    <row r="406" spans="1:26" ht="18" customHeight="1" x14ac:dyDescent="0.25">
      <c r="A406" s="11">
        <v>49</v>
      </c>
      <c r="B406" s="15" t="s">
        <v>896</v>
      </c>
      <c r="C406" s="14" t="s">
        <v>897</v>
      </c>
      <c r="D406" s="13" t="s">
        <v>68</v>
      </c>
      <c r="E406" s="14" t="s">
        <v>898</v>
      </c>
      <c r="F406" s="15" t="s">
        <v>24</v>
      </c>
      <c r="G406" s="46">
        <v>5500</v>
      </c>
      <c r="H406" s="15" t="s">
        <v>25</v>
      </c>
      <c r="I406" s="15" t="s">
        <v>899</v>
      </c>
      <c r="J406" s="15">
        <v>46020</v>
      </c>
      <c r="K406" s="15">
        <v>46114</v>
      </c>
      <c r="L406" s="68">
        <v>220</v>
      </c>
      <c r="M406" s="68">
        <v>373897</v>
      </c>
      <c r="N406" s="69">
        <v>0</v>
      </c>
      <c r="O406" s="69">
        <v>0</v>
      </c>
      <c r="P406" s="69">
        <v>0</v>
      </c>
      <c r="Q406" s="69">
        <v>0</v>
      </c>
      <c r="R406" s="19">
        <f t="shared" si="55"/>
        <v>373897</v>
      </c>
      <c r="S406" s="19">
        <v>3000</v>
      </c>
      <c r="T406" s="19">
        <f t="shared" si="56"/>
        <v>376897</v>
      </c>
      <c r="U406" s="105"/>
      <c r="X406" s="10">
        <f t="shared" si="52"/>
        <v>373897</v>
      </c>
      <c r="Y406" s="2">
        <f t="shared" si="53"/>
        <v>0</v>
      </c>
      <c r="Z406" s="10">
        <f t="shared" si="57"/>
        <v>0</v>
      </c>
    </row>
    <row r="407" spans="1:26" ht="18" customHeight="1" x14ac:dyDescent="0.25">
      <c r="A407" s="11">
        <v>50</v>
      </c>
      <c r="B407" s="15" t="s">
        <v>900</v>
      </c>
      <c r="C407" s="14" t="s">
        <v>901</v>
      </c>
      <c r="D407" s="13" t="s">
        <v>68</v>
      </c>
      <c r="E407" s="14" t="s">
        <v>902</v>
      </c>
      <c r="F407" s="15" t="s">
        <v>24</v>
      </c>
      <c r="G407" s="46">
        <v>3500</v>
      </c>
      <c r="H407" s="15" t="s">
        <v>25</v>
      </c>
      <c r="I407" s="15" t="s">
        <v>903</v>
      </c>
      <c r="J407" s="15">
        <v>23705</v>
      </c>
      <c r="K407" s="15">
        <v>24005</v>
      </c>
      <c r="L407" s="68">
        <v>300</v>
      </c>
      <c r="M407" s="68">
        <v>509859</v>
      </c>
      <c r="N407" s="69">
        <v>0</v>
      </c>
      <c r="O407" s="69">
        <v>0</v>
      </c>
      <c r="P407" s="69">
        <v>0</v>
      </c>
      <c r="Q407" s="69">
        <v>0</v>
      </c>
      <c r="R407" s="19">
        <f t="shared" si="55"/>
        <v>509859</v>
      </c>
      <c r="S407" s="19">
        <v>3000</v>
      </c>
      <c r="T407" s="19">
        <f t="shared" si="56"/>
        <v>512859</v>
      </c>
      <c r="U407" s="105"/>
      <c r="X407" s="10">
        <f t="shared" si="52"/>
        <v>509859</v>
      </c>
      <c r="Y407" s="2">
        <f t="shared" si="53"/>
        <v>0</v>
      </c>
      <c r="Z407" s="10">
        <f t="shared" si="57"/>
        <v>0</v>
      </c>
    </row>
    <row r="408" spans="1:26" ht="18" customHeight="1" x14ac:dyDescent="0.25">
      <c r="A408" s="11">
        <v>51</v>
      </c>
      <c r="B408" s="15" t="s">
        <v>904</v>
      </c>
      <c r="C408" s="14" t="s">
        <v>905</v>
      </c>
      <c r="D408" s="13" t="s">
        <v>68</v>
      </c>
      <c r="E408" s="14" t="s">
        <v>859</v>
      </c>
      <c r="F408" s="15" t="s">
        <v>24</v>
      </c>
      <c r="G408" s="46">
        <v>7700</v>
      </c>
      <c r="H408" s="15" t="s">
        <v>25</v>
      </c>
      <c r="I408" s="15" t="s">
        <v>906</v>
      </c>
      <c r="J408" s="15">
        <v>50363</v>
      </c>
      <c r="K408" s="15">
        <v>50890</v>
      </c>
      <c r="L408" s="68">
        <v>527</v>
      </c>
      <c r="M408" s="68">
        <v>895652</v>
      </c>
      <c r="N408" s="69">
        <v>0</v>
      </c>
      <c r="O408" s="69">
        <v>0</v>
      </c>
      <c r="P408" s="69">
        <v>0</v>
      </c>
      <c r="Q408" s="69">
        <v>0</v>
      </c>
      <c r="R408" s="19">
        <f t="shared" si="55"/>
        <v>895652</v>
      </c>
      <c r="S408" s="19">
        <v>3000</v>
      </c>
      <c r="T408" s="19">
        <f t="shared" si="56"/>
        <v>898652</v>
      </c>
      <c r="U408" s="105"/>
      <c r="X408" s="10">
        <f t="shared" si="52"/>
        <v>895652</v>
      </c>
      <c r="Y408" s="2">
        <f t="shared" si="53"/>
        <v>0</v>
      </c>
      <c r="Z408" s="10">
        <f t="shared" si="57"/>
        <v>0</v>
      </c>
    </row>
    <row r="409" spans="1:26" ht="18" customHeight="1" x14ac:dyDescent="0.25">
      <c r="A409" s="11">
        <v>52</v>
      </c>
      <c r="B409" s="15" t="s">
        <v>907</v>
      </c>
      <c r="C409" s="14" t="s">
        <v>908</v>
      </c>
      <c r="D409" s="13" t="s">
        <v>68</v>
      </c>
      <c r="E409" s="14" t="s">
        <v>867</v>
      </c>
      <c r="F409" s="15" t="s">
        <v>24</v>
      </c>
      <c r="G409" s="46">
        <v>7700</v>
      </c>
      <c r="H409" s="15" t="s">
        <v>25</v>
      </c>
      <c r="I409" s="15" t="s">
        <v>909</v>
      </c>
      <c r="J409" s="15">
        <v>40752</v>
      </c>
      <c r="K409" s="15">
        <v>40752</v>
      </c>
      <c r="L409" s="68">
        <v>308</v>
      </c>
      <c r="M409" s="68">
        <v>523455</v>
      </c>
      <c r="N409" s="69">
        <v>0</v>
      </c>
      <c r="O409" s="69">
        <v>0</v>
      </c>
      <c r="P409" s="69">
        <v>0</v>
      </c>
      <c r="Q409" s="69">
        <v>0</v>
      </c>
      <c r="R409" s="19">
        <f t="shared" si="55"/>
        <v>523455</v>
      </c>
      <c r="S409" s="19">
        <v>3000</v>
      </c>
      <c r="T409" s="19">
        <f t="shared" si="56"/>
        <v>526455</v>
      </c>
      <c r="U409" s="105"/>
      <c r="X409" s="10">
        <f t="shared" si="52"/>
        <v>523455</v>
      </c>
      <c r="Y409" s="2">
        <f t="shared" si="53"/>
        <v>0</v>
      </c>
      <c r="Z409" s="10">
        <f t="shared" si="57"/>
        <v>0</v>
      </c>
    </row>
    <row r="410" spans="1:26" ht="18" customHeight="1" x14ac:dyDescent="0.25">
      <c r="A410" s="11">
        <v>53</v>
      </c>
      <c r="B410" s="15" t="s">
        <v>910</v>
      </c>
      <c r="C410" s="14" t="s">
        <v>911</v>
      </c>
      <c r="D410" s="13" t="s">
        <v>68</v>
      </c>
      <c r="E410" s="14" t="s">
        <v>912</v>
      </c>
      <c r="F410" s="15" t="s">
        <v>24</v>
      </c>
      <c r="G410" s="46">
        <v>3500</v>
      </c>
      <c r="H410" s="15" t="s">
        <v>25</v>
      </c>
      <c r="I410" s="15" t="s">
        <v>913</v>
      </c>
      <c r="J410" s="15">
        <v>13399</v>
      </c>
      <c r="K410" s="15">
        <v>13618</v>
      </c>
      <c r="L410" s="68">
        <v>219</v>
      </c>
      <c r="M410" s="68">
        <v>372197</v>
      </c>
      <c r="N410" s="69">
        <v>0</v>
      </c>
      <c r="O410" s="69">
        <v>0</v>
      </c>
      <c r="P410" s="69">
        <v>0</v>
      </c>
      <c r="Q410" s="69">
        <v>0</v>
      </c>
      <c r="R410" s="19">
        <f t="shared" si="55"/>
        <v>372197</v>
      </c>
      <c r="S410" s="19">
        <v>3000</v>
      </c>
      <c r="T410" s="19">
        <f t="shared" si="56"/>
        <v>375197</v>
      </c>
      <c r="U410" s="105"/>
      <c r="X410" s="10">
        <f t="shared" si="52"/>
        <v>372197</v>
      </c>
      <c r="Y410" s="2">
        <f t="shared" si="53"/>
        <v>0</v>
      </c>
      <c r="Z410" s="10">
        <f t="shared" si="57"/>
        <v>0</v>
      </c>
    </row>
    <row r="411" spans="1:26" ht="18" customHeight="1" x14ac:dyDescent="0.25">
      <c r="A411" s="11">
        <v>54</v>
      </c>
      <c r="B411" s="15" t="s">
        <v>914</v>
      </c>
      <c r="C411" s="14" t="s">
        <v>915</v>
      </c>
      <c r="D411" s="13" t="s">
        <v>68</v>
      </c>
      <c r="E411" s="14" t="s">
        <v>859</v>
      </c>
      <c r="F411" s="15" t="s">
        <v>24</v>
      </c>
      <c r="G411" s="46">
        <v>7700</v>
      </c>
      <c r="H411" s="15" t="s">
        <v>25</v>
      </c>
      <c r="I411" s="15" t="s">
        <v>916</v>
      </c>
      <c r="J411" s="15">
        <v>18502</v>
      </c>
      <c r="K411" s="15">
        <v>18736</v>
      </c>
      <c r="L411" s="68">
        <v>308</v>
      </c>
      <c r="M411" s="68">
        <v>523455</v>
      </c>
      <c r="N411" s="69">
        <v>0</v>
      </c>
      <c r="O411" s="69">
        <v>0</v>
      </c>
      <c r="P411" s="69">
        <v>0</v>
      </c>
      <c r="Q411" s="69">
        <v>0</v>
      </c>
      <c r="R411" s="19">
        <f t="shared" si="55"/>
        <v>523455</v>
      </c>
      <c r="S411" s="19">
        <v>3000</v>
      </c>
      <c r="T411" s="19">
        <f t="shared" si="56"/>
        <v>526455</v>
      </c>
      <c r="U411" s="105"/>
      <c r="X411" s="10">
        <f t="shared" si="52"/>
        <v>523455</v>
      </c>
      <c r="Y411" s="2">
        <f t="shared" si="53"/>
        <v>0</v>
      </c>
      <c r="Z411" s="10">
        <f t="shared" si="57"/>
        <v>0</v>
      </c>
    </row>
    <row r="412" spans="1:26" ht="18" customHeight="1" x14ac:dyDescent="0.25">
      <c r="A412" s="11">
        <v>55</v>
      </c>
      <c r="B412" s="15" t="s">
        <v>917</v>
      </c>
      <c r="C412" s="14" t="s">
        <v>918</v>
      </c>
      <c r="D412" s="13" t="s">
        <v>68</v>
      </c>
      <c r="E412" s="14" t="s">
        <v>919</v>
      </c>
      <c r="F412" s="15" t="s">
        <v>24</v>
      </c>
      <c r="G412" s="46">
        <v>4400</v>
      </c>
      <c r="H412" s="15" t="s">
        <v>25</v>
      </c>
      <c r="I412" s="15" t="s">
        <v>920</v>
      </c>
      <c r="J412" s="15">
        <v>76378</v>
      </c>
      <c r="K412" s="15">
        <v>76918</v>
      </c>
      <c r="L412" s="68">
        <v>540</v>
      </c>
      <c r="M412" s="68">
        <v>917746</v>
      </c>
      <c r="N412" s="69">
        <v>0</v>
      </c>
      <c r="O412" s="69">
        <v>0</v>
      </c>
      <c r="P412" s="69">
        <v>0</v>
      </c>
      <c r="Q412" s="69">
        <v>0</v>
      </c>
      <c r="R412" s="19">
        <f t="shared" si="55"/>
        <v>917746</v>
      </c>
      <c r="S412" s="19">
        <v>3000</v>
      </c>
      <c r="T412" s="19">
        <f t="shared" si="56"/>
        <v>920746</v>
      </c>
      <c r="U412" s="105"/>
      <c r="X412" s="10">
        <f t="shared" si="52"/>
        <v>917746</v>
      </c>
      <c r="Y412" s="2">
        <f t="shared" si="53"/>
        <v>0</v>
      </c>
      <c r="Z412" s="10">
        <f t="shared" si="57"/>
        <v>0</v>
      </c>
    </row>
    <row r="413" spans="1:26" ht="18" customHeight="1" x14ac:dyDescent="0.25">
      <c r="A413" s="11">
        <v>56</v>
      </c>
      <c r="B413" s="15" t="s">
        <v>921</v>
      </c>
      <c r="C413" s="14" t="s">
        <v>922</v>
      </c>
      <c r="D413" s="13" t="s">
        <v>22</v>
      </c>
      <c r="E413" s="14" t="s">
        <v>923</v>
      </c>
      <c r="F413" s="15" t="s">
        <v>24</v>
      </c>
      <c r="G413" s="46">
        <v>4400</v>
      </c>
      <c r="H413" s="15" t="s">
        <v>25</v>
      </c>
      <c r="I413" s="15" t="s">
        <v>924</v>
      </c>
      <c r="J413" s="15">
        <v>52077</v>
      </c>
      <c r="K413" s="15">
        <v>52784</v>
      </c>
      <c r="L413" s="68">
        <v>707</v>
      </c>
      <c r="M413" s="68">
        <v>1201568</v>
      </c>
      <c r="N413" s="69">
        <v>0</v>
      </c>
      <c r="O413" s="69">
        <v>0</v>
      </c>
      <c r="P413" s="69">
        <v>0</v>
      </c>
      <c r="Q413" s="69">
        <v>0</v>
      </c>
      <c r="R413" s="19">
        <f t="shared" si="55"/>
        <v>1201568</v>
      </c>
      <c r="S413" s="19">
        <v>3000</v>
      </c>
      <c r="T413" s="19">
        <f t="shared" si="56"/>
        <v>1204568</v>
      </c>
      <c r="U413" s="105"/>
      <c r="X413" s="10">
        <f t="shared" si="52"/>
        <v>1201568</v>
      </c>
      <c r="Y413" s="2">
        <f t="shared" si="53"/>
        <v>0</v>
      </c>
      <c r="Z413" s="10">
        <f t="shared" si="57"/>
        <v>0</v>
      </c>
    </row>
    <row r="414" spans="1:26" ht="18" customHeight="1" x14ac:dyDescent="0.25">
      <c r="A414" s="11">
        <v>57</v>
      </c>
      <c r="B414" s="15" t="s">
        <v>925</v>
      </c>
      <c r="C414" s="14" t="s">
        <v>926</v>
      </c>
      <c r="D414" s="13" t="s">
        <v>22</v>
      </c>
      <c r="E414" s="14" t="s">
        <v>923</v>
      </c>
      <c r="F414" s="15" t="s">
        <v>24</v>
      </c>
      <c r="G414" s="46">
        <v>7700</v>
      </c>
      <c r="H414" s="15" t="s">
        <v>25</v>
      </c>
      <c r="I414" s="15" t="s">
        <v>927</v>
      </c>
      <c r="J414" s="15">
        <v>72356</v>
      </c>
      <c r="K414" s="15">
        <v>72883</v>
      </c>
      <c r="L414" s="68">
        <v>527</v>
      </c>
      <c r="M414" s="68">
        <v>895652</v>
      </c>
      <c r="N414" s="69">
        <v>0</v>
      </c>
      <c r="O414" s="69">
        <v>0</v>
      </c>
      <c r="P414" s="69">
        <v>0</v>
      </c>
      <c r="Q414" s="69">
        <v>0</v>
      </c>
      <c r="R414" s="19">
        <f t="shared" si="55"/>
        <v>895652</v>
      </c>
      <c r="S414" s="19">
        <v>3000</v>
      </c>
      <c r="T414" s="19">
        <f t="shared" si="56"/>
        <v>898652</v>
      </c>
      <c r="U414" s="105"/>
      <c r="X414" s="10">
        <f t="shared" si="52"/>
        <v>895652</v>
      </c>
      <c r="Y414" s="2">
        <f t="shared" si="53"/>
        <v>0</v>
      </c>
      <c r="Z414" s="10">
        <f t="shared" si="57"/>
        <v>0</v>
      </c>
    </row>
    <row r="415" spans="1:26" ht="18" customHeight="1" x14ac:dyDescent="0.25">
      <c r="A415" s="11">
        <v>58</v>
      </c>
      <c r="B415" s="15" t="s">
        <v>928</v>
      </c>
      <c r="C415" s="14" t="s">
        <v>929</v>
      </c>
      <c r="D415" s="13" t="s">
        <v>68</v>
      </c>
      <c r="E415" s="14" t="s">
        <v>930</v>
      </c>
      <c r="F415" s="15" t="s">
        <v>24</v>
      </c>
      <c r="G415" s="46">
        <v>7700</v>
      </c>
      <c r="H415" s="15" t="s">
        <v>25</v>
      </c>
      <c r="I415" s="15" t="s">
        <v>931</v>
      </c>
      <c r="J415" s="15">
        <v>4061</v>
      </c>
      <c r="K415" s="15">
        <v>5739</v>
      </c>
      <c r="L415" s="68">
        <v>1678</v>
      </c>
      <c r="M415" s="68">
        <v>2851811</v>
      </c>
      <c r="N415" s="69">
        <v>0</v>
      </c>
      <c r="O415" s="69">
        <v>0</v>
      </c>
      <c r="P415" s="69">
        <v>0</v>
      </c>
      <c r="Q415" s="69">
        <v>0</v>
      </c>
      <c r="R415" s="19">
        <f t="shared" si="55"/>
        <v>2851811</v>
      </c>
      <c r="S415" s="19">
        <v>3000</v>
      </c>
      <c r="T415" s="19">
        <f t="shared" si="56"/>
        <v>2854811</v>
      </c>
      <c r="U415" s="105"/>
      <c r="X415" s="10">
        <f t="shared" si="52"/>
        <v>2851811</v>
      </c>
      <c r="Y415" s="2">
        <f t="shared" si="53"/>
        <v>0</v>
      </c>
      <c r="Z415" s="10">
        <f t="shared" si="57"/>
        <v>0</v>
      </c>
    </row>
    <row r="416" spans="1:26" ht="18" customHeight="1" x14ac:dyDescent="0.25">
      <c r="A416" s="11">
        <v>59</v>
      </c>
      <c r="B416" s="15" t="s">
        <v>932</v>
      </c>
      <c r="C416" s="14" t="s">
        <v>933</v>
      </c>
      <c r="D416" s="13" t="s">
        <v>68</v>
      </c>
      <c r="E416" s="14" t="s">
        <v>930</v>
      </c>
      <c r="F416" s="15" t="s">
        <v>24</v>
      </c>
      <c r="G416" s="46">
        <v>7700</v>
      </c>
      <c r="H416" s="15" t="s">
        <v>25</v>
      </c>
      <c r="I416" s="15" t="s">
        <v>934</v>
      </c>
      <c r="J416" s="15">
        <v>7528</v>
      </c>
      <c r="K416" s="15">
        <v>9012</v>
      </c>
      <c r="L416" s="68">
        <v>1484</v>
      </c>
      <c r="M416" s="68">
        <v>2522103</v>
      </c>
      <c r="N416" s="69">
        <v>0</v>
      </c>
      <c r="O416" s="69">
        <v>0</v>
      </c>
      <c r="P416" s="69">
        <v>0</v>
      </c>
      <c r="Q416" s="69">
        <v>0</v>
      </c>
      <c r="R416" s="19">
        <f t="shared" si="55"/>
        <v>2522103</v>
      </c>
      <c r="S416" s="19">
        <v>3000</v>
      </c>
      <c r="T416" s="19">
        <f t="shared" si="56"/>
        <v>2525103</v>
      </c>
      <c r="U416" s="105"/>
      <c r="X416" s="10">
        <f t="shared" si="52"/>
        <v>2522103</v>
      </c>
      <c r="Y416" s="2">
        <f t="shared" si="53"/>
        <v>0</v>
      </c>
      <c r="Z416" s="10">
        <f t="shared" si="57"/>
        <v>0</v>
      </c>
    </row>
    <row r="417" spans="1:26" ht="18" customHeight="1" x14ac:dyDescent="0.25">
      <c r="A417" s="11">
        <v>60</v>
      </c>
      <c r="B417" s="15" t="s">
        <v>935</v>
      </c>
      <c r="C417" s="14" t="s">
        <v>936</v>
      </c>
      <c r="D417" s="13" t="s">
        <v>68</v>
      </c>
      <c r="E417" s="14" t="s">
        <v>937</v>
      </c>
      <c r="F417" s="15" t="s">
        <v>24</v>
      </c>
      <c r="G417" s="46">
        <v>2200</v>
      </c>
      <c r="H417" s="15" t="s">
        <v>25</v>
      </c>
      <c r="I417" s="15" t="s">
        <v>938</v>
      </c>
      <c r="J417" s="15">
        <v>39377</v>
      </c>
      <c r="K417" s="15">
        <v>40128</v>
      </c>
      <c r="L417" s="68">
        <v>751</v>
      </c>
      <c r="M417" s="68">
        <v>1276347</v>
      </c>
      <c r="N417" s="69">
        <v>0</v>
      </c>
      <c r="O417" s="69">
        <v>0</v>
      </c>
      <c r="P417" s="69">
        <v>0</v>
      </c>
      <c r="Q417" s="69">
        <v>0</v>
      </c>
      <c r="R417" s="19">
        <f t="shared" si="55"/>
        <v>1276347</v>
      </c>
      <c r="S417" s="19">
        <v>3000</v>
      </c>
      <c r="T417" s="19">
        <f t="shared" si="56"/>
        <v>1279347</v>
      </c>
      <c r="U417" s="105"/>
      <c r="X417" s="10">
        <f t="shared" si="52"/>
        <v>1276347</v>
      </c>
      <c r="Y417" s="2">
        <f t="shared" si="53"/>
        <v>0</v>
      </c>
      <c r="Z417" s="10">
        <f t="shared" si="57"/>
        <v>0</v>
      </c>
    </row>
    <row r="418" spans="1:26" ht="18" customHeight="1" x14ac:dyDescent="0.25">
      <c r="A418" s="11">
        <v>61</v>
      </c>
      <c r="B418" s="15" t="s">
        <v>939</v>
      </c>
      <c r="C418" s="14" t="s">
        <v>940</v>
      </c>
      <c r="D418" s="13" t="s">
        <v>68</v>
      </c>
      <c r="E418" s="14" t="s">
        <v>941</v>
      </c>
      <c r="F418" s="15" t="s">
        <v>24</v>
      </c>
      <c r="G418" s="46">
        <v>5500</v>
      </c>
      <c r="H418" s="15" t="s">
        <v>25</v>
      </c>
      <c r="I418" s="15" t="s">
        <v>942</v>
      </c>
      <c r="J418" s="15">
        <v>572</v>
      </c>
      <c r="K418" s="15">
        <v>905</v>
      </c>
      <c r="L418" s="68">
        <v>333</v>
      </c>
      <c r="M418" s="68">
        <v>565943</v>
      </c>
      <c r="N418" s="69">
        <v>0</v>
      </c>
      <c r="O418" s="69">
        <v>0</v>
      </c>
      <c r="P418" s="69">
        <v>0</v>
      </c>
      <c r="Q418" s="69">
        <v>0</v>
      </c>
      <c r="R418" s="19">
        <f t="shared" si="55"/>
        <v>565943</v>
      </c>
      <c r="S418" s="19">
        <v>3000</v>
      </c>
      <c r="T418" s="19">
        <f t="shared" si="56"/>
        <v>568943</v>
      </c>
      <c r="U418" s="105"/>
      <c r="X418" s="10">
        <f t="shared" si="52"/>
        <v>565943</v>
      </c>
      <c r="Y418" s="2">
        <f t="shared" si="53"/>
        <v>0</v>
      </c>
      <c r="Z418" s="10">
        <f t="shared" si="57"/>
        <v>0</v>
      </c>
    </row>
    <row r="419" spans="1:26" ht="18" customHeight="1" x14ac:dyDescent="0.25">
      <c r="A419" s="11">
        <v>62</v>
      </c>
      <c r="B419" s="15" t="s">
        <v>943</v>
      </c>
      <c r="C419" s="14" t="s">
        <v>944</v>
      </c>
      <c r="D419" s="13" t="s">
        <v>22</v>
      </c>
      <c r="E419" s="14" t="s">
        <v>945</v>
      </c>
      <c r="F419" s="15" t="s">
        <v>24</v>
      </c>
      <c r="G419" s="46">
        <v>7700</v>
      </c>
      <c r="H419" s="15" t="s">
        <v>25</v>
      </c>
      <c r="I419" s="15" t="s">
        <v>946</v>
      </c>
      <c r="J419" s="15">
        <v>50665</v>
      </c>
      <c r="K419" s="15">
        <v>51044</v>
      </c>
      <c r="L419" s="68">
        <v>379</v>
      </c>
      <c r="M419" s="68">
        <v>644122</v>
      </c>
      <c r="N419" s="69">
        <v>0</v>
      </c>
      <c r="O419" s="69">
        <v>0</v>
      </c>
      <c r="P419" s="69">
        <v>0</v>
      </c>
      <c r="Q419" s="69">
        <v>0</v>
      </c>
      <c r="R419" s="19">
        <f t="shared" si="55"/>
        <v>644122</v>
      </c>
      <c r="S419" s="19">
        <v>3000</v>
      </c>
      <c r="T419" s="19">
        <f t="shared" si="56"/>
        <v>647122</v>
      </c>
      <c r="U419" s="105"/>
      <c r="X419" s="10">
        <f t="shared" si="52"/>
        <v>644122</v>
      </c>
      <c r="Y419" s="2">
        <f t="shared" si="53"/>
        <v>0</v>
      </c>
      <c r="Z419" s="10">
        <f t="shared" si="57"/>
        <v>0</v>
      </c>
    </row>
    <row r="420" spans="1:26" ht="18" customHeight="1" x14ac:dyDescent="0.25">
      <c r="A420" s="11">
        <v>63</v>
      </c>
      <c r="B420" s="15" t="s">
        <v>947</v>
      </c>
      <c r="C420" s="14" t="s">
        <v>948</v>
      </c>
      <c r="D420" s="13" t="s">
        <v>22</v>
      </c>
      <c r="E420" s="14" t="s">
        <v>949</v>
      </c>
      <c r="F420" s="15" t="s">
        <v>24</v>
      </c>
      <c r="G420" s="46">
        <v>3500</v>
      </c>
      <c r="H420" s="15" t="s">
        <v>25</v>
      </c>
      <c r="I420" s="15" t="s">
        <v>950</v>
      </c>
      <c r="J420" s="15">
        <v>109191</v>
      </c>
      <c r="K420" s="15">
        <v>109191</v>
      </c>
      <c r="L420" s="68">
        <v>140</v>
      </c>
      <c r="M420" s="68">
        <v>237934</v>
      </c>
      <c r="N420" s="69">
        <v>0</v>
      </c>
      <c r="O420" s="69">
        <v>0</v>
      </c>
      <c r="P420" s="69">
        <v>0</v>
      </c>
      <c r="Q420" s="69">
        <v>0</v>
      </c>
      <c r="R420" s="19">
        <f t="shared" si="55"/>
        <v>237934</v>
      </c>
      <c r="S420" s="19">
        <v>3000</v>
      </c>
      <c r="T420" s="19">
        <f t="shared" si="56"/>
        <v>240934</v>
      </c>
      <c r="U420" s="105"/>
      <c r="X420" s="10">
        <f t="shared" si="52"/>
        <v>237934</v>
      </c>
      <c r="Y420" s="2">
        <f t="shared" si="53"/>
        <v>0</v>
      </c>
      <c r="Z420" s="10">
        <f t="shared" si="57"/>
        <v>0</v>
      </c>
    </row>
    <row r="421" spans="1:26" ht="18" customHeight="1" x14ac:dyDescent="0.25">
      <c r="A421" s="11">
        <v>64</v>
      </c>
      <c r="B421" s="15" t="s">
        <v>951</v>
      </c>
      <c r="C421" s="14" t="s">
        <v>952</v>
      </c>
      <c r="D421" s="13" t="s">
        <v>68</v>
      </c>
      <c r="E421" s="14" t="s">
        <v>953</v>
      </c>
      <c r="F421" s="15" t="s">
        <v>24</v>
      </c>
      <c r="G421" s="46">
        <v>11000</v>
      </c>
      <c r="H421" s="15" t="s">
        <v>25</v>
      </c>
      <c r="I421" s="15" t="s">
        <v>954</v>
      </c>
      <c r="J421" s="15">
        <v>57910</v>
      </c>
      <c r="K421" s="15">
        <v>57910</v>
      </c>
      <c r="L421" s="68">
        <v>440</v>
      </c>
      <c r="M421" s="68">
        <v>747793</v>
      </c>
      <c r="N421" s="69">
        <v>0</v>
      </c>
      <c r="O421" s="69">
        <v>0</v>
      </c>
      <c r="P421" s="69">
        <v>0</v>
      </c>
      <c r="Q421" s="69">
        <v>0</v>
      </c>
      <c r="R421" s="19">
        <f t="shared" si="55"/>
        <v>747793</v>
      </c>
      <c r="S421" s="19">
        <v>3000</v>
      </c>
      <c r="T421" s="19">
        <f t="shared" si="56"/>
        <v>750793</v>
      </c>
      <c r="U421" s="105"/>
      <c r="X421" s="10">
        <f t="shared" si="52"/>
        <v>747793</v>
      </c>
      <c r="Y421" s="2">
        <f t="shared" si="53"/>
        <v>0</v>
      </c>
      <c r="Z421" s="10">
        <f t="shared" si="57"/>
        <v>0</v>
      </c>
    </row>
    <row r="422" spans="1:26" ht="18" customHeight="1" x14ac:dyDescent="0.25">
      <c r="A422" s="11">
        <v>65</v>
      </c>
      <c r="B422" s="15" t="s">
        <v>955</v>
      </c>
      <c r="C422" s="14" t="s">
        <v>956</v>
      </c>
      <c r="D422" s="13" t="s">
        <v>22</v>
      </c>
      <c r="E422" s="14" t="s">
        <v>957</v>
      </c>
      <c r="F422" s="15" t="s">
        <v>24</v>
      </c>
      <c r="G422" s="46">
        <v>2200</v>
      </c>
      <c r="H422" s="15" t="s">
        <v>25</v>
      </c>
      <c r="I422" s="15" t="s">
        <v>958</v>
      </c>
      <c r="J422" s="15">
        <v>25363</v>
      </c>
      <c r="K422" s="15">
        <v>25363</v>
      </c>
      <c r="L422" s="68">
        <v>88</v>
      </c>
      <c r="M422" s="68">
        <v>149559</v>
      </c>
      <c r="N422" s="69">
        <v>0</v>
      </c>
      <c r="O422" s="69">
        <v>0</v>
      </c>
      <c r="P422" s="69">
        <v>0</v>
      </c>
      <c r="Q422" s="69">
        <v>0</v>
      </c>
      <c r="R422" s="19">
        <f t="shared" si="55"/>
        <v>149559</v>
      </c>
      <c r="S422" s="19">
        <v>3000</v>
      </c>
      <c r="T422" s="19">
        <f t="shared" si="56"/>
        <v>152559</v>
      </c>
      <c r="U422" s="105"/>
      <c r="X422" s="10">
        <f t="shared" si="52"/>
        <v>149559</v>
      </c>
      <c r="Y422" s="2">
        <f t="shared" si="53"/>
        <v>0</v>
      </c>
      <c r="Z422" s="10">
        <f t="shared" si="57"/>
        <v>0</v>
      </c>
    </row>
    <row r="423" spans="1:26" ht="18" customHeight="1" x14ac:dyDescent="0.25">
      <c r="A423" s="11">
        <v>66</v>
      </c>
      <c r="B423" s="15" t="s">
        <v>959</v>
      </c>
      <c r="C423" s="14" t="s">
        <v>960</v>
      </c>
      <c r="D423" s="13" t="s">
        <v>22</v>
      </c>
      <c r="E423" s="14" t="s">
        <v>961</v>
      </c>
      <c r="F423" s="15" t="s">
        <v>24</v>
      </c>
      <c r="G423" s="46">
        <v>2200</v>
      </c>
      <c r="H423" s="15" t="s">
        <v>25</v>
      </c>
      <c r="I423" s="15" t="s">
        <v>962</v>
      </c>
      <c r="J423" s="15">
        <v>1161</v>
      </c>
      <c r="K423" s="15">
        <v>1199</v>
      </c>
      <c r="L423" s="68">
        <v>88</v>
      </c>
      <c r="M423" s="68">
        <v>149559</v>
      </c>
      <c r="N423" s="69">
        <v>0</v>
      </c>
      <c r="O423" s="69">
        <v>0</v>
      </c>
      <c r="P423" s="69">
        <v>0</v>
      </c>
      <c r="Q423" s="69">
        <v>0</v>
      </c>
      <c r="R423" s="19">
        <f t="shared" si="55"/>
        <v>149559</v>
      </c>
      <c r="S423" s="19">
        <v>3000</v>
      </c>
      <c r="T423" s="19">
        <f t="shared" si="56"/>
        <v>152559</v>
      </c>
      <c r="U423" s="105"/>
      <c r="X423" s="10">
        <f t="shared" si="52"/>
        <v>149559</v>
      </c>
      <c r="Y423" s="2">
        <f t="shared" si="53"/>
        <v>0</v>
      </c>
      <c r="Z423" s="10">
        <f t="shared" si="57"/>
        <v>0</v>
      </c>
    </row>
    <row r="424" spans="1:26" ht="18" customHeight="1" x14ac:dyDescent="0.25">
      <c r="A424" s="11">
        <v>67</v>
      </c>
      <c r="B424" s="15" t="s">
        <v>963</v>
      </c>
      <c r="C424" s="14" t="s">
        <v>948</v>
      </c>
      <c r="D424" s="13" t="s">
        <v>22</v>
      </c>
      <c r="E424" s="14" t="s">
        <v>949</v>
      </c>
      <c r="F424" s="15" t="s">
        <v>24</v>
      </c>
      <c r="G424" s="46">
        <v>1300</v>
      </c>
      <c r="H424" s="15" t="s">
        <v>25</v>
      </c>
      <c r="I424" s="15" t="s">
        <v>964</v>
      </c>
      <c r="J424" s="15">
        <v>88345</v>
      </c>
      <c r="K424" s="15">
        <v>88906</v>
      </c>
      <c r="L424" s="68">
        <v>561</v>
      </c>
      <c r="M424" s="68">
        <v>953436</v>
      </c>
      <c r="N424" s="69">
        <v>0</v>
      </c>
      <c r="O424" s="69">
        <v>0</v>
      </c>
      <c r="P424" s="69">
        <v>0</v>
      </c>
      <c r="Q424" s="69">
        <v>0</v>
      </c>
      <c r="R424" s="19">
        <f t="shared" si="55"/>
        <v>953436</v>
      </c>
      <c r="S424" s="19">
        <v>3000</v>
      </c>
      <c r="T424" s="19">
        <f t="shared" si="56"/>
        <v>956436</v>
      </c>
      <c r="U424" s="105"/>
      <c r="X424" s="10">
        <f t="shared" si="52"/>
        <v>953436</v>
      </c>
      <c r="Y424" s="2">
        <f t="shared" si="53"/>
        <v>0</v>
      </c>
      <c r="Z424" s="10">
        <f t="shared" si="57"/>
        <v>0</v>
      </c>
    </row>
    <row r="425" spans="1:26" ht="18" customHeight="1" x14ac:dyDescent="0.25">
      <c r="A425" s="11">
        <v>68</v>
      </c>
      <c r="B425" s="15" t="s">
        <v>965</v>
      </c>
      <c r="C425" s="14" t="s">
        <v>966</v>
      </c>
      <c r="D425" s="13" t="s">
        <v>22</v>
      </c>
      <c r="E425" s="14" t="s">
        <v>967</v>
      </c>
      <c r="F425" s="15" t="s">
        <v>24</v>
      </c>
      <c r="G425" s="46">
        <v>3500</v>
      </c>
      <c r="H425" s="15" t="s">
        <v>25</v>
      </c>
      <c r="I425" s="15" t="s">
        <v>968</v>
      </c>
      <c r="J425" s="15">
        <v>94007</v>
      </c>
      <c r="K425" s="15">
        <v>95837</v>
      </c>
      <c r="L425" s="68">
        <v>1830</v>
      </c>
      <c r="M425" s="68">
        <v>3110140</v>
      </c>
      <c r="N425" s="69">
        <v>0</v>
      </c>
      <c r="O425" s="69">
        <v>0</v>
      </c>
      <c r="P425" s="69">
        <v>0</v>
      </c>
      <c r="Q425" s="69">
        <v>0</v>
      </c>
      <c r="R425" s="19">
        <f t="shared" si="55"/>
        <v>3110140</v>
      </c>
      <c r="S425" s="19">
        <v>3000</v>
      </c>
      <c r="T425" s="19">
        <f t="shared" si="56"/>
        <v>3113140</v>
      </c>
      <c r="U425" s="105"/>
      <c r="X425" s="10">
        <f t="shared" si="52"/>
        <v>3110140</v>
      </c>
      <c r="Y425" s="2">
        <f t="shared" si="53"/>
        <v>0</v>
      </c>
      <c r="Z425" s="10">
        <f t="shared" si="57"/>
        <v>0</v>
      </c>
    </row>
    <row r="426" spans="1:26" ht="18" customHeight="1" x14ac:dyDescent="0.25">
      <c r="A426" s="11">
        <v>69</v>
      </c>
      <c r="B426" s="15" t="s">
        <v>969</v>
      </c>
      <c r="C426" s="14" t="s">
        <v>970</v>
      </c>
      <c r="D426" s="13" t="s">
        <v>22</v>
      </c>
      <c r="E426" s="14" t="s">
        <v>971</v>
      </c>
      <c r="F426" s="15" t="s">
        <v>24</v>
      </c>
      <c r="G426" s="46">
        <v>1300</v>
      </c>
      <c r="H426" s="15" t="s">
        <v>25</v>
      </c>
      <c r="I426" s="15" t="s">
        <v>972</v>
      </c>
      <c r="J426" s="15">
        <v>56227</v>
      </c>
      <c r="K426" s="15">
        <v>57161</v>
      </c>
      <c r="L426" s="68">
        <v>934</v>
      </c>
      <c r="M426" s="68">
        <v>1587361</v>
      </c>
      <c r="N426" s="69">
        <v>0</v>
      </c>
      <c r="O426" s="69">
        <v>0</v>
      </c>
      <c r="P426" s="69">
        <v>0</v>
      </c>
      <c r="Q426" s="69">
        <v>0</v>
      </c>
      <c r="R426" s="19">
        <f t="shared" si="55"/>
        <v>1587361</v>
      </c>
      <c r="S426" s="19">
        <v>3000</v>
      </c>
      <c r="T426" s="19">
        <f t="shared" si="56"/>
        <v>1590361</v>
      </c>
      <c r="U426" s="105"/>
      <c r="X426" s="10">
        <f t="shared" si="52"/>
        <v>1587361</v>
      </c>
      <c r="Y426" s="2">
        <f t="shared" si="53"/>
        <v>0</v>
      </c>
      <c r="Z426" s="10">
        <f t="shared" si="57"/>
        <v>0</v>
      </c>
    </row>
    <row r="427" spans="1:26" ht="18" customHeight="1" x14ac:dyDescent="0.25">
      <c r="A427" s="11">
        <v>70</v>
      </c>
      <c r="B427" s="15" t="s">
        <v>973</v>
      </c>
      <c r="C427" s="14" t="s">
        <v>974</v>
      </c>
      <c r="D427" s="13" t="s">
        <v>22</v>
      </c>
      <c r="E427" s="14" t="s">
        <v>975</v>
      </c>
      <c r="F427" s="15" t="s">
        <v>24</v>
      </c>
      <c r="G427" s="46">
        <v>5500</v>
      </c>
      <c r="H427" s="15" t="s">
        <v>25</v>
      </c>
      <c r="I427" s="15" t="s">
        <v>976</v>
      </c>
      <c r="J427" s="15">
        <v>16344</v>
      </c>
      <c r="K427" s="15">
        <v>17965</v>
      </c>
      <c r="L427" s="68">
        <v>1621</v>
      </c>
      <c r="M427" s="68">
        <v>2754938</v>
      </c>
      <c r="N427" s="69">
        <v>0</v>
      </c>
      <c r="O427" s="69">
        <v>0</v>
      </c>
      <c r="P427" s="69">
        <v>0</v>
      </c>
      <c r="Q427" s="69">
        <v>0</v>
      </c>
      <c r="R427" s="19">
        <f t="shared" si="55"/>
        <v>2754938</v>
      </c>
      <c r="S427" s="19">
        <v>3000</v>
      </c>
      <c r="T427" s="19">
        <f t="shared" si="56"/>
        <v>2757938</v>
      </c>
      <c r="U427" s="105"/>
      <c r="X427" s="10">
        <f t="shared" si="52"/>
        <v>2754938</v>
      </c>
      <c r="Y427" s="2">
        <f t="shared" si="53"/>
        <v>0</v>
      </c>
      <c r="Z427" s="10">
        <f t="shared" si="57"/>
        <v>0</v>
      </c>
    </row>
    <row r="428" spans="1:26" ht="18" customHeight="1" x14ac:dyDescent="0.25">
      <c r="A428" s="11">
        <v>71</v>
      </c>
      <c r="B428" s="15" t="s">
        <v>977</v>
      </c>
      <c r="C428" s="14" t="s">
        <v>978</v>
      </c>
      <c r="D428" s="13" t="s">
        <v>22</v>
      </c>
      <c r="E428" s="14" t="s">
        <v>975</v>
      </c>
      <c r="F428" s="15" t="s">
        <v>24</v>
      </c>
      <c r="G428" s="46">
        <v>2200</v>
      </c>
      <c r="H428" s="15" t="s">
        <v>25</v>
      </c>
      <c r="I428" s="15" t="s">
        <v>979</v>
      </c>
      <c r="J428" s="15">
        <v>60543</v>
      </c>
      <c r="K428" s="15">
        <v>61880</v>
      </c>
      <c r="L428" s="68">
        <v>1337</v>
      </c>
      <c r="M428" s="68">
        <v>2272272</v>
      </c>
      <c r="N428" s="69">
        <v>0</v>
      </c>
      <c r="O428" s="69">
        <v>0</v>
      </c>
      <c r="P428" s="69">
        <v>0</v>
      </c>
      <c r="Q428" s="69">
        <v>0</v>
      </c>
      <c r="R428" s="19">
        <f t="shared" si="55"/>
        <v>2272272</v>
      </c>
      <c r="S428" s="19">
        <v>3000</v>
      </c>
      <c r="T428" s="19">
        <f t="shared" si="56"/>
        <v>2275272</v>
      </c>
      <c r="U428" s="105"/>
      <c r="X428" s="10">
        <f t="shared" si="52"/>
        <v>2272272</v>
      </c>
      <c r="Y428" s="2">
        <f t="shared" si="53"/>
        <v>0</v>
      </c>
      <c r="Z428" s="10">
        <f t="shared" si="57"/>
        <v>0</v>
      </c>
    </row>
    <row r="429" spans="1:26" ht="18" customHeight="1" x14ac:dyDescent="0.25">
      <c r="A429" s="11">
        <v>72</v>
      </c>
      <c r="B429" s="15" t="s">
        <v>980</v>
      </c>
      <c r="C429" s="14" t="s">
        <v>981</v>
      </c>
      <c r="D429" s="13" t="s">
        <v>22</v>
      </c>
      <c r="E429" s="14" t="s">
        <v>975</v>
      </c>
      <c r="F429" s="15" t="s">
        <v>24</v>
      </c>
      <c r="G429" s="46">
        <v>4400</v>
      </c>
      <c r="H429" s="15" t="s">
        <v>25</v>
      </c>
      <c r="I429" s="15" t="s">
        <v>982</v>
      </c>
      <c r="J429" s="15">
        <v>69931</v>
      </c>
      <c r="K429" s="15">
        <v>71040</v>
      </c>
      <c r="L429" s="68">
        <v>1109</v>
      </c>
      <c r="M429" s="68">
        <v>1884779</v>
      </c>
      <c r="N429" s="69">
        <v>0</v>
      </c>
      <c r="O429" s="69">
        <v>0</v>
      </c>
      <c r="P429" s="69">
        <v>0</v>
      </c>
      <c r="Q429" s="69">
        <v>0</v>
      </c>
      <c r="R429" s="19">
        <f t="shared" si="55"/>
        <v>1884779</v>
      </c>
      <c r="S429" s="19">
        <v>3000</v>
      </c>
      <c r="T429" s="19">
        <f t="shared" si="56"/>
        <v>1887779</v>
      </c>
      <c r="U429" s="105"/>
      <c r="X429" s="10">
        <f t="shared" si="52"/>
        <v>1884779</v>
      </c>
      <c r="Y429" s="2">
        <f t="shared" si="53"/>
        <v>0</v>
      </c>
      <c r="Z429" s="10">
        <f t="shared" si="57"/>
        <v>0</v>
      </c>
    </row>
    <row r="430" spans="1:26" ht="18" customHeight="1" x14ac:dyDescent="0.25">
      <c r="A430" s="11">
        <v>73</v>
      </c>
      <c r="B430" s="15" t="s">
        <v>983</v>
      </c>
      <c r="C430" s="14" t="s">
        <v>984</v>
      </c>
      <c r="D430" s="13" t="s">
        <v>22</v>
      </c>
      <c r="E430" s="14" t="s">
        <v>985</v>
      </c>
      <c r="F430" s="15" t="s">
        <v>24</v>
      </c>
      <c r="G430" s="46">
        <v>3500</v>
      </c>
      <c r="H430" s="15" t="s">
        <v>25</v>
      </c>
      <c r="I430" s="15" t="s">
        <v>986</v>
      </c>
      <c r="J430" s="15">
        <v>63773</v>
      </c>
      <c r="K430" s="15">
        <v>64705</v>
      </c>
      <c r="L430" s="68">
        <v>932</v>
      </c>
      <c r="M430" s="68">
        <v>1583962</v>
      </c>
      <c r="N430" s="69">
        <v>0</v>
      </c>
      <c r="O430" s="69">
        <v>0</v>
      </c>
      <c r="P430" s="69">
        <v>0</v>
      </c>
      <c r="Q430" s="69">
        <v>0</v>
      </c>
      <c r="R430" s="19">
        <f t="shared" si="55"/>
        <v>1583962</v>
      </c>
      <c r="S430" s="19">
        <v>3000</v>
      </c>
      <c r="T430" s="19">
        <f t="shared" si="56"/>
        <v>1586962</v>
      </c>
      <c r="U430" s="105"/>
      <c r="X430" s="10">
        <f t="shared" si="52"/>
        <v>1583962</v>
      </c>
      <c r="Y430" s="2">
        <f t="shared" si="53"/>
        <v>0</v>
      </c>
      <c r="Z430" s="10">
        <f t="shared" si="57"/>
        <v>0</v>
      </c>
    </row>
    <row r="431" spans="1:26" ht="18" customHeight="1" x14ac:dyDescent="0.25">
      <c r="A431" s="11">
        <v>74</v>
      </c>
      <c r="B431" s="15" t="s">
        <v>987</v>
      </c>
      <c r="C431" s="14" t="s">
        <v>988</v>
      </c>
      <c r="D431" s="13" t="s">
        <v>22</v>
      </c>
      <c r="E431" s="14" t="s">
        <v>985</v>
      </c>
      <c r="F431" s="15" t="s">
        <v>24</v>
      </c>
      <c r="G431" s="46">
        <v>3500</v>
      </c>
      <c r="H431" s="15" t="s">
        <v>25</v>
      </c>
      <c r="I431" s="15" t="s">
        <v>989</v>
      </c>
      <c r="J431" s="15">
        <v>95301</v>
      </c>
      <c r="K431" s="15">
        <v>96606</v>
      </c>
      <c r="L431" s="68">
        <v>1305</v>
      </c>
      <c r="M431" s="68">
        <v>2217887</v>
      </c>
      <c r="N431" s="69">
        <v>0</v>
      </c>
      <c r="O431" s="69">
        <v>0</v>
      </c>
      <c r="P431" s="69">
        <v>0</v>
      </c>
      <c r="Q431" s="69">
        <v>0</v>
      </c>
      <c r="R431" s="19">
        <f t="shared" si="55"/>
        <v>2217887</v>
      </c>
      <c r="S431" s="19">
        <v>3000</v>
      </c>
      <c r="T431" s="19">
        <f t="shared" si="56"/>
        <v>2220887</v>
      </c>
      <c r="U431" s="105"/>
      <c r="X431" s="10">
        <f t="shared" si="52"/>
        <v>2217887</v>
      </c>
      <c r="Y431" s="2">
        <f t="shared" si="53"/>
        <v>0</v>
      </c>
      <c r="Z431" s="10">
        <f t="shared" si="57"/>
        <v>0</v>
      </c>
    </row>
    <row r="432" spans="1:26" ht="18" customHeight="1" x14ac:dyDescent="0.25">
      <c r="A432" s="11">
        <v>75</v>
      </c>
      <c r="B432" s="15" t="s">
        <v>990</v>
      </c>
      <c r="C432" s="14" t="s">
        <v>991</v>
      </c>
      <c r="D432" s="13" t="s">
        <v>22</v>
      </c>
      <c r="E432" s="14" t="s">
        <v>985</v>
      </c>
      <c r="F432" s="15" t="s">
        <v>24</v>
      </c>
      <c r="G432" s="46">
        <v>1300</v>
      </c>
      <c r="H432" s="15" t="s">
        <v>25</v>
      </c>
      <c r="I432" s="15" t="s">
        <v>992</v>
      </c>
      <c r="J432" s="15">
        <v>12694</v>
      </c>
      <c r="K432" s="15">
        <v>12869</v>
      </c>
      <c r="L432" s="68">
        <v>175</v>
      </c>
      <c r="M432" s="68">
        <v>297418</v>
      </c>
      <c r="N432" s="69">
        <v>0</v>
      </c>
      <c r="O432" s="69">
        <v>0</v>
      </c>
      <c r="P432" s="69">
        <v>0</v>
      </c>
      <c r="Q432" s="69">
        <v>0</v>
      </c>
      <c r="R432" s="19">
        <f t="shared" si="55"/>
        <v>297418</v>
      </c>
      <c r="S432" s="19">
        <v>3000</v>
      </c>
      <c r="T432" s="19">
        <f t="shared" si="56"/>
        <v>300418</v>
      </c>
      <c r="U432" s="105"/>
      <c r="X432" s="10">
        <f t="shared" si="52"/>
        <v>297418</v>
      </c>
      <c r="Y432" s="2">
        <f t="shared" si="53"/>
        <v>0</v>
      </c>
      <c r="Z432" s="10">
        <f t="shared" si="57"/>
        <v>0</v>
      </c>
    </row>
    <row r="433" spans="1:26" ht="18" customHeight="1" x14ac:dyDescent="0.25">
      <c r="A433" s="11">
        <v>76</v>
      </c>
      <c r="B433" s="15" t="s">
        <v>993</v>
      </c>
      <c r="C433" s="14" t="s">
        <v>988</v>
      </c>
      <c r="D433" s="13" t="s">
        <v>28</v>
      </c>
      <c r="E433" s="14" t="s">
        <v>994</v>
      </c>
      <c r="F433" s="15" t="s">
        <v>24</v>
      </c>
      <c r="G433" s="46">
        <v>1300</v>
      </c>
      <c r="H433" s="15" t="s">
        <v>25</v>
      </c>
      <c r="I433" s="15" t="s">
        <v>995</v>
      </c>
      <c r="J433" s="15">
        <v>42270</v>
      </c>
      <c r="K433" s="15">
        <v>42703</v>
      </c>
      <c r="L433" s="68">
        <v>433</v>
      </c>
      <c r="M433" s="68">
        <v>735896</v>
      </c>
      <c r="N433" s="69">
        <v>0</v>
      </c>
      <c r="O433" s="69">
        <v>0</v>
      </c>
      <c r="P433" s="69">
        <v>0</v>
      </c>
      <c r="Q433" s="69">
        <v>0</v>
      </c>
      <c r="R433" s="19">
        <f t="shared" si="55"/>
        <v>735896</v>
      </c>
      <c r="S433" s="19">
        <v>3000</v>
      </c>
      <c r="T433" s="19">
        <f t="shared" si="56"/>
        <v>738896</v>
      </c>
      <c r="U433" s="105"/>
      <c r="X433" s="10">
        <f t="shared" si="52"/>
        <v>735896</v>
      </c>
      <c r="Y433" s="2">
        <f t="shared" si="53"/>
        <v>0</v>
      </c>
      <c r="Z433" s="10">
        <f t="shared" si="57"/>
        <v>0</v>
      </c>
    </row>
    <row r="434" spans="1:26" ht="18" customHeight="1" x14ac:dyDescent="0.25">
      <c r="A434" s="11">
        <v>77</v>
      </c>
      <c r="B434" s="15" t="s">
        <v>996</v>
      </c>
      <c r="C434" s="14" t="s">
        <v>997</v>
      </c>
      <c r="D434" s="13" t="s">
        <v>68</v>
      </c>
      <c r="E434" s="14" t="s">
        <v>998</v>
      </c>
      <c r="F434" s="15" t="s">
        <v>24</v>
      </c>
      <c r="G434" s="46">
        <v>1300</v>
      </c>
      <c r="H434" s="15" t="s">
        <v>25</v>
      </c>
      <c r="I434" s="15" t="s">
        <v>999</v>
      </c>
      <c r="J434" s="15">
        <v>55442</v>
      </c>
      <c r="K434" s="15">
        <v>55497</v>
      </c>
      <c r="L434" s="68">
        <v>55</v>
      </c>
      <c r="M434" s="68">
        <v>93474</v>
      </c>
      <c r="N434" s="69">
        <v>0</v>
      </c>
      <c r="O434" s="69">
        <v>0</v>
      </c>
      <c r="P434" s="69">
        <v>0</v>
      </c>
      <c r="Q434" s="69">
        <v>0</v>
      </c>
      <c r="R434" s="19">
        <f t="shared" si="55"/>
        <v>93474</v>
      </c>
      <c r="S434" s="19">
        <v>3000</v>
      </c>
      <c r="T434" s="19">
        <f t="shared" si="56"/>
        <v>96474</v>
      </c>
      <c r="U434" s="105"/>
      <c r="X434" s="10">
        <f t="shared" si="52"/>
        <v>93474</v>
      </c>
      <c r="Y434" s="2">
        <f t="shared" si="53"/>
        <v>0</v>
      </c>
      <c r="Z434" s="10">
        <f t="shared" si="57"/>
        <v>0</v>
      </c>
    </row>
    <row r="435" spans="1:26" ht="18" customHeight="1" x14ac:dyDescent="0.25">
      <c r="A435" s="11">
        <v>78</v>
      </c>
      <c r="B435" s="15" t="s">
        <v>1000</v>
      </c>
      <c r="C435" s="14" t="s">
        <v>1001</v>
      </c>
      <c r="D435" s="13" t="s">
        <v>22</v>
      </c>
      <c r="E435" s="14" t="s">
        <v>1002</v>
      </c>
      <c r="F435" s="15" t="s">
        <v>24</v>
      </c>
      <c r="G435" s="46">
        <v>4400</v>
      </c>
      <c r="H435" s="15" t="s">
        <v>25</v>
      </c>
      <c r="I435" s="15" t="s">
        <v>1003</v>
      </c>
      <c r="J435" s="15">
        <v>74331</v>
      </c>
      <c r="K435" s="15">
        <v>75539</v>
      </c>
      <c r="L435" s="68">
        <v>1208</v>
      </c>
      <c r="M435" s="68">
        <v>2053032</v>
      </c>
      <c r="N435" s="69">
        <v>0</v>
      </c>
      <c r="O435" s="69">
        <v>0</v>
      </c>
      <c r="P435" s="69">
        <v>0</v>
      </c>
      <c r="Q435" s="69">
        <v>0</v>
      </c>
      <c r="R435" s="19">
        <f t="shared" si="55"/>
        <v>2053032</v>
      </c>
      <c r="S435" s="19">
        <v>3000</v>
      </c>
      <c r="T435" s="19">
        <f t="shared" si="56"/>
        <v>2056032</v>
      </c>
      <c r="U435" s="105"/>
      <c r="X435" s="10">
        <f t="shared" si="52"/>
        <v>2053032</v>
      </c>
      <c r="Y435" s="2">
        <f t="shared" si="53"/>
        <v>0</v>
      </c>
      <c r="Z435" s="10">
        <f t="shared" si="57"/>
        <v>0</v>
      </c>
    </row>
    <row r="436" spans="1:26" ht="18" customHeight="1" x14ac:dyDescent="0.25">
      <c r="A436" s="11">
        <v>79</v>
      </c>
      <c r="B436" s="15" t="s">
        <v>1004</v>
      </c>
      <c r="C436" s="14" t="s">
        <v>1005</v>
      </c>
      <c r="D436" s="13" t="s">
        <v>22</v>
      </c>
      <c r="E436" s="14" t="s">
        <v>971</v>
      </c>
      <c r="F436" s="15" t="s">
        <v>24</v>
      </c>
      <c r="G436" s="46">
        <v>3500</v>
      </c>
      <c r="H436" s="15" t="s">
        <v>25</v>
      </c>
      <c r="I436" s="15" t="s">
        <v>1006</v>
      </c>
      <c r="J436" s="15">
        <v>15655</v>
      </c>
      <c r="K436" s="15">
        <v>15655</v>
      </c>
      <c r="L436" s="68">
        <v>140</v>
      </c>
      <c r="M436" s="68">
        <v>237934</v>
      </c>
      <c r="N436" s="69">
        <v>0</v>
      </c>
      <c r="O436" s="69">
        <v>0</v>
      </c>
      <c r="P436" s="69">
        <v>0</v>
      </c>
      <c r="Q436" s="69">
        <v>0</v>
      </c>
      <c r="R436" s="19">
        <f t="shared" si="55"/>
        <v>237934</v>
      </c>
      <c r="S436" s="19">
        <v>3000</v>
      </c>
      <c r="T436" s="19">
        <f t="shared" si="56"/>
        <v>240934</v>
      </c>
      <c r="U436" s="105"/>
      <c r="X436" s="10">
        <f t="shared" si="52"/>
        <v>237934</v>
      </c>
      <c r="Y436" s="2">
        <f t="shared" si="53"/>
        <v>0</v>
      </c>
      <c r="Z436" s="10">
        <f t="shared" si="57"/>
        <v>0</v>
      </c>
    </row>
    <row r="437" spans="1:26" ht="18" customHeight="1" x14ac:dyDescent="0.25">
      <c r="A437" s="11">
        <v>80</v>
      </c>
      <c r="B437" s="15" t="s">
        <v>1007</v>
      </c>
      <c r="C437" s="14" t="s">
        <v>1008</v>
      </c>
      <c r="D437" s="13" t="s">
        <v>28</v>
      </c>
      <c r="E437" s="14" t="s">
        <v>994</v>
      </c>
      <c r="F437" s="15" t="s">
        <v>24</v>
      </c>
      <c r="G437" s="46">
        <v>2200</v>
      </c>
      <c r="H437" s="15" t="s">
        <v>25</v>
      </c>
      <c r="I437" s="15" t="s">
        <v>1009</v>
      </c>
      <c r="J437" s="15">
        <v>56697</v>
      </c>
      <c r="K437" s="15">
        <v>57258</v>
      </c>
      <c r="L437" s="68">
        <v>561</v>
      </c>
      <c r="M437" s="68">
        <v>953436</v>
      </c>
      <c r="N437" s="69">
        <v>0</v>
      </c>
      <c r="O437" s="69">
        <v>0</v>
      </c>
      <c r="P437" s="69">
        <v>0</v>
      </c>
      <c r="Q437" s="69">
        <v>0</v>
      </c>
      <c r="R437" s="19">
        <f t="shared" si="55"/>
        <v>953436</v>
      </c>
      <c r="S437" s="19">
        <v>3000</v>
      </c>
      <c r="T437" s="19">
        <f t="shared" si="56"/>
        <v>956436</v>
      </c>
      <c r="U437" s="105"/>
      <c r="X437" s="10">
        <f t="shared" si="52"/>
        <v>953436</v>
      </c>
      <c r="Y437" s="2">
        <f t="shared" si="53"/>
        <v>0</v>
      </c>
      <c r="Z437" s="10">
        <f t="shared" si="57"/>
        <v>0</v>
      </c>
    </row>
    <row r="438" spans="1:26" s="25" customFormat="1" ht="18" customHeight="1" x14ac:dyDescent="0.25">
      <c r="A438" s="14"/>
      <c r="B438" s="15"/>
      <c r="C438" s="14"/>
      <c r="D438" s="14"/>
      <c r="E438" s="14"/>
      <c r="F438" s="15"/>
      <c r="G438" s="15"/>
      <c r="H438" s="15"/>
      <c r="I438" s="15" t="s">
        <v>0</v>
      </c>
      <c r="J438" s="15"/>
      <c r="K438" s="15"/>
      <c r="L438" s="18" t="s">
        <v>0</v>
      </c>
      <c r="M438" s="19"/>
      <c r="N438" s="38"/>
      <c r="O438" s="38"/>
      <c r="P438" s="38"/>
      <c r="Q438" s="38"/>
      <c r="R438" s="37"/>
      <c r="S438" s="37"/>
      <c r="T438" s="37"/>
      <c r="U438" s="147"/>
      <c r="X438" s="10">
        <f t="shared" si="52"/>
        <v>0</v>
      </c>
      <c r="Y438" s="2">
        <f t="shared" si="53"/>
        <v>0</v>
      </c>
      <c r="Z438" s="10"/>
    </row>
    <row r="439" spans="1:26" ht="33" customHeight="1" x14ac:dyDescent="0.25">
      <c r="A439" s="34" t="s">
        <v>139</v>
      </c>
      <c r="B439" s="9"/>
      <c r="C439" s="9"/>
      <c r="D439" s="9"/>
      <c r="E439" s="9"/>
      <c r="F439" s="9"/>
      <c r="G439" s="61">
        <f>SUM(G397:G438)</f>
        <v>414100</v>
      </c>
      <c r="H439" s="61">
        <f t="shared" ref="H439:R439" si="58">SUM(H397:H438)</f>
        <v>0</v>
      </c>
      <c r="I439" s="61">
        <f t="shared" si="58"/>
        <v>0</v>
      </c>
      <c r="J439" s="61"/>
      <c r="K439" s="61"/>
      <c r="L439" s="61">
        <f t="shared" si="58"/>
        <v>72069</v>
      </c>
      <c r="M439" s="61">
        <f t="shared" si="58"/>
        <v>122483427</v>
      </c>
      <c r="N439" s="61">
        <f t="shared" si="58"/>
        <v>0</v>
      </c>
      <c r="O439" s="61">
        <f t="shared" si="58"/>
        <v>0</v>
      </c>
      <c r="P439" s="61">
        <f t="shared" si="58"/>
        <v>0</v>
      </c>
      <c r="Q439" s="61">
        <f t="shared" si="58"/>
        <v>10000</v>
      </c>
      <c r="R439" s="61">
        <f t="shared" si="58"/>
        <v>122493427</v>
      </c>
      <c r="S439" s="61">
        <f>SUM(S397:S438)</f>
        <v>240000</v>
      </c>
      <c r="T439" s="61">
        <f>SUM(T397:T438)</f>
        <v>122733427</v>
      </c>
      <c r="U439" s="28"/>
      <c r="W439" s="62"/>
      <c r="X439" s="10">
        <f t="shared" si="52"/>
        <v>122483427</v>
      </c>
      <c r="Y439" s="2">
        <f t="shared" si="53"/>
        <v>10000</v>
      </c>
      <c r="Z439" s="10"/>
    </row>
    <row r="440" spans="1:26" ht="18" customHeight="1" x14ac:dyDescent="0.25">
      <c r="L440" s="31"/>
      <c r="X440" s="10">
        <f t="shared" si="52"/>
        <v>0</v>
      </c>
      <c r="Y440" s="2">
        <f t="shared" si="53"/>
        <v>0</v>
      </c>
      <c r="Z440" s="10"/>
    </row>
    <row r="441" spans="1:26" ht="18" customHeight="1" x14ac:dyDescent="0.25">
      <c r="E441" s="80"/>
      <c r="G441" s="39"/>
      <c r="H441" s="39"/>
      <c r="L441" s="31"/>
      <c r="X441" s="10">
        <f t="shared" si="52"/>
        <v>0</v>
      </c>
      <c r="Y441" s="2">
        <f t="shared" si="53"/>
        <v>0</v>
      </c>
      <c r="Z441" s="10"/>
    </row>
    <row r="442" spans="1:26" ht="18" customHeight="1" x14ac:dyDescent="0.25">
      <c r="E442" s="80"/>
      <c r="G442" s="39"/>
      <c r="H442" s="39"/>
      <c r="L442" s="31"/>
      <c r="X442" s="10">
        <f t="shared" si="52"/>
        <v>0</v>
      </c>
      <c r="Y442" s="2">
        <f t="shared" si="53"/>
        <v>0</v>
      </c>
      <c r="Z442" s="10"/>
    </row>
    <row r="443" spans="1:26" ht="18" customHeight="1" x14ac:dyDescent="0.25">
      <c r="C443" s="2" t="s">
        <v>140</v>
      </c>
      <c r="E443" s="2" t="s">
        <v>140</v>
      </c>
      <c r="L443" s="31"/>
      <c r="X443" s="10">
        <f t="shared" si="52"/>
        <v>0</v>
      </c>
      <c r="Y443" s="2">
        <f t="shared" si="53"/>
        <v>0</v>
      </c>
      <c r="Z443" s="10"/>
    </row>
    <row r="444" spans="1:26" s="84" customFormat="1" ht="39" customHeight="1" x14ac:dyDescent="0.25">
      <c r="A444" s="9" t="s">
        <v>4</v>
      </c>
      <c r="B444" s="21" t="s">
        <v>5</v>
      </c>
      <c r="C444" s="21" t="s">
        <v>6</v>
      </c>
      <c r="D444" s="12"/>
      <c r="E444" s="9" t="s">
        <v>7</v>
      </c>
      <c r="F444" s="21" t="s">
        <v>8</v>
      </c>
      <c r="G444" s="21" t="s">
        <v>9</v>
      </c>
      <c r="H444" s="21" t="s">
        <v>10</v>
      </c>
      <c r="I444" s="21" t="s">
        <v>11</v>
      </c>
      <c r="J444" s="21" t="s">
        <v>12</v>
      </c>
      <c r="K444" s="21" t="s">
        <v>13</v>
      </c>
      <c r="L444" s="21" t="s">
        <v>14</v>
      </c>
      <c r="M444" s="143" t="s">
        <v>15</v>
      </c>
      <c r="N444" s="144" t="s">
        <v>16</v>
      </c>
      <c r="O444" s="144" t="s">
        <v>17</v>
      </c>
      <c r="P444" s="144" t="s">
        <v>18</v>
      </c>
      <c r="Q444" s="144" t="s">
        <v>19</v>
      </c>
      <c r="R444" s="143" t="s">
        <v>20</v>
      </c>
      <c r="S444" s="143" t="s">
        <v>3471</v>
      </c>
      <c r="T444" s="143" t="s">
        <v>3472</v>
      </c>
      <c r="U444" s="145"/>
      <c r="V444" s="145"/>
      <c r="W444" s="145"/>
      <c r="X444" s="145"/>
    </row>
    <row r="445" spans="1:26" ht="18" customHeight="1" x14ac:dyDescent="0.25">
      <c r="A445" s="34"/>
      <c r="B445" s="9"/>
      <c r="C445" s="15"/>
      <c r="D445" s="15"/>
      <c r="E445" s="15"/>
      <c r="F445" s="15"/>
      <c r="G445" s="15"/>
      <c r="H445" s="15"/>
      <c r="I445" s="15" t="s">
        <v>0</v>
      </c>
      <c r="J445" s="15"/>
      <c r="K445" s="15"/>
      <c r="L445" s="18" t="s">
        <v>0</v>
      </c>
      <c r="M445" s="19"/>
      <c r="N445" s="20"/>
      <c r="O445" s="20"/>
      <c r="P445" s="20"/>
      <c r="Q445" s="20"/>
      <c r="R445" s="19"/>
      <c r="S445" s="19"/>
      <c r="T445" s="19"/>
      <c r="U445" s="105"/>
      <c r="X445" s="10">
        <f t="shared" si="52"/>
        <v>0</v>
      </c>
      <c r="Y445" s="2">
        <f t="shared" si="53"/>
        <v>0</v>
      </c>
      <c r="Z445" s="10"/>
    </row>
    <row r="446" spans="1:26" ht="18" customHeight="1" x14ac:dyDescent="0.25">
      <c r="A446" s="34"/>
      <c r="B446" s="9"/>
      <c r="C446" s="15"/>
      <c r="D446" s="15"/>
      <c r="E446" s="35" t="s">
        <v>141</v>
      </c>
      <c r="F446" s="15"/>
      <c r="G446" s="61">
        <f>G439</f>
        <v>414100</v>
      </c>
      <c r="H446" s="61">
        <f t="shared" ref="H446:R446" si="59">H439</f>
        <v>0</v>
      </c>
      <c r="I446" s="61">
        <f t="shared" si="59"/>
        <v>0</v>
      </c>
      <c r="J446" s="61"/>
      <c r="K446" s="61"/>
      <c r="L446" s="61">
        <f t="shared" si="59"/>
        <v>72069</v>
      </c>
      <c r="M446" s="64">
        <f t="shared" si="59"/>
        <v>122483427</v>
      </c>
      <c r="N446" s="65">
        <f t="shared" si="59"/>
        <v>0</v>
      </c>
      <c r="O446" s="65">
        <f t="shared" si="59"/>
        <v>0</v>
      </c>
      <c r="P446" s="65">
        <f t="shared" si="59"/>
        <v>0</v>
      </c>
      <c r="Q446" s="65">
        <f t="shared" si="59"/>
        <v>10000</v>
      </c>
      <c r="R446" s="64">
        <f t="shared" si="59"/>
        <v>122493427</v>
      </c>
      <c r="S446" s="64">
        <f>S439</f>
        <v>240000</v>
      </c>
      <c r="T446" s="64">
        <f>T439</f>
        <v>122733427</v>
      </c>
      <c r="U446" s="148"/>
      <c r="X446" s="10">
        <f t="shared" si="52"/>
        <v>122483427</v>
      </c>
      <c r="Y446" s="2">
        <f t="shared" si="53"/>
        <v>10000</v>
      </c>
      <c r="Z446" s="10">
        <f t="shared" ref="Z446:Z487" si="60">Q446-Y446</f>
        <v>0</v>
      </c>
    </row>
    <row r="447" spans="1:26" ht="18" customHeight="1" x14ac:dyDescent="0.25">
      <c r="A447" s="11">
        <v>81</v>
      </c>
      <c r="B447" s="67" t="s">
        <v>1010</v>
      </c>
      <c r="C447" s="14" t="s">
        <v>1011</v>
      </c>
      <c r="D447" s="13" t="s">
        <v>28</v>
      </c>
      <c r="E447" s="14" t="s">
        <v>994</v>
      </c>
      <c r="F447" s="15" t="s">
        <v>24</v>
      </c>
      <c r="G447" s="46">
        <v>2200</v>
      </c>
      <c r="H447" s="15" t="s">
        <v>25</v>
      </c>
      <c r="I447" s="15" t="s">
        <v>1012</v>
      </c>
      <c r="J447" s="15">
        <v>116602</v>
      </c>
      <c r="K447" s="15">
        <v>116756</v>
      </c>
      <c r="L447" s="68">
        <v>154</v>
      </c>
      <c r="M447" s="68">
        <v>261728</v>
      </c>
      <c r="N447" s="69">
        <v>0</v>
      </c>
      <c r="O447" s="69">
        <v>0</v>
      </c>
      <c r="P447" s="69">
        <v>0</v>
      </c>
      <c r="Q447" s="69">
        <v>0</v>
      </c>
      <c r="R447" s="19">
        <f t="shared" ref="R447:R486" si="61">M447+N447+O447+P447+Q447</f>
        <v>261728</v>
      </c>
      <c r="S447" s="19">
        <v>3000</v>
      </c>
      <c r="T447" s="19">
        <f t="shared" ref="T447:T486" si="62">R447+S447</f>
        <v>264728</v>
      </c>
      <c r="U447" s="105"/>
      <c r="X447" s="10">
        <f t="shared" si="52"/>
        <v>261728</v>
      </c>
      <c r="Y447" s="2">
        <f t="shared" si="53"/>
        <v>0</v>
      </c>
      <c r="Z447" s="10">
        <f t="shared" si="60"/>
        <v>0</v>
      </c>
    </row>
    <row r="448" spans="1:26" ht="18" customHeight="1" x14ac:dyDescent="0.25">
      <c r="A448" s="11">
        <v>82</v>
      </c>
      <c r="B448" s="67" t="s">
        <v>1013</v>
      </c>
      <c r="C448" s="14" t="s">
        <v>1014</v>
      </c>
      <c r="D448" s="13" t="s">
        <v>22</v>
      </c>
      <c r="E448" s="14" t="s">
        <v>1015</v>
      </c>
      <c r="F448" s="15" t="s">
        <v>24</v>
      </c>
      <c r="G448" s="46">
        <v>2200</v>
      </c>
      <c r="H448" s="15" t="s">
        <v>25</v>
      </c>
      <c r="I448" s="15" t="s">
        <v>1016</v>
      </c>
      <c r="J448" s="15">
        <v>79329</v>
      </c>
      <c r="K448" s="15">
        <v>79780</v>
      </c>
      <c r="L448" s="68">
        <v>451</v>
      </c>
      <c r="M448" s="68">
        <v>766488</v>
      </c>
      <c r="N448" s="69">
        <v>0</v>
      </c>
      <c r="O448" s="69">
        <v>0</v>
      </c>
      <c r="P448" s="69">
        <v>0</v>
      </c>
      <c r="Q448" s="69">
        <v>0</v>
      </c>
      <c r="R448" s="19">
        <f t="shared" si="61"/>
        <v>766488</v>
      </c>
      <c r="S448" s="19">
        <v>3000</v>
      </c>
      <c r="T448" s="19">
        <f t="shared" si="62"/>
        <v>769488</v>
      </c>
      <c r="U448" s="105"/>
      <c r="X448" s="10">
        <f t="shared" si="52"/>
        <v>766488</v>
      </c>
      <c r="Y448" s="2">
        <f t="shared" si="53"/>
        <v>0</v>
      </c>
      <c r="Z448" s="10">
        <f t="shared" si="60"/>
        <v>0</v>
      </c>
    </row>
    <row r="449" spans="1:26" ht="18" customHeight="1" x14ac:dyDescent="0.25">
      <c r="A449" s="11">
        <v>83</v>
      </c>
      <c r="B449" s="67" t="s">
        <v>1017</v>
      </c>
      <c r="C449" s="14" t="s">
        <v>1018</v>
      </c>
      <c r="D449" s="13" t="s">
        <v>22</v>
      </c>
      <c r="E449" s="14" t="s">
        <v>1015</v>
      </c>
      <c r="F449" s="15" t="s">
        <v>24</v>
      </c>
      <c r="G449" s="46">
        <v>2200</v>
      </c>
      <c r="H449" s="15" t="s">
        <v>25</v>
      </c>
      <c r="I449" s="15" t="s">
        <v>1019</v>
      </c>
      <c r="J449" s="15">
        <v>138526</v>
      </c>
      <c r="K449" s="15">
        <v>139212</v>
      </c>
      <c r="L449" s="68">
        <v>686</v>
      </c>
      <c r="M449" s="68">
        <v>1165878</v>
      </c>
      <c r="N449" s="69">
        <v>0</v>
      </c>
      <c r="O449" s="69">
        <v>0</v>
      </c>
      <c r="P449" s="69">
        <v>0</v>
      </c>
      <c r="Q449" s="69">
        <v>0</v>
      </c>
      <c r="R449" s="19">
        <f t="shared" si="61"/>
        <v>1165878</v>
      </c>
      <c r="S449" s="19">
        <v>3000</v>
      </c>
      <c r="T449" s="19">
        <f t="shared" si="62"/>
        <v>1168878</v>
      </c>
      <c r="U449" s="105"/>
      <c r="X449" s="10">
        <f t="shared" si="52"/>
        <v>1165878</v>
      </c>
      <c r="Y449" s="2">
        <f t="shared" si="53"/>
        <v>0</v>
      </c>
      <c r="Z449" s="10">
        <f t="shared" si="60"/>
        <v>0</v>
      </c>
    </row>
    <row r="450" spans="1:26" ht="18" customHeight="1" x14ac:dyDescent="0.25">
      <c r="A450" s="11">
        <v>84</v>
      </c>
      <c r="B450" s="67" t="s">
        <v>1020</v>
      </c>
      <c r="C450" s="14" t="s">
        <v>1021</v>
      </c>
      <c r="D450" s="13" t="s">
        <v>22</v>
      </c>
      <c r="E450" s="14" t="s">
        <v>985</v>
      </c>
      <c r="F450" s="15" t="s">
        <v>24</v>
      </c>
      <c r="G450" s="46">
        <v>3500</v>
      </c>
      <c r="H450" s="15" t="s">
        <v>25</v>
      </c>
      <c r="I450" s="15" t="s">
        <v>1022</v>
      </c>
      <c r="J450" s="15">
        <v>26660</v>
      </c>
      <c r="K450" s="15">
        <v>27019</v>
      </c>
      <c r="L450" s="68">
        <v>359</v>
      </c>
      <c r="M450" s="68">
        <v>610131</v>
      </c>
      <c r="N450" s="69">
        <v>0</v>
      </c>
      <c r="O450" s="69">
        <v>0</v>
      </c>
      <c r="P450" s="69">
        <v>0</v>
      </c>
      <c r="Q450" s="69">
        <v>0</v>
      </c>
      <c r="R450" s="19">
        <f t="shared" si="61"/>
        <v>610131</v>
      </c>
      <c r="S450" s="19">
        <v>3000</v>
      </c>
      <c r="T450" s="19">
        <f t="shared" si="62"/>
        <v>613131</v>
      </c>
      <c r="U450" s="105"/>
      <c r="X450" s="10">
        <f t="shared" si="52"/>
        <v>610131</v>
      </c>
      <c r="Y450" s="2">
        <f t="shared" si="53"/>
        <v>0</v>
      </c>
      <c r="Z450" s="10">
        <f t="shared" si="60"/>
        <v>0</v>
      </c>
    </row>
    <row r="451" spans="1:26" ht="18" customHeight="1" x14ac:dyDescent="0.25">
      <c r="A451" s="11">
        <v>85</v>
      </c>
      <c r="B451" s="67" t="s">
        <v>1023</v>
      </c>
      <c r="C451" s="14" t="s">
        <v>1024</v>
      </c>
      <c r="D451" s="13" t="s">
        <v>68</v>
      </c>
      <c r="E451" s="14" t="s">
        <v>1025</v>
      </c>
      <c r="F451" s="15" t="s">
        <v>24</v>
      </c>
      <c r="G451" s="46">
        <v>3500</v>
      </c>
      <c r="H451" s="15" t="s">
        <v>25</v>
      </c>
      <c r="I451" s="15" t="s">
        <v>1026</v>
      </c>
      <c r="J451" s="15">
        <v>59751</v>
      </c>
      <c r="K451" s="15">
        <v>61005</v>
      </c>
      <c r="L451" s="68">
        <v>1254</v>
      </c>
      <c r="M451" s="68">
        <v>2131211</v>
      </c>
      <c r="N451" s="69">
        <v>0</v>
      </c>
      <c r="O451" s="69">
        <v>0</v>
      </c>
      <c r="P451" s="69">
        <v>0</v>
      </c>
      <c r="Q451" s="69">
        <v>0</v>
      </c>
      <c r="R451" s="19">
        <f t="shared" si="61"/>
        <v>2131211</v>
      </c>
      <c r="S451" s="19">
        <v>3000</v>
      </c>
      <c r="T451" s="19">
        <f t="shared" si="62"/>
        <v>2134211</v>
      </c>
      <c r="U451" s="105"/>
      <c r="X451" s="10">
        <f t="shared" si="52"/>
        <v>2131211</v>
      </c>
      <c r="Y451" s="2">
        <f t="shared" si="53"/>
        <v>0</v>
      </c>
      <c r="Z451" s="10">
        <f t="shared" si="60"/>
        <v>0</v>
      </c>
    </row>
    <row r="452" spans="1:26" ht="18" customHeight="1" x14ac:dyDescent="0.25">
      <c r="A452" s="11">
        <v>86</v>
      </c>
      <c r="B452" s="67" t="s">
        <v>1027</v>
      </c>
      <c r="C452" s="14" t="s">
        <v>1028</v>
      </c>
      <c r="D452" s="13" t="s">
        <v>68</v>
      </c>
      <c r="E452" s="14" t="s">
        <v>811</v>
      </c>
      <c r="F452" s="15" t="s">
        <v>24</v>
      </c>
      <c r="G452" s="46">
        <v>1300</v>
      </c>
      <c r="H452" s="15" t="s">
        <v>25</v>
      </c>
      <c r="I452" s="15" t="s">
        <v>1029</v>
      </c>
      <c r="J452" s="15">
        <v>7591</v>
      </c>
      <c r="K452" s="15">
        <v>7723</v>
      </c>
      <c r="L452" s="68">
        <v>132</v>
      </c>
      <c r="M452" s="68">
        <v>224338</v>
      </c>
      <c r="N452" s="69">
        <v>0</v>
      </c>
      <c r="O452" s="69">
        <v>0</v>
      </c>
      <c r="P452" s="69">
        <v>0</v>
      </c>
      <c r="Q452" s="69">
        <v>0</v>
      </c>
      <c r="R452" s="19">
        <f t="shared" si="61"/>
        <v>224338</v>
      </c>
      <c r="S452" s="19">
        <v>3000</v>
      </c>
      <c r="T452" s="19">
        <f t="shared" si="62"/>
        <v>227338</v>
      </c>
      <c r="U452" s="105"/>
      <c r="X452" s="10">
        <f t="shared" si="52"/>
        <v>224338</v>
      </c>
      <c r="Y452" s="2">
        <f t="shared" si="53"/>
        <v>0</v>
      </c>
      <c r="Z452" s="10">
        <f t="shared" si="60"/>
        <v>0</v>
      </c>
    </row>
    <row r="453" spans="1:26" ht="18" customHeight="1" x14ac:dyDescent="0.25">
      <c r="A453" s="11">
        <v>87</v>
      </c>
      <c r="B453" s="67" t="s">
        <v>1030</v>
      </c>
      <c r="C453" s="14" t="s">
        <v>1031</v>
      </c>
      <c r="D453" s="13" t="s">
        <v>22</v>
      </c>
      <c r="E453" s="14" t="s">
        <v>1032</v>
      </c>
      <c r="F453" s="15" t="s">
        <v>24</v>
      </c>
      <c r="G453" s="46">
        <v>7700</v>
      </c>
      <c r="H453" s="15" t="s">
        <v>25</v>
      </c>
      <c r="I453" s="15" t="s">
        <v>1033</v>
      </c>
      <c r="J453" s="15">
        <v>58555</v>
      </c>
      <c r="K453" s="15">
        <v>58555</v>
      </c>
      <c r="L453" s="68">
        <v>308</v>
      </c>
      <c r="M453" s="68">
        <v>523455</v>
      </c>
      <c r="N453" s="69">
        <v>0</v>
      </c>
      <c r="O453" s="69">
        <v>0</v>
      </c>
      <c r="P453" s="69">
        <v>0</v>
      </c>
      <c r="Q453" s="69">
        <v>0</v>
      </c>
      <c r="R453" s="19">
        <f t="shared" si="61"/>
        <v>523455</v>
      </c>
      <c r="S453" s="19">
        <v>3000</v>
      </c>
      <c r="T453" s="19">
        <f t="shared" si="62"/>
        <v>526455</v>
      </c>
      <c r="U453" s="105"/>
      <c r="X453" s="10">
        <f t="shared" si="52"/>
        <v>523455</v>
      </c>
      <c r="Y453" s="2">
        <f t="shared" si="53"/>
        <v>0</v>
      </c>
      <c r="Z453" s="10">
        <f t="shared" si="60"/>
        <v>0</v>
      </c>
    </row>
    <row r="454" spans="1:26" ht="18" customHeight="1" x14ac:dyDescent="0.25">
      <c r="A454" s="11">
        <v>88</v>
      </c>
      <c r="B454" s="67" t="s">
        <v>1034</v>
      </c>
      <c r="C454" s="14" t="s">
        <v>1035</v>
      </c>
      <c r="D454" s="13" t="s">
        <v>22</v>
      </c>
      <c r="E454" s="14" t="s">
        <v>1036</v>
      </c>
      <c r="F454" s="15" t="s">
        <v>24</v>
      </c>
      <c r="G454" s="46">
        <v>2200</v>
      </c>
      <c r="H454" s="15" t="s">
        <v>25</v>
      </c>
      <c r="I454" s="15" t="s">
        <v>1037</v>
      </c>
      <c r="J454" s="15">
        <v>56697</v>
      </c>
      <c r="K454" s="15">
        <v>57408</v>
      </c>
      <c r="L454" s="68">
        <v>711</v>
      </c>
      <c r="M454" s="68">
        <v>1208366</v>
      </c>
      <c r="N454" s="69">
        <v>0</v>
      </c>
      <c r="O454" s="69">
        <v>0</v>
      </c>
      <c r="P454" s="69">
        <v>0</v>
      </c>
      <c r="Q454" s="69">
        <v>0</v>
      </c>
      <c r="R454" s="19">
        <f t="shared" si="61"/>
        <v>1208366</v>
      </c>
      <c r="S454" s="19">
        <v>3000</v>
      </c>
      <c r="T454" s="19">
        <f t="shared" si="62"/>
        <v>1211366</v>
      </c>
      <c r="U454" s="105"/>
      <c r="X454" s="10">
        <f t="shared" si="52"/>
        <v>1208366</v>
      </c>
      <c r="Y454" s="2">
        <f t="shared" si="53"/>
        <v>0</v>
      </c>
      <c r="Z454" s="10">
        <f t="shared" si="60"/>
        <v>0</v>
      </c>
    </row>
    <row r="455" spans="1:26" ht="18" customHeight="1" x14ac:dyDescent="0.25">
      <c r="A455" s="11">
        <v>89</v>
      </c>
      <c r="B455" s="67" t="s">
        <v>1038</v>
      </c>
      <c r="C455" s="14" t="s">
        <v>1039</v>
      </c>
      <c r="D455" s="13" t="s">
        <v>22</v>
      </c>
      <c r="E455" s="14" t="s">
        <v>1036</v>
      </c>
      <c r="F455" s="15" t="s">
        <v>24</v>
      </c>
      <c r="G455" s="46">
        <v>4400</v>
      </c>
      <c r="H455" s="15" t="s">
        <v>25</v>
      </c>
      <c r="I455" s="15" t="s">
        <v>1040</v>
      </c>
      <c r="J455" s="15">
        <v>14090</v>
      </c>
      <c r="K455" s="15">
        <v>14851</v>
      </c>
      <c r="L455" s="68">
        <v>761</v>
      </c>
      <c r="M455" s="68">
        <v>1293342</v>
      </c>
      <c r="N455" s="69">
        <v>0</v>
      </c>
      <c r="O455" s="69">
        <v>0</v>
      </c>
      <c r="P455" s="69">
        <v>0</v>
      </c>
      <c r="Q455" s="69">
        <v>0</v>
      </c>
      <c r="R455" s="19">
        <f t="shared" si="61"/>
        <v>1293342</v>
      </c>
      <c r="S455" s="19">
        <v>3000</v>
      </c>
      <c r="T455" s="19">
        <f t="shared" si="62"/>
        <v>1296342</v>
      </c>
      <c r="U455" s="105"/>
      <c r="X455" s="10">
        <f t="shared" si="52"/>
        <v>1293342</v>
      </c>
      <c r="Y455" s="2">
        <f t="shared" si="53"/>
        <v>0</v>
      </c>
      <c r="Z455" s="10">
        <f t="shared" si="60"/>
        <v>0</v>
      </c>
    </row>
    <row r="456" spans="1:26" ht="18" customHeight="1" x14ac:dyDescent="0.25">
      <c r="A456" s="11">
        <v>90</v>
      </c>
      <c r="B456" s="67" t="s">
        <v>1041</v>
      </c>
      <c r="C456" s="14" t="s">
        <v>1042</v>
      </c>
      <c r="D456" s="13" t="s">
        <v>22</v>
      </c>
      <c r="E456" s="14" t="s">
        <v>1043</v>
      </c>
      <c r="F456" s="15" t="s">
        <v>24</v>
      </c>
      <c r="G456" s="46">
        <v>3500</v>
      </c>
      <c r="H456" s="15" t="s">
        <v>25</v>
      </c>
      <c r="I456" s="15" t="s">
        <v>1044</v>
      </c>
      <c r="J456" s="15">
        <v>4847</v>
      </c>
      <c r="K456" s="15">
        <v>5640</v>
      </c>
      <c r="L456" s="68">
        <v>793</v>
      </c>
      <c r="M456" s="68">
        <v>1347727</v>
      </c>
      <c r="N456" s="69">
        <v>0</v>
      </c>
      <c r="O456" s="69">
        <v>0</v>
      </c>
      <c r="P456" s="69">
        <v>0</v>
      </c>
      <c r="Q456" s="69">
        <v>0</v>
      </c>
      <c r="R456" s="19">
        <f t="shared" si="61"/>
        <v>1347727</v>
      </c>
      <c r="S456" s="19">
        <v>3000</v>
      </c>
      <c r="T456" s="19">
        <f t="shared" si="62"/>
        <v>1350727</v>
      </c>
      <c r="U456" s="105"/>
      <c r="X456" s="10">
        <f t="shared" si="52"/>
        <v>1347727</v>
      </c>
      <c r="Y456" s="2">
        <f t="shared" si="53"/>
        <v>0</v>
      </c>
      <c r="Z456" s="10">
        <f t="shared" si="60"/>
        <v>0</v>
      </c>
    </row>
    <row r="457" spans="1:26" ht="18" customHeight="1" x14ac:dyDescent="0.25">
      <c r="A457" s="11">
        <v>91</v>
      </c>
      <c r="B457" s="67" t="s">
        <v>1045</v>
      </c>
      <c r="C457" s="14" t="s">
        <v>1046</v>
      </c>
      <c r="D457" s="13" t="s">
        <v>22</v>
      </c>
      <c r="E457" s="14" t="s">
        <v>1047</v>
      </c>
      <c r="F457" s="15" t="s">
        <v>24</v>
      </c>
      <c r="G457" s="46">
        <v>2200</v>
      </c>
      <c r="H457" s="15" t="s">
        <v>25</v>
      </c>
      <c r="I457" s="15" t="s">
        <v>1048</v>
      </c>
      <c r="J457" s="15">
        <v>99653</v>
      </c>
      <c r="K457" s="15">
        <v>1095</v>
      </c>
      <c r="L457" s="68">
        <v>1442</v>
      </c>
      <c r="M457" s="68">
        <v>2450722</v>
      </c>
      <c r="N457" s="69">
        <v>0</v>
      </c>
      <c r="O457" s="69">
        <v>0</v>
      </c>
      <c r="P457" s="69">
        <v>0</v>
      </c>
      <c r="Q457" s="69">
        <v>0</v>
      </c>
      <c r="R457" s="19">
        <f t="shared" si="61"/>
        <v>2450722</v>
      </c>
      <c r="S457" s="19">
        <v>3000</v>
      </c>
      <c r="T457" s="19">
        <f t="shared" si="62"/>
        <v>2453722</v>
      </c>
      <c r="U457" s="105"/>
      <c r="X457" s="10">
        <f t="shared" ref="X457:X520" si="63">M457+N457+O457+P457</f>
        <v>2450722</v>
      </c>
      <c r="Y457" s="2">
        <f t="shared" ref="Y457:Y520" si="64">IF(X457&gt;5000000,10000,IF(V457&lt;5000000,0,IF(V457=5000000,10000)))</f>
        <v>0</v>
      </c>
      <c r="Z457" s="10">
        <f t="shared" si="60"/>
        <v>0</v>
      </c>
    </row>
    <row r="458" spans="1:26" ht="18" customHeight="1" x14ac:dyDescent="0.25">
      <c r="A458" s="11">
        <v>92</v>
      </c>
      <c r="B458" s="67" t="s">
        <v>1049</v>
      </c>
      <c r="C458" s="14" t="s">
        <v>1050</v>
      </c>
      <c r="D458" s="13" t="s">
        <v>22</v>
      </c>
      <c r="E458" s="14" t="s">
        <v>1051</v>
      </c>
      <c r="F458" s="15" t="s">
        <v>24</v>
      </c>
      <c r="G458" s="46">
        <v>2200</v>
      </c>
      <c r="H458" s="15" t="s">
        <v>25</v>
      </c>
      <c r="I458" s="15" t="s">
        <v>1052</v>
      </c>
      <c r="J458" s="15">
        <v>89425</v>
      </c>
      <c r="K458" s="15">
        <v>90828</v>
      </c>
      <c r="L458" s="68">
        <v>1403</v>
      </c>
      <c r="M458" s="68">
        <v>2384441</v>
      </c>
      <c r="N458" s="69">
        <v>0</v>
      </c>
      <c r="O458" s="69">
        <v>0</v>
      </c>
      <c r="P458" s="69">
        <v>0</v>
      </c>
      <c r="Q458" s="69">
        <v>0</v>
      </c>
      <c r="R458" s="19">
        <f t="shared" si="61"/>
        <v>2384441</v>
      </c>
      <c r="S458" s="19">
        <v>3000</v>
      </c>
      <c r="T458" s="19">
        <f t="shared" si="62"/>
        <v>2387441</v>
      </c>
      <c r="U458" s="105"/>
      <c r="X458" s="10">
        <f t="shared" si="63"/>
        <v>2384441</v>
      </c>
      <c r="Y458" s="2">
        <f t="shared" si="64"/>
        <v>0</v>
      </c>
      <c r="Z458" s="10">
        <f t="shared" si="60"/>
        <v>0</v>
      </c>
    </row>
    <row r="459" spans="1:26" ht="18" customHeight="1" x14ac:dyDescent="0.25">
      <c r="A459" s="11">
        <v>93</v>
      </c>
      <c r="B459" s="67" t="s">
        <v>1053</v>
      </c>
      <c r="C459" s="14" t="s">
        <v>1054</v>
      </c>
      <c r="D459" s="13" t="s">
        <v>22</v>
      </c>
      <c r="E459" s="14" t="s">
        <v>1055</v>
      </c>
      <c r="F459" s="15" t="s">
        <v>24</v>
      </c>
      <c r="G459" s="46">
        <v>4400</v>
      </c>
      <c r="H459" s="15" t="s">
        <v>25</v>
      </c>
      <c r="I459" s="15" t="s">
        <v>1056</v>
      </c>
      <c r="J459" s="15">
        <v>52603</v>
      </c>
      <c r="K459" s="15">
        <v>53577</v>
      </c>
      <c r="L459" s="68">
        <v>974</v>
      </c>
      <c r="M459" s="68">
        <v>1655342</v>
      </c>
      <c r="N459" s="69">
        <v>0</v>
      </c>
      <c r="O459" s="69">
        <v>0</v>
      </c>
      <c r="P459" s="69">
        <v>0</v>
      </c>
      <c r="Q459" s="69">
        <v>0</v>
      </c>
      <c r="R459" s="19">
        <f t="shared" si="61"/>
        <v>1655342</v>
      </c>
      <c r="S459" s="19">
        <v>3000</v>
      </c>
      <c r="T459" s="19">
        <f t="shared" si="62"/>
        <v>1658342</v>
      </c>
      <c r="U459" s="105"/>
      <c r="X459" s="10">
        <f t="shared" si="63"/>
        <v>1655342</v>
      </c>
      <c r="Y459" s="2">
        <f t="shared" si="64"/>
        <v>0</v>
      </c>
      <c r="Z459" s="10">
        <f t="shared" si="60"/>
        <v>0</v>
      </c>
    </row>
    <row r="460" spans="1:26" ht="18" customHeight="1" x14ac:dyDescent="0.25">
      <c r="A460" s="11">
        <v>94</v>
      </c>
      <c r="B460" s="67" t="s">
        <v>1057</v>
      </c>
      <c r="C460" s="14" t="s">
        <v>1058</v>
      </c>
      <c r="D460" s="13" t="s">
        <v>22</v>
      </c>
      <c r="E460" s="14" t="s">
        <v>1059</v>
      </c>
      <c r="F460" s="15" t="s">
        <v>24</v>
      </c>
      <c r="G460" s="46">
        <v>3500</v>
      </c>
      <c r="H460" s="15" t="s">
        <v>25</v>
      </c>
      <c r="I460" s="15" t="s">
        <v>1060</v>
      </c>
      <c r="J460" s="15">
        <v>42935</v>
      </c>
      <c r="K460" s="15">
        <v>43330</v>
      </c>
      <c r="L460" s="68">
        <v>395</v>
      </c>
      <c r="M460" s="68">
        <v>671314</v>
      </c>
      <c r="N460" s="69">
        <v>0</v>
      </c>
      <c r="O460" s="69">
        <v>0</v>
      </c>
      <c r="P460" s="69">
        <v>0</v>
      </c>
      <c r="Q460" s="69">
        <v>0</v>
      </c>
      <c r="R460" s="19">
        <f t="shared" si="61"/>
        <v>671314</v>
      </c>
      <c r="S460" s="19">
        <v>3000</v>
      </c>
      <c r="T460" s="19">
        <f t="shared" si="62"/>
        <v>674314</v>
      </c>
      <c r="U460" s="105"/>
      <c r="X460" s="10">
        <f t="shared" si="63"/>
        <v>671314</v>
      </c>
      <c r="Y460" s="2">
        <f t="shared" si="64"/>
        <v>0</v>
      </c>
      <c r="Z460" s="10">
        <f t="shared" si="60"/>
        <v>0</v>
      </c>
    </row>
    <row r="461" spans="1:26" ht="18" customHeight="1" x14ac:dyDescent="0.25">
      <c r="A461" s="11">
        <v>95</v>
      </c>
      <c r="B461" s="67" t="s">
        <v>1061</v>
      </c>
      <c r="C461" s="14" t="s">
        <v>1062</v>
      </c>
      <c r="D461" s="13" t="s">
        <v>22</v>
      </c>
      <c r="E461" s="14" t="s">
        <v>1063</v>
      </c>
      <c r="F461" s="15" t="s">
        <v>24</v>
      </c>
      <c r="G461" s="46">
        <v>5500</v>
      </c>
      <c r="H461" s="15" t="s">
        <v>25</v>
      </c>
      <c r="I461" s="15" t="s">
        <v>1064</v>
      </c>
      <c r="J461" s="15">
        <v>20720</v>
      </c>
      <c r="K461" s="15">
        <v>20761</v>
      </c>
      <c r="L461" s="68">
        <v>220</v>
      </c>
      <c r="M461" s="68">
        <v>373897</v>
      </c>
      <c r="N461" s="69">
        <v>0</v>
      </c>
      <c r="O461" s="69">
        <v>0</v>
      </c>
      <c r="P461" s="69">
        <v>0</v>
      </c>
      <c r="Q461" s="69">
        <v>0</v>
      </c>
      <c r="R461" s="19">
        <f t="shared" si="61"/>
        <v>373897</v>
      </c>
      <c r="S461" s="19">
        <v>3000</v>
      </c>
      <c r="T461" s="19">
        <f t="shared" si="62"/>
        <v>376897</v>
      </c>
      <c r="U461" s="105"/>
      <c r="X461" s="10">
        <f t="shared" si="63"/>
        <v>373897</v>
      </c>
      <c r="Y461" s="2">
        <f t="shared" si="64"/>
        <v>0</v>
      </c>
      <c r="Z461" s="10">
        <f t="shared" si="60"/>
        <v>0</v>
      </c>
    </row>
    <row r="462" spans="1:26" ht="18" customHeight="1" x14ac:dyDescent="0.25">
      <c r="A462" s="11">
        <v>96</v>
      </c>
      <c r="B462" s="67" t="s">
        <v>1065</v>
      </c>
      <c r="C462" s="14" t="s">
        <v>1066</v>
      </c>
      <c r="D462" s="13" t="s">
        <v>22</v>
      </c>
      <c r="E462" s="14" t="s">
        <v>1067</v>
      </c>
      <c r="F462" s="15" t="s">
        <v>24</v>
      </c>
      <c r="G462" s="46">
        <v>3500</v>
      </c>
      <c r="H462" s="15" t="s">
        <v>25</v>
      </c>
      <c r="I462" s="15" t="s">
        <v>1068</v>
      </c>
      <c r="J462" s="15">
        <v>30439</v>
      </c>
      <c r="K462" s="15">
        <v>31593</v>
      </c>
      <c r="L462" s="68">
        <v>1154</v>
      </c>
      <c r="M462" s="68">
        <v>1961258</v>
      </c>
      <c r="N462" s="69">
        <v>0</v>
      </c>
      <c r="O462" s="69">
        <v>0</v>
      </c>
      <c r="P462" s="69">
        <v>0</v>
      </c>
      <c r="Q462" s="69">
        <v>0</v>
      </c>
      <c r="R462" s="19">
        <f t="shared" si="61"/>
        <v>1961258</v>
      </c>
      <c r="S462" s="19">
        <v>3000</v>
      </c>
      <c r="T462" s="19">
        <f t="shared" si="62"/>
        <v>1964258</v>
      </c>
      <c r="U462" s="105"/>
      <c r="X462" s="10">
        <f t="shared" si="63"/>
        <v>1961258</v>
      </c>
      <c r="Y462" s="2">
        <f t="shared" si="64"/>
        <v>0</v>
      </c>
      <c r="Z462" s="10">
        <f t="shared" si="60"/>
        <v>0</v>
      </c>
    </row>
    <row r="463" spans="1:26" ht="18" customHeight="1" x14ac:dyDescent="0.25">
      <c r="A463" s="11">
        <v>97</v>
      </c>
      <c r="B463" s="67" t="s">
        <v>1069</v>
      </c>
      <c r="C463" s="14" t="s">
        <v>1070</v>
      </c>
      <c r="D463" s="13" t="s">
        <v>22</v>
      </c>
      <c r="E463" s="14" t="s">
        <v>1071</v>
      </c>
      <c r="F463" s="15" t="s">
        <v>24</v>
      </c>
      <c r="G463" s="46">
        <v>3500</v>
      </c>
      <c r="H463" s="15" t="s">
        <v>25</v>
      </c>
      <c r="I463" s="15" t="s">
        <v>1072</v>
      </c>
      <c r="J463" s="15">
        <v>78821</v>
      </c>
      <c r="K463" s="15">
        <v>79420</v>
      </c>
      <c r="L463" s="68">
        <v>599</v>
      </c>
      <c r="M463" s="68">
        <v>1018018</v>
      </c>
      <c r="N463" s="69">
        <v>0</v>
      </c>
      <c r="O463" s="69">
        <v>0</v>
      </c>
      <c r="P463" s="69">
        <v>0</v>
      </c>
      <c r="Q463" s="69">
        <v>0</v>
      </c>
      <c r="R463" s="19">
        <f t="shared" si="61"/>
        <v>1018018</v>
      </c>
      <c r="S463" s="19">
        <v>3000</v>
      </c>
      <c r="T463" s="19">
        <f t="shared" si="62"/>
        <v>1021018</v>
      </c>
      <c r="U463" s="105"/>
      <c r="X463" s="10">
        <f t="shared" si="63"/>
        <v>1018018</v>
      </c>
      <c r="Y463" s="2">
        <f t="shared" si="64"/>
        <v>0</v>
      </c>
      <c r="Z463" s="10">
        <f t="shared" si="60"/>
        <v>0</v>
      </c>
    </row>
    <row r="464" spans="1:26" ht="18" customHeight="1" x14ac:dyDescent="0.25">
      <c r="A464" s="11">
        <v>98</v>
      </c>
      <c r="B464" s="67" t="s">
        <v>1073</v>
      </c>
      <c r="C464" s="14" t="s">
        <v>1074</v>
      </c>
      <c r="D464" s="13" t="s">
        <v>22</v>
      </c>
      <c r="E464" s="14" t="s">
        <v>1075</v>
      </c>
      <c r="F464" s="15" t="s">
        <v>24</v>
      </c>
      <c r="G464" s="46">
        <v>3500</v>
      </c>
      <c r="H464" s="15" t="s">
        <v>25</v>
      </c>
      <c r="I464" s="15" t="s">
        <v>1076</v>
      </c>
      <c r="J464" s="15">
        <v>74297</v>
      </c>
      <c r="K464" s="15">
        <v>75498</v>
      </c>
      <c r="L464" s="68">
        <v>1201</v>
      </c>
      <c r="M464" s="68">
        <v>2041136</v>
      </c>
      <c r="N464" s="69">
        <v>0</v>
      </c>
      <c r="O464" s="69">
        <v>0</v>
      </c>
      <c r="P464" s="69">
        <v>0</v>
      </c>
      <c r="Q464" s="69">
        <v>0</v>
      </c>
      <c r="R464" s="19">
        <f t="shared" si="61"/>
        <v>2041136</v>
      </c>
      <c r="S464" s="19">
        <v>3000</v>
      </c>
      <c r="T464" s="19">
        <f t="shared" si="62"/>
        <v>2044136</v>
      </c>
      <c r="U464" s="105"/>
      <c r="X464" s="10">
        <f t="shared" si="63"/>
        <v>2041136</v>
      </c>
      <c r="Y464" s="2">
        <f t="shared" si="64"/>
        <v>0</v>
      </c>
      <c r="Z464" s="10">
        <f t="shared" si="60"/>
        <v>0</v>
      </c>
    </row>
    <row r="465" spans="1:26" ht="18" customHeight="1" x14ac:dyDescent="0.25">
      <c r="A465" s="11">
        <v>99</v>
      </c>
      <c r="B465" s="67" t="s">
        <v>1077</v>
      </c>
      <c r="C465" s="14" t="s">
        <v>1078</v>
      </c>
      <c r="D465" s="13" t="s">
        <v>22</v>
      </c>
      <c r="E465" s="14" t="s">
        <v>1079</v>
      </c>
      <c r="F465" s="15" t="s">
        <v>24</v>
      </c>
      <c r="G465" s="46">
        <v>3500</v>
      </c>
      <c r="H465" s="15" t="s">
        <v>25</v>
      </c>
      <c r="I465" s="15" t="s">
        <v>1080</v>
      </c>
      <c r="J465" s="15">
        <v>15608</v>
      </c>
      <c r="K465" s="15">
        <v>16212</v>
      </c>
      <c r="L465" s="68">
        <v>604</v>
      </c>
      <c r="M465" s="68">
        <v>1026516</v>
      </c>
      <c r="N465" s="69">
        <v>0</v>
      </c>
      <c r="O465" s="69">
        <v>0</v>
      </c>
      <c r="P465" s="69">
        <v>0</v>
      </c>
      <c r="Q465" s="69">
        <v>0</v>
      </c>
      <c r="R465" s="19">
        <f t="shared" si="61"/>
        <v>1026516</v>
      </c>
      <c r="S465" s="19">
        <v>3000</v>
      </c>
      <c r="T465" s="19">
        <f t="shared" si="62"/>
        <v>1029516</v>
      </c>
      <c r="U465" s="105"/>
      <c r="X465" s="10">
        <f t="shared" si="63"/>
        <v>1026516</v>
      </c>
      <c r="Y465" s="2">
        <f t="shared" si="64"/>
        <v>0</v>
      </c>
      <c r="Z465" s="10">
        <f t="shared" si="60"/>
        <v>0</v>
      </c>
    </row>
    <row r="466" spans="1:26" ht="18" customHeight="1" x14ac:dyDescent="0.25">
      <c r="A466" s="11">
        <v>100</v>
      </c>
      <c r="B466" s="67" t="s">
        <v>1081</v>
      </c>
      <c r="C466" s="14" t="s">
        <v>1082</v>
      </c>
      <c r="D466" s="13" t="s">
        <v>22</v>
      </c>
      <c r="E466" s="14" t="s">
        <v>1055</v>
      </c>
      <c r="F466" s="15" t="s">
        <v>24</v>
      </c>
      <c r="G466" s="46">
        <v>1300</v>
      </c>
      <c r="H466" s="15" t="s">
        <v>25</v>
      </c>
      <c r="I466" s="15" t="s">
        <v>1083</v>
      </c>
      <c r="J466" s="15">
        <v>21404</v>
      </c>
      <c r="K466" s="15">
        <v>21611</v>
      </c>
      <c r="L466" s="68">
        <v>207</v>
      </c>
      <c r="M466" s="68">
        <v>351803</v>
      </c>
      <c r="N466" s="69">
        <v>0</v>
      </c>
      <c r="O466" s="69">
        <v>0</v>
      </c>
      <c r="P466" s="69">
        <v>0</v>
      </c>
      <c r="Q466" s="69">
        <v>0</v>
      </c>
      <c r="R466" s="19">
        <f t="shared" si="61"/>
        <v>351803</v>
      </c>
      <c r="S466" s="19">
        <v>3000</v>
      </c>
      <c r="T466" s="19">
        <f t="shared" si="62"/>
        <v>354803</v>
      </c>
      <c r="U466" s="105"/>
      <c r="X466" s="10">
        <f t="shared" si="63"/>
        <v>351803</v>
      </c>
      <c r="Y466" s="2">
        <f t="shared" si="64"/>
        <v>0</v>
      </c>
      <c r="Z466" s="10">
        <f t="shared" si="60"/>
        <v>0</v>
      </c>
    </row>
    <row r="467" spans="1:26" ht="18" customHeight="1" x14ac:dyDescent="0.25">
      <c r="A467" s="11">
        <v>101</v>
      </c>
      <c r="B467" s="67" t="s">
        <v>1084</v>
      </c>
      <c r="C467" s="14" t="s">
        <v>1085</v>
      </c>
      <c r="D467" s="13" t="s">
        <v>22</v>
      </c>
      <c r="E467" s="14" t="s">
        <v>1086</v>
      </c>
      <c r="F467" s="15" t="s">
        <v>24</v>
      </c>
      <c r="G467" s="46">
        <v>4400</v>
      </c>
      <c r="H467" s="15" t="s">
        <v>25</v>
      </c>
      <c r="I467" s="15" t="s">
        <v>1087</v>
      </c>
      <c r="J467" s="15">
        <v>83385</v>
      </c>
      <c r="K467" s="15">
        <v>84880</v>
      </c>
      <c r="L467" s="68">
        <v>1495</v>
      </c>
      <c r="M467" s="68">
        <v>2540797</v>
      </c>
      <c r="N467" s="69">
        <v>0</v>
      </c>
      <c r="O467" s="69">
        <v>0</v>
      </c>
      <c r="P467" s="69">
        <v>0</v>
      </c>
      <c r="Q467" s="69">
        <v>0</v>
      </c>
      <c r="R467" s="19">
        <f t="shared" si="61"/>
        <v>2540797</v>
      </c>
      <c r="S467" s="19">
        <v>3000</v>
      </c>
      <c r="T467" s="19">
        <f t="shared" si="62"/>
        <v>2543797</v>
      </c>
      <c r="U467" s="105"/>
      <c r="X467" s="10">
        <f t="shared" si="63"/>
        <v>2540797</v>
      </c>
      <c r="Y467" s="2">
        <f t="shared" si="64"/>
        <v>0</v>
      </c>
      <c r="Z467" s="10">
        <f t="shared" si="60"/>
        <v>0</v>
      </c>
    </row>
    <row r="468" spans="1:26" ht="18" customHeight="1" x14ac:dyDescent="0.25">
      <c r="A468" s="11">
        <v>102</v>
      </c>
      <c r="B468" s="67" t="s">
        <v>1088</v>
      </c>
      <c r="C468" s="14" t="s">
        <v>1089</v>
      </c>
      <c r="D468" s="13" t="s">
        <v>22</v>
      </c>
      <c r="E468" s="14" t="s">
        <v>1090</v>
      </c>
      <c r="F468" s="15" t="s">
        <v>24</v>
      </c>
      <c r="G468" s="46">
        <v>4400</v>
      </c>
      <c r="H468" s="15" t="s">
        <v>25</v>
      </c>
      <c r="I468" s="15" t="s">
        <v>1091</v>
      </c>
      <c r="J468" s="15">
        <v>6570</v>
      </c>
      <c r="K468" s="15">
        <v>7062</v>
      </c>
      <c r="L468" s="68">
        <v>492</v>
      </c>
      <c r="M468" s="68">
        <v>836169</v>
      </c>
      <c r="N468" s="69">
        <v>0</v>
      </c>
      <c r="O468" s="69">
        <v>0</v>
      </c>
      <c r="P468" s="69">
        <v>0</v>
      </c>
      <c r="Q468" s="69">
        <v>0</v>
      </c>
      <c r="R468" s="19">
        <f t="shared" si="61"/>
        <v>836169</v>
      </c>
      <c r="S468" s="19">
        <v>3000</v>
      </c>
      <c r="T468" s="19">
        <f t="shared" si="62"/>
        <v>839169</v>
      </c>
      <c r="U468" s="105"/>
      <c r="X468" s="10">
        <f t="shared" si="63"/>
        <v>836169</v>
      </c>
      <c r="Y468" s="2">
        <f t="shared" si="64"/>
        <v>0</v>
      </c>
      <c r="Z468" s="10">
        <f t="shared" si="60"/>
        <v>0</v>
      </c>
    </row>
    <row r="469" spans="1:26" ht="18" customHeight="1" x14ac:dyDescent="0.25">
      <c r="A469" s="11">
        <v>103</v>
      </c>
      <c r="B469" s="67" t="s">
        <v>1092</v>
      </c>
      <c r="C469" s="14" t="s">
        <v>1093</v>
      </c>
      <c r="D469" s="13" t="s">
        <v>22</v>
      </c>
      <c r="E469" s="14" t="s">
        <v>1094</v>
      </c>
      <c r="F469" s="15" t="s">
        <v>24</v>
      </c>
      <c r="G469" s="46">
        <v>2200</v>
      </c>
      <c r="H469" s="15" t="s">
        <v>25</v>
      </c>
      <c r="I469" s="15" t="s">
        <v>1095</v>
      </c>
      <c r="J469" s="15">
        <v>6156</v>
      </c>
      <c r="K469" s="15">
        <v>6564</v>
      </c>
      <c r="L469" s="68">
        <v>408</v>
      </c>
      <c r="M469" s="68">
        <v>693408</v>
      </c>
      <c r="N469" s="69">
        <v>0</v>
      </c>
      <c r="O469" s="69">
        <v>0</v>
      </c>
      <c r="P469" s="69">
        <v>0</v>
      </c>
      <c r="Q469" s="69">
        <v>0</v>
      </c>
      <c r="R469" s="19">
        <f t="shared" si="61"/>
        <v>693408</v>
      </c>
      <c r="S469" s="19">
        <v>3000</v>
      </c>
      <c r="T469" s="19">
        <f t="shared" si="62"/>
        <v>696408</v>
      </c>
      <c r="U469" s="105"/>
      <c r="X469" s="10">
        <f t="shared" si="63"/>
        <v>693408</v>
      </c>
      <c r="Y469" s="2">
        <f t="shared" si="64"/>
        <v>0</v>
      </c>
      <c r="Z469" s="10">
        <f t="shared" si="60"/>
        <v>0</v>
      </c>
    </row>
    <row r="470" spans="1:26" ht="18" customHeight="1" x14ac:dyDescent="0.25">
      <c r="A470" s="11">
        <v>104</v>
      </c>
      <c r="B470" s="67" t="s">
        <v>1096</v>
      </c>
      <c r="C470" s="14" t="s">
        <v>1097</v>
      </c>
      <c r="D470" s="13" t="s">
        <v>22</v>
      </c>
      <c r="E470" s="14" t="s">
        <v>1098</v>
      </c>
      <c r="F470" s="15" t="s">
        <v>24</v>
      </c>
      <c r="G470" s="46">
        <v>3500</v>
      </c>
      <c r="H470" s="15" t="s">
        <v>25</v>
      </c>
      <c r="I470" s="15" t="s">
        <v>1099</v>
      </c>
      <c r="J470" s="15">
        <v>16645</v>
      </c>
      <c r="K470" s="15">
        <v>16645</v>
      </c>
      <c r="L470" s="68">
        <v>140</v>
      </c>
      <c r="M470" s="68">
        <v>237934</v>
      </c>
      <c r="N470" s="69">
        <v>0</v>
      </c>
      <c r="O470" s="69">
        <v>0</v>
      </c>
      <c r="P470" s="69">
        <v>0</v>
      </c>
      <c r="Q470" s="69">
        <v>0</v>
      </c>
      <c r="R470" s="19">
        <f t="shared" si="61"/>
        <v>237934</v>
      </c>
      <c r="S470" s="19">
        <v>3000</v>
      </c>
      <c r="T470" s="19">
        <f t="shared" si="62"/>
        <v>240934</v>
      </c>
      <c r="U470" s="105"/>
      <c r="X470" s="10">
        <f t="shared" si="63"/>
        <v>237934</v>
      </c>
      <c r="Y470" s="2">
        <f t="shared" si="64"/>
        <v>0</v>
      </c>
      <c r="Z470" s="10">
        <f t="shared" si="60"/>
        <v>0</v>
      </c>
    </row>
    <row r="471" spans="1:26" ht="18" customHeight="1" x14ac:dyDescent="0.25">
      <c r="A471" s="11">
        <v>105</v>
      </c>
      <c r="B471" s="67" t="s">
        <v>1100</v>
      </c>
      <c r="C471" s="14" t="s">
        <v>1101</v>
      </c>
      <c r="D471" s="13" t="s">
        <v>22</v>
      </c>
      <c r="E471" s="14" t="s">
        <v>1102</v>
      </c>
      <c r="F471" s="15" t="s">
        <v>24</v>
      </c>
      <c r="G471" s="46">
        <v>3500</v>
      </c>
      <c r="H471" s="15" t="s">
        <v>25</v>
      </c>
      <c r="I471" s="15" t="s">
        <v>1103</v>
      </c>
      <c r="J471" s="15">
        <v>4148</v>
      </c>
      <c r="K471" s="15">
        <v>5056</v>
      </c>
      <c r="L471" s="68">
        <v>908</v>
      </c>
      <c r="M471" s="68">
        <v>1543173</v>
      </c>
      <c r="N471" s="69">
        <v>0</v>
      </c>
      <c r="O471" s="69">
        <v>0</v>
      </c>
      <c r="P471" s="69">
        <v>0</v>
      </c>
      <c r="Q471" s="69">
        <v>0</v>
      </c>
      <c r="R471" s="19">
        <f t="shared" si="61"/>
        <v>1543173</v>
      </c>
      <c r="S471" s="19">
        <v>3000</v>
      </c>
      <c r="T471" s="19">
        <f t="shared" si="62"/>
        <v>1546173</v>
      </c>
      <c r="U471" s="105"/>
      <c r="X471" s="10">
        <f t="shared" si="63"/>
        <v>1543173</v>
      </c>
      <c r="Y471" s="2">
        <f t="shared" si="64"/>
        <v>0</v>
      </c>
      <c r="Z471" s="10">
        <f t="shared" si="60"/>
        <v>0</v>
      </c>
    </row>
    <row r="472" spans="1:26" ht="18" customHeight="1" x14ac:dyDescent="0.25">
      <c r="A472" s="11">
        <v>106</v>
      </c>
      <c r="B472" s="67" t="s">
        <v>1104</v>
      </c>
      <c r="C472" s="14" t="s">
        <v>1105</v>
      </c>
      <c r="D472" s="13" t="s">
        <v>22</v>
      </c>
      <c r="E472" s="14" t="s">
        <v>1106</v>
      </c>
      <c r="F472" s="15" t="s">
        <v>24</v>
      </c>
      <c r="G472" s="46">
        <v>5500</v>
      </c>
      <c r="H472" s="15" t="s">
        <v>25</v>
      </c>
      <c r="I472" s="15" t="s">
        <v>1107</v>
      </c>
      <c r="J472" s="15">
        <v>35569</v>
      </c>
      <c r="K472" s="15">
        <v>36402</v>
      </c>
      <c r="L472" s="68">
        <v>833</v>
      </c>
      <c r="M472" s="68">
        <v>1415708</v>
      </c>
      <c r="N472" s="69">
        <v>0</v>
      </c>
      <c r="O472" s="69">
        <v>0</v>
      </c>
      <c r="P472" s="69">
        <v>0</v>
      </c>
      <c r="Q472" s="69">
        <v>0</v>
      </c>
      <c r="R472" s="19">
        <f t="shared" si="61"/>
        <v>1415708</v>
      </c>
      <c r="S472" s="19">
        <v>3000</v>
      </c>
      <c r="T472" s="19">
        <f t="shared" si="62"/>
        <v>1418708</v>
      </c>
      <c r="U472" s="105"/>
      <c r="X472" s="10">
        <f t="shared" si="63"/>
        <v>1415708</v>
      </c>
      <c r="Y472" s="2">
        <f t="shared" si="64"/>
        <v>0</v>
      </c>
      <c r="Z472" s="10">
        <f t="shared" si="60"/>
        <v>0</v>
      </c>
    </row>
    <row r="473" spans="1:26" ht="18" customHeight="1" x14ac:dyDescent="0.25">
      <c r="A473" s="11">
        <v>107</v>
      </c>
      <c r="B473" s="67" t="s">
        <v>1108</v>
      </c>
      <c r="C473" s="14" t="s">
        <v>1109</v>
      </c>
      <c r="D473" s="13" t="s">
        <v>22</v>
      </c>
      <c r="E473" s="14" t="s">
        <v>1110</v>
      </c>
      <c r="F473" s="15" t="s">
        <v>24</v>
      </c>
      <c r="G473" s="46">
        <v>7700</v>
      </c>
      <c r="H473" s="15" t="s">
        <v>25</v>
      </c>
      <c r="I473" s="15" t="s">
        <v>1111</v>
      </c>
      <c r="J473" s="15">
        <v>71858</v>
      </c>
      <c r="K473" s="15">
        <v>73788</v>
      </c>
      <c r="L473" s="68">
        <v>1930</v>
      </c>
      <c r="M473" s="68">
        <v>3280093</v>
      </c>
      <c r="N473" s="69">
        <v>0</v>
      </c>
      <c r="O473" s="69">
        <v>0</v>
      </c>
      <c r="P473" s="69">
        <v>0</v>
      </c>
      <c r="Q473" s="69">
        <v>0</v>
      </c>
      <c r="R473" s="19">
        <f t="shared" si="61"/>
        <v>3280093</v>
      </c>
      <c r="S473" s="19">
        <v>3000</v>
      </c>
      <c r="T473" s="19">
        <f t="shared" si="62"/>
        <v>3283093</v>
      </c>
      <c r="U473" s="105"/>
      <c r="X473" s="10">
        <f t="shared" si="63"/>
        <v>3280093</v>
      </c>
      <c r="Y473" s="2">
        <f t="shared" si="64"/>
        <v>0</v>
      </c>
      <c r="Z473" s="10">
        <f t="shared" si="60"/>
        <v>0</v>
      </c>
    </row>
    <row r="474" spans="1:26" ht="18" customHeight="1" x14ac:dyDescent="0.25">
      <c r="A474" s="11">
        <v>108</v>
      </c>
      <c r="B474" s="67" t="s">
        <v>1112</v>
      </c>
      <c r="C474" s="14" t="s">
        <v>1113</v>
      </c>
      <c r="D474" s="13" t="s">
        <v>22</v>
      </c>
      <c r="E474" s="14" t="s">
        <v>1114</v>
      </c>
      <c r="F474" s="15" t="s">
        <v>24</v>
      </c>
      <c r="G474" s="46">
        <v>5500</v>
      </c>
      <c r="H474" s="15" t="s">
        <v>25</v>
      </c>
      <c r="I474" s="15" t="s">
        <v>1115</v>
      </c>
      <c r="J474" s="15">
        <v>11626</v>
      </c>
      <c r="K474" s="15">
        <v>12260</v>
      </c>
      <c r="L474" s="68">
        <v>634</v>
      </c>
      <c r="M474" s="68">
        <v>1077502</v>
      </c>
      <c r="N474" s="69">
        <v>0</v>
      </c>
      <c r="O474" s="69">
        <v>0</v>
      </c>
      <c r="P474" s="69">
        <v>0</v>
      </c>
      <c r="Q474" s="69">
        <v>0</v>
      </c>
      <c r="R474" s="19">
        <f t="shared" si="61"/>
        <v>1077502</v>
      </c>
      <c r="S474" s="19">
        <v>3000</v>
      </c>
      <c r="T474" s="19">
        <f t="shared" si="62"/>
        <v>1080502</v>
      </c>
      <c r="U474" s="105"/>
      <c r="X474" s="10">
        <f t="shared" si="63"/>
        <v>1077502</v>
      </c>
      <c r="Y474" s="2">
        <f t="shared" si="64"/>
        <v>0</v>
      </c>
      <c r="Z474" s="10">
        <f t="shared" si="60"/>
        <v>0</v>
      </c>
    </row>
    <row r="475" spans="1:26" ht="18" customHeight="1" x14ac:dyDescent="0.25">
      <c r="A475" s="11">
        <v>109</v>
      </c>
      <c r="B475" s="67" t="s">
        <v>1116</v>
      </c>
      <c r="C475" s="14" t="s">
        <v>1117</v>
      </c>
      <c r="D475" s="13" t="s">
        <v>68</v>
      </c>
      <c r="E475" s="14" t="s">
        <v>1118</v>
      </c>
      <c r="F475" s="15" t="s">
        <v>24</v>
      </c>
      <c r="G475" s="46">
        <v>3500</v>
      </c>
      <c r="H475" s="15" t="s">
        <v>25</v>
      </c>
      <c r="I475" s="15" t="s">
        <v>1119</v>
      </c>
      <c r="J475" s="15">
        <v>13934</v>
      </c>
      <c r="K475" s="15">
        <v>15497</v>
      </c>
      <c r="L475" s="68">
        <v>1563</v>
      </c>
      <c r="M475" s="68">
        <v>2656365</v>
      </c>
      <c r="N475" s="69">
        <v>0</v>
      </c>
      <c r="O475" s="69">
        <v>0</v>
      </c>
      <c r="P475" s="69">
        <v>0</v>
      </c>
      <c r="Q475" s="69">
        <v>0</v>
      </c>
      <c r="R475" s="19">
        <f t="shared" si="61"/>
        <v>2656365</v>
      </c>
      <c r="S475" s="19">
        <v>3000</v>
      </c>
      <c r="T475" s="19">
        <f t="shared" si="62"/>
        <v>2659365</v>
      </c>
      <c r="U475" s="105"/>
      <c r="X475" s="10">
        <f t="shared" si="63"/>
        <v>2656365</v>
      </c>
      <c r="Y475" s="2">
        <f t="shared" si="64"/>
        <v>0</v>
      </c>
      <c r="Z475" s="10">
        <f t="shared" si="60"/>
        <v>0</v>
      </c>
    </row>
    <row r="476" spans="1:26" ht="18" customHeight="1" x14ac:dyDescent="0.25">
      <c r="A476" s="11">
        <v>110</v>
      </c>
      <c r="B476" s="67" t="s">
        <v>1120</v>
      </c>
      <c r="C476" s="14" t="s">
        <v>1121</v>
      </c>
      <c r="D476" s="13" t="s">
        <v>22</v>
      </c>
      <c r="E476" s="14" t="s">
        <v>1055</v>
      </c>
      <c r="F476" s="15" t="s">
        <v>24</v>
      </c>
      <c r="G476" s="46">
        <v>2200</v>
      </c>
      <c r="H476" s="15" t="s">
        <v>25</v>
      </c>
      <c r="I476" s="15" t="s">
        <v>1122</v>
      </c>
      <c r="J476" s="15">
        <v>264</v>
      </c>
      <c r="K476" s="15">
        <v>388</v>
      </c>
      <c r="L476" s="68">
        <v>124</v>
      </c>
      <c r="M476" s="68">
        <v>210742</v>
      </c>
      <c r="N476" s="69">
        <v>0</v>
      </c>
      <c r="O476" s="69">
        <v>0</v>
      </c>
      <c r="P476" s="69">
        <v>0</v>
      </c>
      <c r="Q476" s="69">
        <v>0</v>
      </c>
      <c r="R476" s="19">
        <f t="shared" si="61"/>
        <v>210742</v>
      </c>
      <c r="S476" s="19">
        <v>3000</v>
      </c>
      <c r="T476" s="19">
        <f t="shared" si="62"/>
        <v>213742</v>
      </c>
      <c r="U476" s="105"/>
      <c r="X476" s="10">
        <f t="shared" si="63"/>
        <v>210742</v>
      </c>
      <c r="Y476" s="2">
        <f t="shared" si="64"/>
        <v>0</v>
      </c>
      <c r="Z476" s="10">
        <f t="shared" si="60"/>
        <v>0</v>
      </c>
    </row>
    <row r="477" spans="1:26" ht="18" customHeight="1" x14ac:dyDescent="0.25">
      <c r="A477" s="11">
        <v>111</v>
      </c>
      <c r="B477" s="67" t="s">
        <v>1123</v>
      </c>
      <c r="C477" s="14" t="s">
        <v>1124</v>
      </c>
      <c r="D477" s="13" t="s">
        <v>28</v>
      </c>
      <c r="E477" s="14" t="s">
        <v>1125</v>
      </c>
      <c r="F477" s="15" t="s">
        <v>24</v>
      </c>
      <c r="G477" s="46">
        <v>7700</v>
      </c>
      <c r="H477" s="15" t="s">
        <v>25</v>
      </c>
      <c r="I477" s="15" t="s">
        <v>1126</v>
      </c>
      <c r="J477" s="15">
        <v>8097</v>
      </c>
      <c r="K477" s="15">
        <v>9659</v>
      </c>
      <c r="L477" s="68">
        <v>1562</v>
      </c>
      <c r="M477" s="68">
        <v>2654666</v>
      </c>
      <c r="N477" s="69">
        <v>0</v>
      </c>
      <c r="O477" s="69">
        <v>0</v>
      </c>
      <c r="P477" s="69">
        <v>0</v>
      </c>
      <c r="Q477" s="69">
        <v>0</v>
      </c>
      <c r="R477" s="19">
        <f t="shared" si="61"/>
        <v>2654666</v>
      </c>
      <c r="S477" s="19">
        <v>3000</v>
      </c>
      <c r="T477" s="19">
        <f t="shared" si="62"/>
        <v>2657666</v>
      </c>
      <c r="U477" s="105"/>
      <c r="X477" s="10">
        <f t="shared" si="63"/>
        <v>2654666</v>
      </c>
      <c r="Y477" s="2">
        <f t="shared" si="64"/>
        <v>0</v>
      </c>
      <c r="Z477" s="10">
        <f t="shared" si="60"/>
        <v>0</v>
      </c>
    </row>
    <row r="478" spans="1:26" ht="18" customHeight="1" x14ac:dyDescent="0.25">
      <c r="A478" s="11">
        <v>112</v>
      </c>
      <c r="B478" s="67" t="s">
        <v>1127</v>
      </c>
      <c r="C478" s="14" t="s">
        <v>1128</v>
      </c>
      <c r="D478" s="13" t="s">
        <v>28</v>
      </c>
      <c r="E478" s="14" t="s">
        <v>1129</v>
      </c>
      <c r="F478" s="15" t="s">
        <v>24</v>
      </c>
      <c r="G478" s="46">
        <v>7700</v>
      </c>
      <c r="H478" s="15" t="s">
        <v>25</v>
      </c>
      <c r="I478" s="15" t="s">
        <v>1130</v>
      </c>
      <c r="J478" s="15">
        <v>2062</v>
      </c>
      <c r="K478" s="15">
        <v>4522</v>
      </c>
      <c r="L478" s="68">
        <v>2460</v>
      </c>
      <c r="M478" s="68">
        <v>4180844</v>
      </c>
      <c r="N478" s="69">
        <v>0</v>
      </c>
      <c r="O478" s="69">
        <v>0</v>
      </c>
      <c r="P478" s="69">
        <v>0</v>
      </c>
      <c r="Q478" s="69">
        <v>0</v>
      </c>
      <c r="R478" s="19">
        <f t="shared" si="61"/>
        <v>4180844</v>
      </c>
      <c r="S478" s="19">
        <v>3000</v>
      </c>
      <c r="T478" s="19">
        <f t="shared" si="62"/>
        <v>4183844</v>
      </c>
      <c r="U478" s="105"/>
      <c r="X478" s="10">
        <f t="shared" si="63"/>
        <v>4180844</v>
      </c>
      <c r="Y478" s="2">
        <f t="shared" si="64"/>
        <v>0</v>
      </c>
      <c r="Z478" s="10">
        <f t="shared" si="60"/>
        <v>0</v>
      </c>
    </row>
    <row r="479" spans="1:26" ht="18" customHeight="1" x14ac:dyDescent="0.25">
      <c r="A479" s="11">
        <v>113</v>
      </c>
      <c r="B479" s="67" t="s">
        <v>1131</v>
      </c>
      <c r="C479" s="14" t="s">
        <v>1132</v>
      </c>
      <c r="D479" s="13" t="s">
        <v>22</v>
      </c>
      <c r="E479" s="14" t="s">
        <v>1133</v>
      </c>
      <c r="F479" s="15" t="s">
        <v>24</v>
      </c>
      <c r="G479" s="46">
        <v>3500</v>
      </c>
      <c r="H479" s="15" t="s">
        <v>25</v>
      </c>
      <c r="I479" s="15" t="s">
        <v>1134</v>
      </c>
      <c r="J479" s="15">
        <v>31971</v>
      </c>
      <c r="K479" s="15">
        <v>33216</v>
      </c>
      <c r="L479" s="68">
        <v>1245</v>
      </c>
      <c r="M479" s="68">
        <v>2115915</v>
      </c>
      <c r="N479" s="69">
        <v>0</v>
      </c>
      <c r="O479" s="69">
        <v>0</v>
      </c>
      <c r="P479" s="69">
        <v>0</v>
      </c>
      <c r="Q479" s="69">
        <v>0</v>
      </c>
      <c r="R479" s="19">
        <f t="shared" si="61"/>
        <v>2115915</v>
      </c>
      <c r="S479" s="19">
        <v>3000</v>
      </c>
      <c r="T479" s="19">
        <f t="shared" si="62"/>
        <v>2118915</v>
      </c>
      <c r="U479" s="105"/>
      <c r="X479" s="10">
        <f t="shared" si="63"/>
        <v>2115915</v>
      </c>
      <c r="Y479" s="2">
        <f t="shared" si="64"/>
        <v>0</v>
      </c>
      <c r="Z479" s="10">
        <f t="shared" si="60"/>
        <v>0</v>
      </c>
    </row>
    <row r="480" spans="1:26" ht="18" customHeight="1" x14ac:dyDescent="0.25">
      <c r="A480" s="11">
        <v>114</v>
      </c>
      <c r="B480" s="67" t="s">
        <v>1135</v>
      </c>
      <c r="C480" s="14" t="s">
        <v>1136</v>
      </c>
      <c r="D480" s="13" t="s">
        <v>22</v>
      </c>
      <c r="E480" s="14" t="s">
        <v>1137</v>
      </c>
      <c r="F480" s="15" t="s">
        <v>24</v>
      </c>
      <c r="G480" s="46">
        <v>7700</v>
      </c>
      <c r="H480" s="15" t="s">
        <v>25</v>
      </c>
      <c r="I480" s="15" t="s">
        <v>1138</v>
      </c>
      <c r="J480" s="15">
        <v>33517</v>
      </c>
      <c r="K480" s="15">
        <v>33901</v>
      </c>
      <c r="L480" s="68">
        <v>384</v>
      </c>
      <c r="M480" s="68">
        <v>652620</v>
      </c>
      <c r="N480" s="69">
        <v>0</v>
      </c>
      <c r="O480" s="69">
        <v>0</v>
      </c>
      <c r="P480" s="69">
        <v>0</v>
      </c>
      <c r="Q480" s="69">
        <v>0</v>
      </c>
      <c r="R480" s="19">
        <f t="shared" si="61"/>
        <v>652620</v>
      </c>
      <c r="S480" s="19">
        <v>3000</v>
      </c>
      <c r="T480" s="19">
        <f t="shared" si="62"/>
        <v>655620</v>
      </c>
      <c r="U480" s="105"/>
      <c r="X480" s="10">
        <f t="shared" si="63"/>
        <v>652620</v>
      </c>
      <c r="Y480" s="2">
        <f t="shared" si="64"/>
        <v>0</v>
      </c>
      <c r="Z480" s="10">
        <f t="shared" si="60"/>
        <v>0</v>
      </c>
    </row>
    <row r="481" spans="1:26" ht="18" customHeight="1" x14ac:dyDescent="0.25">
      <c r="A481" s="11">
        <v>115</v>
      </c>
      <c r="B481" s="67" t="s">
        <v>1139</v>
      </c>
      <c r="C481" s="14" t="s">
        <v>1140</v>
      </c>
      <c r="D481" s="13" t="s">
        <v>22</v>
      </c>
      <c r="E481" s="14" t="s">
        <v>1141</v>
      </c>
      <c r="F481" s="15" t="s">
        <v>24</v>
      </c>
      <c r="G481" s="46">
        <v>3500</v>
      </c>
      <c r="H481" s="15" t="s">
        <v>25</v>
      </c>
      <c r="I481" s="15" t="s">
        <v>1142</v>
      </c>
      <c r="J481" s="15">
        <v>30514</v>
      </c>
      <c r="K481" s="15">
        <v>31737</v>
      </c>
      <c r="L481" s="68">
        <v>1223</v>
      </c>
      <c r="M481" s="68">
        <v>2078525</v>
      </c>
      <c r="N481" s="69">
        <v>0</v>
      </c>
      <c r="O481" s="69">
        <v>0</v>
      </c>
      <c r="P481" s="69">
        <v>0</v>
      </c>
      <c r="Q481" s="69">
        <v>0</v>
      </c>
      <c r="R481" s="19">
        <f t="shared" si="61"/>
        <v>2078525</v>
      </c>
      <c r="S481" s="19">
        <v>3000</v>
      </c>
      <c r="T481" s="19">
        <f t="shared" si="62"/>
        <v>2081525</v>
      </c>
      <c r="U481" s="105"/>
      <c r="X481" s="10">
        <f t="shared" si="63"/>
        <v>2078525</v>
      </c>
      <c r="Y481" s="2">
        <f t="shared" si="64"/>
        <v>0</v>
      </c>
      <c r="Z481" s="10">
        <f t="shared" si="60"/>
        <v>0</v>
      </c>
    </row>
    <row r="482" spans="1:26" ht="18" customHeight="1" x14ac:dyDescent="0.25">
      <c r="A482" s="11">
        <v>116</v>
      </c>
      <c r="B482" s="67" t="s">
        <v>1143</v>
      </c>
      <c r="C482" s="14" t="s">
        <v>1144</v>
      </c>
      <c r="D482" s="13" t="s">
        <v>22</v>
      </c>
      <c r="E482" s="14" t="s">
        <v>1145</v>
      </c>
      <c r="F482" s="15" t="s">
        <v>24</v>
      </c>
      <c r="G482" s="46">
        <v>3500</v>
      </c>
      <c r="H482" s="15" t="s">
        <v>25</v>
      </c>
      <c r="I482" s="15" t="s">
        <v>1146</v>
      </c>
      <c r="J482" s="15">
        <v>52645</v>
      </c>
      <c r="K482" s="15">
        <v>53234</v>
      </c>
      <c r="L482" s="68">
        <v>589</v>
      </c>
      <c r="M482" s="68">
        <v>1001023</v>
      </c>
      <c r="N482" s="69">
        <v>0</v>
      </c>
      <c r="O482" s="69">
        <v>0</v>
      </c>
      <c r="P482" s="69">
        <v>0</v>
      </c>
      <c r="Q482" s="69">
        <v>0</v>
      </c>
      <c r="R482" s="19">
        <f t="shared" si="61"/>
        <v>1001023</v>
      </c>
      <c r="S482" s="19">
        <v>3000</v>
      </c>
      <c r="T482" s="19">
        <f t="shared" si="62"/>
        <v>1004023</v>
      </c>
      <c r="U482" s="105"/>
      <c r="X482" s="10">
        <f t="shared" si="63"/>
        <v>1001023</v>
      </c>
      <c r="Y482" s="2">
        <f t="shared" si="64"/>
        <v>0</v>
      </c>
      <c r="Z482" s="10">
        <f t="shared" si="60"/>
        <v>0</v>
      </c>
    </row>
    <row r="483" spans="1:26" ht="18" customHeight="1" x14ac:dyDescent="0.25">
      <c r="A483" s="11">
        <v>117</v>
      </c>
      <c r="B483" s="67" t="s">
        <v>1147</v>
      </c>
      <c r="C483" s="14" t="s">
        <v>1148</v>
      </c>
      <c r="D483" s="13" t="s">
        <v>22</v>
      </c>
      <c r="E483" s="14" t="s">
        <v>1149</v>
      </c>
      <c r="F483" s="15" t="s">
        <v>24</v>
      </c>
      <c r="G483" s="46">
        <v>2200</v>
      </c>
      <c r="H483" s="15" t="s">
        <v>25</v>
      </c>
      <c r="I483" s="15" t="s">
        <v>1150</v>
      </c>
      <c r="J483" s="15">
        <v>61354</v>
      </c>
      <c r="K483" s="15">
        <v>62625</v>
      </c>
      <c r="L483" s="68">
        <v>1271</v>
      </c>
      <c r="M483" s="68">
        <v>2160103</v>
      </c>
      <c r="N483" s="69">
        <v>0</v>
      </c>
      <c r="O483" s="69">
        <v>0</v>
      </c>
      <c r="P483" s="69">
        <v>0</v>
      </c>
      <c r="Q483" s="69">
        <v>0</v>
      </c>
      <c r="R483" s="19">
        <f t="shared" si="61"/>
        <v>2160103</v>
      </c>
      <c r="S483" s="19">
        <v>3000</v>
      </c>
      <c r="T483" s="19">
        <f t="shared" si="62"/>
        <v>2163103</v>
      </c>
      <c r="U483" s="105"/>
      <c r="X483" s="10">
        <f t="shared" si="63"/>
        <v>2160103</v>
      </c>
      <c r="Y483" s="2">
        <f t="shared" si="64"/>
        <v>0</v>
      </c>
      <c r="Z483" s="10">
        <f t="shared" si="60"/>
        <v>0</v>
      </c>
    </row>
    <row r="484" spans="1:26" ht="18" customHeight="1" x14ac:dyDescent="0.25">
      <c r="A484" s="11">
        <v>118</v>
      </c>
      <c r="B484" s="67" t="s">
        <v>1151</v>
      </c>
      <c r="C484" s="14" t="s">
        <v>1152</v>
      </c>
      <c r="D484" s="13" t="s">
        <v>22</v>
      </c>
      <c r="E484" s="14" t="s">
        <v>1153</v>
      </c>
      <c r="F484" s="15" t="s">
        <v>24</v>
      </c>
      <c r="G484" s="46">
        <v>4400</v>
      </c>
      <c r="H484" s="15" t="s">
        <v>25</v>
      </c>
      <c r="I484" s="15" t="s">
        <v>1154</v>
      </c>
      <c r="J484" s="15">
        <v>57779</v>
      </c>
      <c r="K484" s="15">
        <v>58011</v>
      </c>
      <c r="L484" s="68">
        <v>232</v>
      </c>
      <c r="M484" s="68">
        <v>394291</v>
      </c>
      <c r="N484" s="69">
        <v>0</v>
      </c>
      <c r="O484" s="69">
        <v>0</v>
      </c>
      <c r="P484" s="69">
        <v>0</v>
      </c>
      <c r="Q484" s="69">
        <v>0</v>
      </c>
      <c r="R484" s="19">
        <f t="shared" si="61"/>
        <v>394291</v>
      </c>
      <c r="S484" s="19">
        <v>3000</v>
      </c>
      <c r="T484" s="19">
        <f t="shared" si="62"/>
        <v>397291</v>
      </c>
      <c r="U484" s="105"/>
      <c r="X484" s="10">
        <f t="shared" si="63"/>
        <v>394291</v>
      </c>
      <c r="Y484" s="2">
        <f t="shared" si="64"/>
        <v>0</v>
      </c>
      <c r="Z484" s="10">
        <f t="shared" si="60"/>
        <v>0</v>
      </c>
    </row>
    <row r="485" spans="1:26" ht="18" customHeight="1" x14ac:dyDescent="0.25">
      <c r="A485" s="11">
        <v>119</v>
      </c>
      <c r="B485" s="67" t="s">
        <v>1155</v>
      </c>
      <c r="C485" s="14" t="s">
        <v>1156</v>
      </c>
      <c r="D485" s="13" t="s">
        <v>22</v>
      </c>
      <c r="E485" s="14" t="s">
        <v>1157</v>
      </c>
      <c r="F485" s="15" t="s">
        <v>24</v>
      </c>
      <c r="G485" s="46">
        <v>4400</v>
      </c>
      <c r="H485" s="15" t="s">
        <v>25</v>
      </c>
      <c r="I485" s="15" t="s">
        <v>1158</v>
      </c>
      <c r="J485" s="15">
        <v>34614</v>
      </c>
      <c r="K485" s="15">
        <v>35344</v>
      </c>
      <c r="L485" s="68">
        <v>730</v>
      </c>
      <c r="M485" s="68">
        <v>1240657</v>
      </c>
      <c r="N485" s="69">
        <v>0</v>
      </c>
      <c r="O485" s="69">
        <v>0</v>
      </c>
      <c r="P485" s="69">
        <v>0</v>
      </c>
      <c r="Q485" s="69">
        <v>0</v>
      </c>
      <c r="R485" s="19">
        <f t="shared" si="61"/>
        <v>1240657</v>
      </c>
      <c r="S485" s="19">
        <v>3000</v>
      </c>
      <c r="T485" s="19">
        <f t="shared" si="62"/>
        <v>1243657</v>
      </c>
      <c r="U485" s="105"/>
      <c r="X485" s="10">
        <f t="shared" si="63"/>
        <v>1240657</v>
      </c>
      <c r="Y485" s="2">
        <f t="shared" si="64"/>
        <v>0</v>
      </c>
      <c r="Z485" s="10">
        <f t="shared" si="60"/>
        <v>0</v>
      </c>
    </row>
    <row r="486" spans="1:26" ht="18" customHeight="1" x14ac:dyDescent="0.25">
      <c r="A486" s="11">
        <v>120</v>
      </c>
      <c r="B486" s="67" t="s">
        <v>1159</v>
      </c>
      <c r="C486" s="14" t="s">
        <v>1160</v>
      </c>
      <c r="D486" s="13" t="s">
        <v>22</v>
      </c>
      <c r="E486" s="14" t="s">
        <v>1161</v>
      </c>
      <c r="F486" s="15" t="s">
        <v>24</v>
      </c>
      <c r="G486" s="46">
        <v>4400</v>
      </c>
      <c r="H486" s="15" t="s">
        <v>25</v>
      </c>
      <c r="I486" s="15" t="s">
        <v>1162</v>
      </c>
      <c r="J486" s="15">
        <v>4985</v>
      </c>
      <c r="K486" s="15">
        <v>5012</v>
      </c>
      <c r="L486" s="68">
        <v>176</v>
      </c>
      <c r="M486" s="68">
        <v>299117</v>
      </c>
      <c r="N486" s="69">
        <v>0</v>
      </c>
      <c r="O486" s="69">
        <v>0</v>
      </c>
      <c r="P486" s="69">
        <v>0</v>
      </c>
      <c r="Q486" s="69">
        <v>0</v>
      </c>
      <c r="R486" s="19">
        <f t="shared" si="61"/>
        <v>299117</v>
      </c>
      <c r="S486" s="19">
        <v>3000</v>
      </c>
      <c r="T486" s="19">
        <f t="shared" si="62"/>
        <v>302117</v>
      </c>
      <c r="U486" s="105"/>
      <c r="X486" s="10">
        <f t="shared" si="63"/>
        <v>299117</v>
      </c>
      <c r="Y486" s="2">
        <f t="shared" si="64"/>
        <v>0</v>
      </c>
      <c r="Z486" s="10">
        <f t="shared" si="60"/>
        <v>0</v>
      </c>
    </row>
    <row r="487" spans="1:26" s="25" customFormat="1" ht="18" customHeight="1" x14ac:dyDescent="0.25">
      <c r="A487" s="14"/>
      <c r="B487" s="15"/>
      <c r="C487" s="14"/>
      <c r="D487" s="14"/>
      <c r="E487" s="14"/>
      <c r="F487" s="15"/>
      <c r="G487" s="15"/>
      <c r="H487" s="15"/>
      <c r="I487" s="15" t="s">
        <v>0</v>
      </c>
      <c r="J487" s="15"/>
      <c r="K487" s="15"/>
      <c r="L487" s="18" t="s">
        <v>0</v>
      </c>
      <c r="M487" s="19"/>
      <c r="N487" s="38"/>
      <c r="O487" s="38"/>
      <c r="P487" s="38"/>
      <c r="Q487" s="38"/>
      <c r="R487" s="19"/>
      <c r="S487" s="19"/>
      <c r="T487" s="19"/>
      <c r="U487" s="105"/>
      <c r="X487" s="10">
        <f t="shared" si="63"/>
        <v>0</v>
      </c>
      <c r="Y487" s="2">
        <f t="shared" si="64"/>
        <v>0</v>
      </c>
      <c r="Z487" s="10">
        <f t="shared" si="60"/>
        <v>0</v>
      </c>
    </row>
    <row r="488" spans="1:26" ht="33" customHeight="1" x14ac:dyDescent="0.25">
      <c r="A488" s="34" t="s">
        <v>139</v>
      </c>
      <c r="B488" s="9"/>
      <c r="C488" s="9"/>
      <c r="D488" s="9"/>
      <c r="E488" s="9"/>
      <c r="F488" s="9"/>
      <c r="G488" s="61">
        <f>SUM(G446:G487)</f>
        <v>571300</v>
      </c>
      <c r="H488" s="61">
        <f t="shared" ref="H488:R488" si="65">SUM(H446:H487)</f>
        <v>0</v>
      </c>
      <c r="I488" s="61">
        <f t="shared" si="65"/>
        <v>0</v>
      </c>
      <c r="J488" s="61"/>
      <c r="K488" s="61"/>
      <c r="L488" s="61">
        <f t="shared" si="65"/>
        <v>104276</v>
      </c>
      <c r="M488" s="61">
        <f t="shared" si="65"/>
        <v>177220190</v>
      </c>
      <c r="N488" s="61">
        <f t="shared" si="65"/>
        <v>0</v>
      </c>
      <c r="O488" s="61">
        <f t="shared" si="65"/>
        <v>0</v>
      </c>
      <c r="P488" s="61">
        <f t="shared" si="65"/>
        <v>0</v>
      </c>
      <c r="Q488" s="61">
        <f t="shared" si="65"/>
        <v>10000</v>
      </c>
      <c r="R488" s="61">
        <f t="shared" si="65"/>
        <v>177230190</v>
      </c>
      <c r="S488" s="61">
        <f>SUM(S446:S487)</f>
        <v>360000</v>
      </c>
      <c r="T488" s="61">
        <f>SUM(T446:T487)</f>
        <v>177590190</v>
      </c>
      <c r="U488" s="28"/>
      <c r="W488" s="62"/>
      <c r="X488" s="10">
        <f t="shared" si="63"/>
        <v>177220190</v>
      </c>
      <c r="Y488" s="2">
        <f t="shared" si="64"/>
        <v>10000</v>
      </c>
      <c r="Z488" s="10"/>
    </row>
    <row r="489" spans="1:26" ht="18" customHeight="1" x14ac:dyDescent="0.25">
      <c r="L489" s="31"/>
      <c r="X489" s="10">
        <f t="shared" si="63"/>
        <v>0</v>
      </c>
      <c r="Y489" s="2">
        <f t="shared" si="64"/>
        <v>0</v>
      </c>
      <c r="Z489" s="10"/>
    </row>
    <row r="490" spans="1:26" ht="18" customHeight="1" x14ac:dyDescent="0.25">
      <c r="G490" s="43"/>
      <c r="H490" s="43"/>
      <c r="L490" s="31"/>
      <c r="X490" s="10">
        <f t="shared" si="63"/>
        <v>0</v>
      </c>
      <c r="Y490" s="2">
        <f t="shared" si="64"/>
        <v>0</v>
      </c>
      <c r="Z490" s="10"/>
    </row>
    <row r="491" spans="1:26" ht="18" customHeight="1" x14ac:dyDescent="0.25">
      <c r="C491" s="2" t="s">
        <v>140</v>
      </c>
      <c r="D491" s="81"/>
      <c r="E491" s="2" t="s">
        <v>140</v>
      </c>
      <c r="L491" s="31"/>
      <c r="X491" s="10">
        <f t="shared" si="63"/>
        <v>0</v>
      </c>
      <c r="Y491" s="2">
        <f t="shared" si="64"/>
        <v>0</v>
      </c>
      <c r="Z491" s="10"/>
    </row>
    <row r="492" spans="1:26" s="84" customFormat="1" ht="39" customHeight="1" x14ac:dyDescent="0.25">
      <c r="A492" s="9" t="s">
        <v>4</v>
      </c>
      <c r="B492" s="21" t="s">
        <v>5</v>
      </c>
      <c r="C492" s="21" t="s">
        <v>6</v>
      </c>
      <c r="D492" s="12"/>
      <c r="E492" s="9" t="s">
        <v>7</v>
      </c>
      <c r="F492" s="21" t="s">
        <v>8</v>
      </c>
      <c r="G492" s="21" t="s">
        <v>9</v>
      </c>
      <c r="H492" s="21" t="s">
        <v>10</v>
      </c>
      <c r="I492" s="21" t="s">
        <v>11</v>
      </c>
      <c r="J492" s="21" t="s">
        <v>12</v>
      </c>
      <c r="K492" s="21" t="s">
        <v>13</v>
      </c>
      <c r="L492" s="21" t="s">
        <v>14</v>
      </c>
      <c r="M492" s="143" t="s">
        <v>15</v>
      </c>
      <c r="N492" s="144" t="s">
        <v>16</v>
      </c>
      <c r="O492" s="144" t="s">
        <v>17</v>
      </c>
      <c r="P492" s="144" t="s">
        <v>18</v>
      </c>
      <c r="Q492" s="144" t="s">
        <v>19</v>
      </c>
      <c r="R492" s="143" t="s">
        <v>20</v>
      </c>
      <c r="S492" s="143" t="s">
        <v>3471</v>
      </c>
      <c r="T492" s="143" t="s">
        <v>3472</v>
      </c>
      <c r="U492" s="145"/>
      <c r="V492" s="145"/>
      <c r="W492" s="145"/>
      <c r="X492" s="145"/>
    </row>
    <row r="493" spans="1:26" ht="18" customHeight="1" x14ac:dyDescent="0.25">
      <c r="A493" s="34"/>
      <c r="B493" s="9"/>
      <c r="C493" s="15"/>
      <c r="D493" s="15"/>
      <c r="E493" s="15"/>
      <c r="F493" s="15"/>
      <c r="G493" s="15"/>
      <c r="H493" s="15"/>
      <c r="I493" s="15" t="s">
        <v>0</v>
      </c>
      <c r="J493" s="15"/>
      <c r="K493" s="15"/>
      <c r="L493" s="18" t="s">
        <v>0</v>
      </c>
      <c r="M493" s="19"/>
      <c r="N493" s="20"/>
      <c r="O493" s="20"/>
      <c r="P493" s="20"/>
      <c r="Q493" s="20"/>
      <c r="R493" s="19"/>
      <c r="S493" s="19"/>
      <c r="T493" s="19"/>
      <c r="U493" s="105"/>
      <c r="X493" s="10">
        <f t="shared" si="63"/>
        <v>0</v>
      </c>
      <c r="Y493" s="2">
        <f t="shared" si="64"/>
        <v>0</v>
      </c>
      <c r="Z493" s="10"/>
    </row>
    <row r="494" spans="1:26" ht="18" customHeight="1" x14ac:dyDescent="0.25">
      <c r="A494" s="34"/>
      <c r="B494" s="9"/>
      <c r="C494" s="15"/>
      <c r="D494" s="15"/>
      <c r="E494" s="35" t="s">
        <v>141</v>
      </c>
      <c r="F494" s="15"/>
      <c r="G494" s="61">
        <f>G488</f>
        <v>571300</v>
      </c>
      <c r="H494" s="61">
        <f t="shared" ref="H494:R494" si="66">H488</f>
        <v>0</v>
      </c>
      <c r="I494" s="61">
        <f t="shared" si="66"/>
        <v>0</v>
      </c>
      <c r="J494" s="61"/>
      <c r="K494" s="61"/>
      <c r="L494" s="61">
        <f t="shared" si="66"/>
        <v>104276</v>
      </c>
      <c r="M494" s="64">
        <f t="shared" si="66"/>
        <v>177220190</v>
      </c>
      <c r="N494" s="65">
        <f t="shared" si="66"/>
        <v>0</v>
      </c>
      <c r="O494" s="65">
        <f t="shared" si="66"/>
        <v>0</v>
      </c>
      <c r="P494" s="65">
        <f t="shared" si="66"/>
        <v>0</v>
      </c>
      <c r="Q494" s="65">
        <f t="shared" si="66"/>
        <v>10000</v>
      </c>
      <c r="R494" s="64">
        <f t="shared" si="66"/>
        <v>177230190</v>
      </c>
      <c r="S494" s="64">
        <f>S488</f>
        <v>360000</v>
      </c>
      <c r="T494" s="64">
        <f>T488</f>
        <v>177590190</v>
      </c>
      <c r="U494" s="148"/>
      <c r="X494" s="10">
        <f t="shared" si="63"/>
        <v>177220190</v>
      </c>
      <c r="Y494" s="2">
        <f t="shared" si="64"/>
        <v>10000</v>
      </c>
      <c r="Z494" s="10"/>
    </row>
    <row r="495" spans="1:26" ht="18" customHeight="1" x14ac:dyDescent="0.25">
      <c r="A495" s="11">
        <v>121</v>
      </c>
      <c r="B495" s="67" t="s">
        <v>1163</v>
      </c>
      <c r="C495" s="14" t="s">
        <v>1164</v>
      </c>
      <c r="D495" s="13" t="s">
        <v>22</v>
      </c>
      <c r="E495" s="14" t="s">
        <v>1165</v>
      </c>
      <c r="F495" s="15" t="s">
        <v>24</v>
      </c>
      <c r="G495" s="16">
        <v>2200</v>
      </c>
      <c r="H495" s="82" t="s">
        <v>25</v>
      </c>
      <c r="I495" s="15" t="s">
        <v>1166</v>
      </c>
      <c r="J495" s="15">
        <v>7415</v>
      </c>
      <c r="K495" s="15">
        <v>7725</v>
      </c>
      <c r="L495" s="18">
        <v>310</v>
      </c>
      <c r="M495" s="19">
        <v>526854</v>
      </c>
      <c r="N495" s="20">
        <v>0</v>
      </c>
      <c r="O495" s="20">
        <v>0</v>
      </c>
      <c r="P495" s="20">
        <v>0</v>
      </c>
      <c r="Q495" s="20">
        <v>0</v>
      </c>
      <c r="R495" s="19">
        <f t="shared" ref="R495:R534" si="67">M495+N495+O495+P495+Q495</f>
        <v>526854</v>
      </c>
      <c r="S495" s="19">
        <v>3000</v>
      </c>
      <c r="T495" s="19">
        <f t="shared" ref="T495:T534" si="68">R495+S495</f>
        <v>529854</v>
      </c>
      <c r="U495" s="105"/>
      <c r="X495" s="10">
        <f t="shared" si="63"/>
        <v>526854</v>
      </c>
      <c r="Y495" s="2">
        <f t="shared" si="64"/>
        <v>0</v>
      </c>
      <c r="Z495" s="10">
        <f t="shared" ref="Z495:Z534" si="69">Q495-Y495</f>
        <v>0</v>
      </c>
    </row>
    <row r="496" spans="1:26" ht="18" customHeight="1" x14ac:dyDescent="0.25">
      <c r="A496" s="11">
        <v>122</v>
      </c>
      <c r="B496" s="67" t="s">
        <v>1167</v>
      </c>
      <c r="C496" s="14" t="s">
        <v>1168</v>
      </c>
      <c r="D496" s="13" t="s">
        <v>22</v>
      </c>
      <c r="E496" s="14" t="s">
        <v>1169</v>
      </c>
      <c r="F496" s="15" t="s">
        <v>24</v>
      </c>
      <c r="G496" s="16">
        <v>3500</v>
      </c>
      <c r="H496" s="82" t="s">
        <v>25</v>
      </c>
      <c r="I496" s="15" t="s">
        <v>1170</v>
      </c>
      <c r="J496" s="15">
        <v>28815</v>
      </c>
      <c r="K496" s="15">
        <v>28815</v>
      </c>
      <c r="L496" s="18">
        <v>140</v>
      </c>
      <c r="M496" s="19">
        <v>237934</v>
      </c>
      <c r="N496" s="20">
        <v>0</v>
      </c>
      <c r="O496" s="20">
        <v>0</v>
      </c>
      <c r="P496" s="20">
        <v>0</v>
      </c>
      <c r="Q496" s="20">
        <v>0</v>
      </c>
      <c r="R496" s="19">
        <f t="shared" si="67"/>
        <v>237934</v>
      </c>
      <c r="S496" s="19">
        <v>3000</v>
      </c>
      <c r="T496" s="19">
        <f t="shared" si="68"/>
        <v>240934</v>
      </c>
      <c r="U496" s="105"/>
      <c r="X496" s="10">
        <f t="shared" si="63"/>
        <v>237934</v>
      </c>
      <c r="Y496" s="2">
        <f t="shared" si="64"/>
        <v>0</v>
      </c>
      <c r="Z496" s="10">
        <f t="shared" si="69"/>
        <v>0</v>
      </c>
    </row>
    <row r="497" spans="1:26" ht="18" customHeight="1" x14ac:dyDescent="0.25">
      <c r="A497" s="11">
        <v>123</v>
      </c>
      <c r="B497" s="67" t="s">
        <v>1171</v>
      </c>
      <c r="C497" s="14" t="s">
        <v>1172</v>
      </c>
      <c r="D497" s="13" t="s">
        <v>22</v>
      </c>
      <c r="E497" s="14" t="s">
        <v>1173</v>
      </c>
      <c r="F497" s="15" t="s">
        <v>24</v>
      </c>
      <c r="G497" s="16">
        <v>3500</v>
      </c>
      <c r="H497" s="82" t="s">
        <v>25</v>
      </c>
      <c r="I497" s="15" t="s">
        <v>1174</v>
      </c>
      <c r="J497" s="15">
        <v>27065</v>
      </c>
      <c r="K497" s="15">
        <v>27065</v>
      </c>
      <c r="L497" s="18">
        <v>140</v>
      </c>
      <c r="M497" s="19">
        <v>237934</v>
      </c>
      <c r="N497" s="20">
        <v>0</v>
      </c>
      <c r="O497" s="20">
        <v>0</v>
      </c>
      <c r="P497" s="20">
        <v>0</v>
      </c>
      <c r="Q497" s="20">
        <v>0</v>
      </c>
      <c r="R497" s="19">
        <f t="shared" si="67"/>
        <v>237934</v>
      </c>
      <c r="S497" s="19">
        <v>3000</v>
      </c>
      <c r="T497" s="19">
        <f t="shared" si="68"/>
        <v>240934</v>
      </c>
      <c r="U497" s="105"/>
      <c r="X497" s="10">
        <f t="shared" si="63"/>
        <v>237934</v>
      </c>
      <c r="Y497" s="2">
        <f t="shared" si="64"/>
        <v>0</v>
      </c>
      <c r="Z497" s="10">
        <f t="shared" si="69"/>
        <v>0</v>
      </c>
    </row>
    <row r="498" spans="1:26" ht="18" customHeight="1" x14ac:dyDescent="0.25">
      <c r="A498" s="11">
        <v>124</v>
      </c>
      <c r="B498" s="67" t="s">
        <v>1175</v>
      </c>
      <c r="C498" s="14" t="s">
        <v>1176</v>
      </c>
      <c r="D498" s="13" t="s">
        <v>68</v>
      </c>
      <c r="E498" s="14" t="s">
        <v>1177</v>
      </c>
      <c r="F498" s="15" t="s">
        <v>24</v>
      </c>
      <c r="G498" s="16">
        <v>5500</v>
      </c>
      <c r="H498" s="82" t="s">
        <v>25</v>
      </c>
      <c r="I498" s="15" t="s">
        <v>1178</v>
      </c>
      <c r="J498" s="15">
        <v>99165</v>
      </c>
      <c r="K498" s="15">
        <v>556</v>
      </c>
      <c r="L498" s="18">
        <v>1391</v>
      </c>
      <c r="M498" s="19">
        <v>2364046</v>
      </c>
      <c r="N498" s="20">
        <v>0</v>
      </c>
      <c r="O498" s="20">
        <v>0</v>
      </c>
      <c r="P498" s="20">
        <v>0</v>
      </c>
      <c r="Q498" s="20">
        <v>0</v>
      </c>
      <c r="R498" s="19">
        <f t="shared" si="67"/>
        <v>2364046</v>
      </c>
      <c r="S498" s="19">
        <v>3000</v>
      </c>
      <c r="T498" s="19">
        <f t="shared" si="68"/>
        <v>2367046</v>
      </c>
      <c r="U498" s="105"/>
      <c r="X498" s="10">
        <f t="shared" si="63"/>
        <v>2364046</v>
      </c>
      <c r="Y498" s="2">
        <f t="shared" si="64"/>
        <v>0</v>
      </c>
      <c r="Z498" s="10">
        <f t="shared" si="69"/>
        <v>0</v>
      </c>
    </row>
    <row r="499" spans="1:26" ht="18" customHeight="1" x14ac:dyDescent="0.25">
      <c r="A499" s="11">
        <v>125</v>
      </c>
      <c r="B499" s="67" t="s">
        <v>1179</v>
      </c>
      <c r="C499" s="14" t="s">
        <v>1180</v>
      </c>
      <c r="D499" s="13" t="s">
        <v>22</v>
      </c>
      <c r="E499" s="14" t="s">
        <v>1032</v>
      </c>
      <c r="F499" s="15" t="s">
        <v>24</v>
      </c>
      <c r="G499" s="16">
        <v>7700</v>
      </c>
      <c r="H499" s="82" t="s">
        <v>25</v>
      </c>
      <c r="I499" s="15" t="s">
        <v>1181</v>
      </c>
      <c r="J499" s="15">
        <v>47229</v>
      </c>
      <c r="K499" s="15">
        <v>48584</v>
      </c>
      <c r="L499" s="18">
        <v>1355</v>
      </c>
      <c r="M499" s="19">
        <v>2302863</v>
      </c>
      <c r="N499" s="20">
        <v>0</v>
      </c>
      <c r="O499" s="20">
        <v>0</v>
      </c>
      <c r="P499" s="20">
        <v>0</v>
      </c>
      <c r="Q499" s="20">
        <v>0</v>
      </c>
      <c r="R499" s="19">
        <f t="shared" si="67"/>
        <v>2302863</v>
      </c>
      <c r="S499" s="19">
        <v>3000</v>
      </c>
      <c r="T499" s="19">
        <f t="shared" si="68"/>
        <v>2305863</v>
      </c>
      <c r="U499" s="105"/>
      <c r="X499" s="10">
        <f t="shared" si="63"/>
        <v>2302863</v>
      </c>
      <c r="Y499" s="2">
        <f t="shared" si="64"/>
        <v>0</v>
      </c>
      <c r="Z499" s="10">
        <f t="shared" si="69"/>
        <v>0</v>
      </c>
    </row>
    <row r="500" spans="1:26" ht="18" customHeight="1" x14ac:dyDescent="0.25">
      <c r="A500" s="11">
        <v>126</v>
      </c>
      <c r="B500" s="67" t="s">
        <v>1182</v>
      </c>
      <c r="C500" s="14" t="s">
        <v>1183</v>
      </c>
      <c r="D500" s="13" t="s">
        <v>68</v>
      </c>
      <c r="E500" s="14" t="s">
        <v>1184</v>
      </c>
      <c r="F500" s="15" t="s">
        <v>24</v>
      </c>
      <c r="G500" s="16">
        <v>2200</v>
      </c>
      <c r="H500" s="82" t="s">
        <v>25</v>
      </c>
      <c r="I500" s="15" t="s">
        <v>1185</v>
      </c>
      <c r="J500" s="15">
        <v>76459</v>
      </c>
      <c r="K500" s="15">
        <v>76862</v>
      </c>
      <c r="L500" s="18">
        <v>403</v>
      </c>
      <c r="M500" s="19">
        <v>684911</v>
      </c>
      <c r="N500" s="20">
        <v>0</v>
      </c>
      <c r="O500" s="20">
        <v>0</v>
      </c>
      <c r="P500" s="20">
        <v>0</v>
      </c>
      <c r="Q500" s="20">
        <v>0</v>
      </c>
      <c r="R500" s="19">
        <f t="shared" si="67"/>
        <v>684911</v>
      </c>
      <c r="S500" s="19">
        <v>3000</v>
      </c>
      <c r="T500" s="19">
        <f t="shared" si="68"/>
        <v>687911</v>
      </c>
      <c r="U500" s="105"/>
      <c r="X500" s="10">
        <f t="shared" si="63"/>
        <v>684911</v>
      </c>
      <c r="Y500" s="2">
        <f t="shared" si="64"/>
        <v>0</v>
      </c>
      <c r="Z500" s="10">
        <f t="shared" si="69"/>
        <v>0</v>
      </c>
    </row>
    <row r="501" spans="1:26" ht="18" customHeight="1" x14ac:dyDescent="0.25">
      <c r="A501" s="11">
        <v>127</v>
      </c>
      <c r="B501" s="67" t="s">
        <v>1186</v>
      </c>
      <c r="C501" s="14" t="s">
        <v>1187</v>
      </c>
      <c r="D501" s="13" t="s">
        <v>22</v>
      </c>
      <c r="E501" s="14" t="s">
        <v>1188</v>
      </c>
      <c r="F501" s="15" t="s">
        <v>24</v>
      </c>
      <c r="G501" s="16">
        <v>3500</v>
      </c>
      <c r="H501" s="82" t="s">
        <v>25</v>
      </c>
      <c r="I501" s="15" t="s">
        <v>1189</v>
      </c>
      <c r="J501" s="15">
        <v>67624</v>
      </c>
      <c r="K501" s="15">
        <v>68068</v>
      </c>
      <c r="L501" s="18">
        <v>444</v>
      </c>
      <c r="M501" s="19">
        <v>754591</v>
      </c>
      <c r="N501" s="20">
        <v>0</v>
      </c>
      <c r="O501" s="20">
        <v>0</v>
      </c>
      <c r="P501" s="20">
        <v>0</v>
      </c>
      <c r="Q501" s="20">
        <v>0</v>
      </c>
      <c r="R501" s="19">
        <f t="shared" si="67"/>
        <v>754591</v>
      </c>
      <c r="S501" s="19">
        <v>3000</v>
      </c>
      <c r="T501" s="19">
        <f t="shared" si="68"/>
        <v>757591</v>
      </c>
      <c r="U501" s="105"/>
      <c r="X501" s="10">
        <f t="shared" si="63"/>
        <v>754591</v>
      </c>
      <c r="Y501" s="2">
        <f t="shared" si="64"/>
        <v>0</v>
      </c>
      <c r="Z501" s="10">
        <f t="shared" si="69"/>
        <v>0</v>
      </c>
    </row>
    <row r="502" spans="1:26" ht="18" customHeight="1" x14ac:dyDescent="0.25">
      <c r="A502" s="11">
        <v>128</v>
      </c>
      <c r="B502" s="67" t="s">
        <v>1190</v>
      </c>
      <c r="C502" s="14" t="s">
        <v>1191</v>
      </c>
      <c r="D502" s="13" t="s">
        <v>22</v>
      </c>
      <c r="E502" s="14" t="s">
        <v>1192</v>
      </c>
      <c r="F502" s="15" t="s">
        <v>24</v>
      </c>
      <c r="G502" s="16">
        <v>3500</v>
      </c>
      <c r="H502" s="82" t="s">
        <v>25</v>
      </c>
      <c r="I502" s="15" t="s">
        <v>1193</v>
      </c>
      <c r="J502" s="15">
        <v>80490</v>
      </c>
      <c r="K502" s="15">
        <v>81626</v>
      </c>
      <c r="L502" s="18">
        <v>1136</v>
      </c>
      <c r="M502" s="19">
        <v>1930666</v>
      </c>
      <c r="N502" s="20">
        <v>0</v>
      </c>
      <c r="O502" s="20">
        <v>0</v>
      </c>
      <c r="P502" s="20">
        <v>0</v>
      </c>
      <c r="Q502" s="20">
        <v>0</v>
      </c>
      <c r="R502" s="19">
        <f t="shared" si="67"/>
        <v>1930666</v>
      </c>
      <c r="S502" s="19">
        <v>3000</v>
      </c>
      <c r="T502" s="19">
        <f t="shared" si="68"/>
        <v>1933666</v>
      </c>
      <c r="U502" s="105"/>
      <c r="X502" s="10">
        <f t="shared" si="63"/>
        <v>1930666</v>
      </c>
      <c r="Y502" s="2">
        <f t="shared" si="64"/>
        <v>0</v>
      </c>
      <c r="Z502" s="10">
        <f t="shared" si="69"/>
        <v>0</v>
      </c>
    </row>
    <row r="503" spans="1:26" ht="18" customHeight="1" x14ac:dyDescent="0.25">
      <c r="A503" s="11">
        <v>129</v>
      </c>
      <c r="B503" s="67" t="s">
        <v>1194</v>
      </c>
      <c r="C503" s="14" t="s">
        <v>1195</v>
      </c>
      <c r="D503" s="13" t="s">
        <v>22</v>
      </c>
      <c r="E503" s="14" t="s">
        <v>1196</v>
      </c>
      <c r="F503" s="15" t="s">
        <v>24</v>
      </c>
      <c r="G503" s="16">
        <v>3500</v>
      </c>
      <c r="H503" s="82" t="s">
        <v>25</v>
      </c>
      <c r="I503" s="15" t="s">
        <v>1197</v>
      </c>
      <c r="J503" s="15">
        <v>59993</v>
      </c>
      <c r="K503" s="15">
        <v>61040</v>
      </c>
      <c r="L503" s="18">
        <v>1047</v>
      </c>
      <c r="M503" s="19">
        <v>1779408</v>
      </c>
      <c r="N503" s="20">
        <v>0</v>
      </c>
      <c r="O503" s="20">
        <v>0</v>
      </c>
      <c r="P503" s="20">
        <v>0</v>
      </c>
      <c r="Q503" s="20">
        <v>0</v>
      </c>
      <c r="R503" s="19">
        <f t="shared" si="67"/>
        <v>1779408</v>
      </c>
      <c r="S503" s="19">
        <v>3000</v>
      </c>
      <c r="T503" s="19">
        <f t="shared" si="68"/>
        <v>1782408</v>
      </c>
      <c r="U503" s="105"/>
      <c r="X503" s="10">
        <f t="shared" si="63"/>
        <v>1779408</v>
      </c>
      <c r="Y503" s="2">
        <f t="shared" si="64"/>
        <v>0</v>
      </c>
      <c r="Z503" s="10">
        <f t="shared" si="69"/>
        <v>0</v>
      </c>
    </row>
    <row r="504" spans="1:26" ht="18" customHeight="1" x14ac:dyDescent="0.25">
      <c r="A504" s="11">
        <v>130</v>
      </c>
      <c r="B504" s="67" t="s">
        <v>1198</v>
      </c>
      <c r="C504" s="14" t="s">
        <v>1199</v>
      </c>
      <c r="D504" s="13" t="s">
        <v>22</v>
      </c>
      <c r="E504" s="14" t="s">
        <v>1200</v>
      </c>
      <c r="F504" s="15" t="s">
        <v>24</v>
      </c>
      <c r="G504" s="16">
        <v>4400</v>
      </c>
      <c r="H504" s="82" t="s">
        <v>25</v>
      </c>
      <c r="I504" s="15" t="s">
        <v>1201</v>
      </c>
      <c r="J504" s="15">
        <v>7451</v>
      </c>
      <c r="K504" s="15">
        <v>8851</v>
      </c>
      <c r="L504" s="18">
        <v>1400</v>
      </c>
      <c r="M504" s="19">
        <v>2379342</v>
      </c>
      <c r="N504" s="20">
        <v>0</v>
      </c>
      <c r="O504" s="20">
        <v>0</v>
      </c>
      <c r="P504" s="20">
        <v>0</v>
      </c>
      <c r="Q504" s="20">
        <v>0</v>
      </c>
      <c r="R504" s="19">
        <f t="shared" si="67"/>
        <v>2379342</v>
      </c>
      <c r="S504" s="19">
        <v>3000</v>
      </c>
      <c r="T504" s="19">
        <f t="shared" si="68"/>
        <v>2382342</v>
      </c>
      <c r="U504" s="105"/>
      <c r="X504" s="10">
        <f t="shared" si="63"/>
        <v>2379342</v>
      </c>
      <c r="Y504" s="2">
        <f t="shared" si="64"/>
        <v>0</v>
      </c>
      <c r="Z504" s="10">
        <f t="shared" si="69"/>
        <v>0</v>
      </c>
    </row>
    <row r="505" spans="1:26" ht="18" customHeight="1" x14ac:dyDescent="0.25">
      <c r="A505" s="11">
        <v>131</v>
      </c>
      <c r="B505" s="67" t="s">
        <v>1202</v>
      </c>
      <c r="C505" s="14" t="s">
        <v>1203</v>
      </c>
      <c r="D505" s="13" t="s">
        <v>22</v>
      </c>
      <c r="E505" s="14" t="s">
        <v>1204</v>
      </c>
      <c r="F505" s="15" t="s">
        <v>24</v>
      </c>
      <c r="G505" s="16">
        <v>3500</v>
      </c>
      <c r="H505" s="82" t="s">
        <v>25</v>
      </c>
      <c r="I505" s="15" t="s">
        <v>1205</v>
      </c>
      <c r="J505" s="15">
        <v>19162</v>
      </c>
      <c r="K505" s="15">
        <v>20363</v>
      </c>
      <c r="L505" s="18">
        <v>1201</v>
      </c>
      <c r="M505" s="19">
        <v>2041136</v>
      </c>
      <c r="N505" s="20">
        <v>0</v>
      </c>
      <c r="O505" s="20">
        <v>0</v>
      </c>
      <c r="P505" s="20">
        <v>0</v>
      </c>
      <c r="Q505" s="20">
        <v>0</v>
      </c>
      <c r="R505" s="19">
        <f t="shared" si="67"/>
        <v>2041136</v>
      </c>
      <c r="S505" s="19">
        <v>3000</v>
      </c>
      <c r="T505" s="19">
        <f t="shared" si="68"/>
        <v>2044136</v>
      </c>
      <c r="U505" s="105"/>
      <c r="X505" s="10">
        <f t="shared" si="63"/>
        <v>2041136</v>
      </c>
      <c r="Y505" s="2">
        <f t="shared" si="64"/>
        <v>0</v>
      </c>
      <c r="Z505" s="10">
        <f t="shared" si="69"/>
        <v>0</v>
      </c>
    </row>
    <row r="506" spans="1:26" ht="18" customHeight="1" x14ac:dyDescent="0.25">
      <c r="A506" s="11">
        <v>132</v>
      </c>
      <c r="B506" s="67" t="s">
        <v>1206</v>
      </c>
      <c r="C506" s="14" t="s">
        <v>1207</v>
      </c>
      <c r="D506" s="13" t="s">
        <v>22</v>
      </c>
      <c r="E506" s="14" t="s">
        <v>1208</v>
      </c>
      <c r="F506" s="15" t="s">
        <v>24</v>
      </c>
      <c r="G506" s="16">
        <v>5500</v>
      </c>
      <c r="H506" s="82" t="s">
        <v>25</v>
      </c>
      <c r="I506" s="15" t="s">
        <v>1209</v>
      </c>
      <c r="J506" s="15">
        <v>55476</v>
      </c>
      <c r="K506" s="15">
        <v>57456</v>
      </c>
      <c r="L506" s="18">
        <v>1980</v>
      </c>
      <c r="M506" s="19">
        <v>3365069</v>
      </c>
      <c r="N506" s="20">
        <v>0</v>
      </c>
      <c r="O506" s="20">
        <v>0</v>
      </c>
      <c r="P506" s="20">
        <v>0</v>
      </c>
      <c r="Q506" s="20">
        <v>0</v>
      </c>
      <c r="R506" s="19">
        <f t="shared" si="67"/>
        <v>3365069</v>
      </c>
      <c r="S506" s="19">
        <v>3000</v>
      </c>
      <c r="T506" s="19">
        <f t="shared" si="68"/>
        <v>3368069</v>
      </c>
      <c r="U506" s="105"/>
      <c r="X506" s="10">
        <f t="shared" si="63"/>
        <v>3365069</v>
      </c>
      <c r="Y506" s="2">
        <f t="shared" si="64"/>
        <v>0</v>
      </c>
      <c r="Z506" s="10">
        <f t="shared" si="69"/>
        <v>0</v>
      </c>
    </row>
    <row r="507" spans="1:26" ht="18" customHeight="1" x14ac:dyDescent="0.25">
      <c r="A507" s="11">
        <v>133</v>
      </c>
      <c r="B507" s="67" t="s">
        <v>1210</v>
      </c>
      <c r="C507" s="14" t="s">
        <v>1211</v>
      </c>
      <c r="D507" s="13" t="s">
        <v>22</v>
      </c>
      <c r="E507" s="14" t="s">
        <v>1212</v>
      </c>
      <c r="F507" s="15" t="s">
        <v>24</v>
      </c>
      <c r="G507" s="16">
        <v>3500</v>
      </c>
      <c r="H507" s="82" t="s">
        <v>25</v>
      </c>
      <c r="I507" s="15" t="s">
        <v>1213</v>
      </c>
      <c r="J507" s="15">
        <v>27205</v>
      </c>
      <c r="K507" s="15">
        <v>28881</v>
      </c>
      <c r="L507" s="18">
        <v>1676</v>
      </c>
      <c r="M507" s="19">
        <v>2848412</v>
      </c>
      <c r="N507" s="20">
        <v>0</v>
      </c>
      <c r="O507" s="20">
        <v>0</v>
      </c>
      <c r="P507" s="20">
        <v>0</v>
      </c>
      <c r="Q507" s="20">
        <v>0</v>
      </c>
      <c r="R507" s="19">
        <f t="shared" si="67"/>
        <v>2848412</v>
      </c>
      <c r="S507" s="19">
        <v>3000</v>
      </c>
      <c r="T507" s="19">
        <f t="shared" si="68"/>
        <v>2851412</v>
      </c>
      <c r="U507" s="105"/>
      <c r="X507" s="10">
        <f t="shared" si="63"/>
        <v>2848412</v>
      </c>
      <c r="Y507" s="2">
        <f t="shared" si="64"/>
        <v>0</v>
      </c>
      <c r="Z507" s="10">
        <f t="shared" si="69"/>
        <v>0</v>
      </c>
    </row>
    <row r="508" spans="1:26" ht="18" customHeight="1" x14ac:dyDescent="0.25">
      <c r="A508" s="11">
        <v>134</v>
      </c>
      <c r="B508" s="67" t="s">
        <v>1214</v>
      </c>
      <c r="C508" s="14" t="s">
        <v>1215</v>
      </c>
      <c r="D508" s="13" t="s">
        <v>22</v>
      </c>
      <c r="E508" s="14" t="s">
        <v>1216</v>
      </c>
      <c r="F508" s="15" t="s">
        <v>24</v>
      </c>
      <c r="G508" s="16">
        <v>7700</v>
      </c>
      <c r="H508" s="82" t="s">
        <v>25</v>
      </c>
      <c r="I508" s="15" t="s">
        <v>1217</v>
      </c>
      <c r="J508" s="15">
        <v>67044</v>
      </c>
      <c r="K508" s="15">
        <v>68121</v>
      </c>
      <c r="L508" s="18">
        <v>1077</v>
      </c>
      <c r="M508" s="19">
        <v>1830394</v>
      </c>
      <c r="N508" s="20">
        <v>0</v>
      </c>
      <c r="O508" s="20">
        <v>0</v>
      </c>
      <c r="P508" s="20">
        <v>0</v>
      </c>
      <c r="Q508" s="20">
        <v>0</v>
      </c>
      <c r="R508" s="19">
        <f t="shared" si="67"/>
        <v>1830394</v>
      </c>
      <c r="S508" s="19">
        <v>3000</v>
      </c>
      <c r="T508" s="19">
        <f t="shared" si="68"/>
        <v>1833394</v>
      </c>
      <c r="U508" s="105"/>
      <c r="X508" s="10">
        <f t="shared" si="63"/>
        <v>1830394</v>
      </c>
      <c r="Y508" s="2">
        <f t="shared" si="64"/>
        <v>0</v>
      </c>
      <c r="Z508" s="10">
        <f t="shared" si="69"/>
        <v>0</v>
      </c>
    </row>
    <row r="509" spans="1:26" ht="18" customHeight="1" x14ac:dyDescent="0.25">
      <c r="A509" s="11">
        <v>135</v>
      </c>
      <c r="B509" s="67" t="s">
        <v>1218</v>
      </c>
      <c r="C509" s="14" t="s">
        <v>1219</v>
      </c>
      <c r="D509" s="13" t="s">
        <v>22</v>
      </c>
      <c r="E509" s="14" t="s">
        <v>1220</v>
      </c>
      <c r="F509" s="15" t="s">
        <v>24</v>
      </c>
      <c r="G509" s="16">
        <v>3500</v>
      </c>
      <c r="H509" s="82" t="s">
        <v>25</v>
      </c>
      <c r="I509" s="15" t="s">
        <v>1221</v>
      </c>
      <c r="J509" s="15">
        <v>48324</v>
      </c>
      <c r="K509" s="15">
        <v>49740</v>
      </c>
      <c r="L509" s="18">
        <v>1416</v>
      </c>
      <c r="M509" s="19">
        <v>2406534</v>
      </c>
      <c r="N509" s="20">
        <v>0</v>
      </c>
      <c r="O509" s="20">
        <v>0</v>
      </c>
      <c r="P509" s="20">
        <v>0</v>
      </c>
      <c r="Q509" s="20">
        <v>0</v>
      </c>
      <c r="R509" s="19">
        <f t="shared" si="67"/>
        <v>2406534</v>
      </c>
      <c r="S509" s="19">
        <v>3000</v>
      </c>
      <c r="T509" s="19">
        <f t="shared" si="68"/>
        <v>2409534</v>
      </c>
      <c r="U509" s="105"/>
      <c r="X509" s="10">
        <f t="shared" si="63"/>
        <v>2406534</v>
      </c>
      <c r="Y509" s="2">
        <f t="shared" si="64"/>
        <v>0</v>
      </c>
      <c r="Z509" s="10">
        <f t="shared" si="69"/>
        <v>0</v>
      </c>
    </row>
    <row r="510" spans="1:26" ht="18" customHeight="1" x14ac:dyDescent="0.25">
      <c r="A510" s="11">
        <v>136</v>
      </c>
      <c r="B510" s="67" t="s">
        <v>1222</v>
      </c>
      <c r="C510" s="14" t="s">
        <v>1223</v>
      </c>
      <c r="D510" s="13" t="s">
        <v>68</v>
      </c>
      <c r="E510" s="14" t="s">
        <v>1224</v>
      </c>
      <c r="F510" s="15" t="s">
        <v>24</v>
      </c>
      <c r="G510" s="16">
        <v>5500</v>
      </c>
      <c r="H510" s="82" t="s">
        <v>25</v>
      </c>
      <c r="I510" s="15" t="s">
        <v>1225</v>
      </c>
      <c r="J510" s="15">
        <v>52837</v>
      </c>
      <c r="K510" s="15">
        <v>54352</v>
      </c>
      <c r="L510" s="18">
        <v>1515</v>
      </c>
      <c r="M510" s="19">
        <v>2574788</v>
      </c>
      <c r="N510" s="20">
        <v>0</v>
      </c>
      <c r="O510" s="20">
        <v>0</v>
      </c>
      <c r="P510" s="20">
        <v>0</v>
      </c>
      <c r="Q510" s="20">
        <v>0</v>
      </c>
      <c r="R510" s="19">
        <f t="shared" si="67"/>
        <v>2574788</v>
      </c>
      <c r="S510" s="19">
        <v>3000</v>
      </c>
      <c r="T510" s="19">
        <f t="shared" si="68"/>
        <v>2577788</v>
      </c>
      <c r="U510" s="105"/>
      <c r="X510" s="10">
        <f t="shared" si="63"/>
        <v>2574788</v>
      </c>
      <c r="Y510" s="2">
        <f t="shared" si="64"/>
        <v>0</v>
      </c>
      <c r="Z510" s="10">
        <f t="shared" si="69"/>
        <v>0</v>
      </c>
    </row>
    <row r="511" spans="1:26" ht="18" customHeight="1" x14ac:dyDescent="0.25">
      <c r="A511" s="11">
        <v>137</v>
      </c>
      <c r="B511" s="67" t="s">
        <v>1226</v>
      </c>
      <c r="C511" s="14" t="s">
        <v>1227</v>
      </c>
      <c r="D511" s="13" t="s">
        <v>68</v>
      </c>
      <c r="E511" s="14" t="s">
        <v>1228</v>
      </c>
      <c r="F511" s="15" t="s">
        <v>24</v>
      </c>
      <c r="G511" s="16">
        <v>2200</v>
      </c>
      <c r="H511" s="82" t="s">
        <v>25</v>
      </c>
      <c r="I511" s="15" t="s">
        <v>1229</v>
      </c>
      <c r="J511" s="15">
        <v>56049</v>
      </c>
      <c r="K511" s="15">
        <v>57595</v>
      </c>
      <c r="L511" s="18">
        <v>1546</v>
      </c>
      <c r="M511" s="19">
        <v>2627473</v>
      </c>
      <c r="N511" s="20">
        <v>0</v>
      </c>
      <c r="O511" s="20">
        <v>0</v>
      </c>
      <c r="P511" s="20">
        <v>0</v>
      </c>
      <c r="Q511" s="20">
        <v>0</v>
      </c>
      <c r="R511" s="19">
        <f t="shared" si="67"/>
        <v>2627473</v>
      </c>
      <c r="S511" s="19">
        <v>3000</v>
      </c>
      <c r="T511" s="19">
        <f t="shared" si="68"/>
        <v>2630473</v>
      </c>
      <c r="U511" s="105"/>
      <c r="X511" s="10">
        <f t="shared" si="63"/>
        <v>2627473</v>
      </c>
      <c r="Y511" s="2">
        <f t="shared" si="64"/>
        <v>0</v>
      </c>
      <c r="Z511" s="10">
        <f t="shared" si="69"/>
        <v>0</v>
      </c>
    </row>
    <row r="512" spans="1:26" ht="18" customHeight="1" x14ac:dyDescent="0.25">
      <c r="A512" s="11">
        <v>138</v>
      </c>
      <c r="B512" s="67" t="s">
        <v>1230</v>
      </c>
      <c r="C512" s="14" t="s">
        <v>1231</v>
      </c>
      <c r="D512" s="13" t="s">
        <v>22</v>
      </c>
      <c r="E512" s="14" t="s">
        <v>1232</v>
      </c>
      <c r="F512" s="15" t="s">
        <v>24</v>
      </c>
      <c r="G512" s="16">
        <v>4400</v>
      </c>
      <c r="H512" s="82" t="s">
        <v>25</v>
      </c>
      <c r="I512" s="15" t="s">
        <v>1233</v>
      </c>
      <c r="J512" s="15">
        <v>59194</v>
      </c>
      <c r="K512" s="15">
        <v>59702</v>
      </c>
      <c r="L512" s="18">
        <v>508</v>
      </c>
      <c r="M512" s="19">
        <v>863361</v>
      </c>
      <c r="N512" s="20">
        <v>0</v>
      </c>
      <c r="O512" s="20">
        <v>0</v>
      </c>
      <c r="P512" s="20">
        <v>0</v>
      </c>
      <c r="Q512" s="20">
        <v>0</v>
      </c>
      <c r="R512" s="19">
        <f t="shared" si="67"/>
        <v>863361</v>
      </c>
      <c r="S512" s="19">
        <v>3000</v>
      </c>
      <c r="T512" s="19">
        <f t="shared" si="68"/>
        <v>866361</v>
      </c>
      <c r="U512" s="105"/>
      <c r="X512" s="10">
        <f t="shared" si="63"/>
        <v>863361</v>
      </c>
      <c r="Y512" s="2">
        <f t="shared" si="64"/>
        <v>0</v>
      </c>
      <c r="Z512" s="10">
        <f t="shared" si="69"/>
        <v>0</v>
      </c>
    </row>
    <row r="513" spans="1:26" ht="18" customHeight="1" x14ac:dyDescent="0.25">
      <c r="A513" s="11">
        <v>139</v>
      </c>
      <c r="B513" s="67" t="s">
        <v>1234</v>
      </c>
      <c r="C513" s="14" t="s">
        <v>1235</v>
      </c>
      <c r="D513" s="13" t="s">
        <v>22</v>
      </c>
      <c r="E513" s="14" t="s">
        <v>1236</v>
      </c>
      <c r="F513" s="15" t="s">
        <v>24</v>
      </c>
      <c r="G513" s="16">
        <v>3500</v>
      </c>
      <c r="H513" s="82" t="s">
        <v>25</v>
      </c>
      <c r="I513" s="15" t="s">
        <v>1237</v>
      </c>
      <c r="J513" s="15">
        <v>45711</v>
      </c>
      <c r="K513" s="15">
        <v>46361</v>
      </c>
      <c r="L513" s="18">
        <v>650</v>
      </c>
      <c r="M513" s="19">
        <v>1104695</v>
      </c>
      <c r="N513" s="20">
        <v>0</v>
      </c>
      <c r="O513" s="20">
        <v>0</v>
      </c>
      <c r="P513" s="20">
        <v>0</v>
      </c>
      <c r="Q513" s="20">
        <v>0</v>
      </c>
      <c r="R513" s="19">
        <f t="shared" si="67"/>
        <v>1104695</v>
      </c>
      <c r="S513" s="19">
        <v>3000</v>
      </c>
      <c r="T513" s="19">
        <f t="shared" si="68"/>
        <v>1107695</v>
      </c>
      <c r="U513" s="105"/>
      <c r="X513" s="10">
        <f t="shared" si="63"/>
        <v>1104695</v>
      </c>
      <c r="Y513" s="2">
        <f t="shared" si="64"/>
        <v>0</v>
      </c>
      <c r="Z513" s="10">
        <f t="shared" si="69"/>
        <v>0</v>
      </c>
    </row>
    <row r="514" spans="1:26" ht="18" customHeight="1" x14ac:dyDescent="0.25">
      <c r="A514" s="11">
        <v>140</v>
      </c>
      <c r="B514" s="67" t="s">
        <v>1238</v>
      </c>
      <c r="C514" s="14" t="s">
        <v>1239</v>
      </c>
      <c r="D514" s="13" t="s">
        <v>22</v>
      </c>
      <c r="E514" s="14" t="s">
        <v>1149</v>
      </c>
      <c r="F514" s="15" t="s">
        <v>24</v>
      </c>
      <c r="G514" s="16">
        <v>4400</v>
      </c>
      <c r="H514" s="82" t="s">
        <v>25</v>
      </c>
      <c r="I514" s="15" t="s">
        <v>1240</v>
      </c>
      <c r="J514" s="15">
        <v>50128</v>
      </c>
      <c r="K514" s="15">
        <v>51933</v>
      </c>
      <c r="L514" s="18">
        <v>1805</v>
      </c>
      <c r="M514" s="19">
        <v>3067652</v>
      </c>
      <c r="N514" s="20">
        <v>0</v>
      </c>
      <c r="O514" s="20">
        <v>0</v>
      </c>
      <c r="P514" s="20">
        <v>0</v>
      </c>
      <c r="Q514" s="20">
        <v>0</v>
      </c>
      <c r="R514" s="19">
        <f t="shared" si="67"/>
        <v>3067652</v>
      </c>
      <c r="S514" s="19">
        <v>3000</v>
      </c>
      <c r="T514" s="19">
        <f t="shared" si="68"/>
        <v>3070652</v>
      </c>
      <c r="U514" s="105"/>
      <c r="X514" s="10">
        <f t="shared" si="63"/>
        <v>3067652</v>
      </c>
      <c r="Y514" s="2">
        <f t="shared" si="64"/>
        <v>0</v>
      </c>
      <c r="Z514" s="10">
        <f t="shared" si="69"/>
        <v>0</v>
      </c>
    </row>
    <row r="515" spans="1:26" ht="18" customHeight="1" x14ac:dyDescent="0.25">
      <c r="A515" s="11">
        <v>141</v>
      </c>
      <c r="B515" s="67" t="s">
        <v>1241</v>
      </c>
      <c r="C515" s="14" t="s">
        <v>1242</v>
      </c>
      <c r="D515" s="13" t="s">
        <v>22</v>
      </c>
      <c r="E515" s="14" t="s">
        <v>1243</v>
      </c>
      <c r="F515" s="15" t="s">
        <v>24</v>
      </c>
      <c r="G515" s="16">
        <v>2200</v>
      </c>
      <c r="H515" s="82" t="s">
        <v>25</v>
      </c>
      <c r="I515" s="15" t="s">
        <v>1244</v>
      </c>
      <c r="J515" s="15">
        <v>75067</v>
      </c>
      <c r="K515" s="15">
        <v>76181</v>
      </c>
      <c r="L515" s="18">
        <v>1114</v>
      </c>
      <c r="M515" s="19">
        <v>1893276</v>
      </c>
      <c r="N515" s="20">
        <v>0</v>
      </c>
      <c r="O515" s="20">
        <v>0</v>
      </c>
      <c r="P515" s="20">
        <v>0</v>
      </c>
      <c r="Q515" s="20">
        <v>0</v>
      </c>
      <c r="R515" s="19">
        <f t="shared" si="67"/>
        <v>1893276</v>
      </c>
      <c r="S515" s="19">
        <v>3000</v>
      </c>
      <c r="T515" s="19">
        <f t="shared" si="68"/>
        <v>1896276</v>
      </c>
      <c r="U515" s="105"/>
      <c r="X515" s="10">
        <f t="shared" si="63"/>
        <v>1893276</v>
      </c>
      <c r="Y515" s="2">
        <f t="shared" si="64"/>
        <v>0</v>
      </c>
      <c r="Z515" s="10">
        <f t="shared" si="69"/>
        <v>0</v>
      </c>
    </row>
    <row r="516" spans="1:26" ht="18" customHeight="1" x14ac:dyDescent="0.25">
      <c r="A516" s="11">
        <v>142</v>
      </c>
      <c r="B516" s="67" t="s">
        <v>1245</v>
      </c>
      <c r="C516" s="14" t="s">
        <v>1246</v>
      </c>
      <c r="D516" s="13" t="s">
        <v>68</v>
      </c>
      <c r="E516" s="14" t="s">
        <v>1247</v>
      </c>
      <c r="F516" s="15" t="s">
        <v>24</v>
      </c>
      <c r="G516" s="16">
        <v>3500</v>
      </c>
      <c r="H516" s="82" t="s">
        <v>25</v>
      </c>
      <c r="I516" s="15" t="s">
        <v>1248</v>
      </c>
      <c r="J516" s="15">
        <v>12766</v>
      </c>
      <c r="K516" s="15">
        <v>13835</v>
      </c>
      <c r="L516" s="18">
        <v>1069</v>
      </c>
      <c r="M516" s="19">
        <v>1816798</v>
      </c>
      <c r="N516" s="20">
        <v>0</v>
      </c>
      <c r="O516" s="20">
        <v>0</v>
      </c>
      <c r="P516" s="20">
        <v>0</v>
      </c>
      <c r="Q516" s="20">
        <v>0</v>
      </c>
      <c r="R516" s="19">
        <f t="shared" si="67"/>
        <v>1816798</v>
      </c>
      <c r="S516" s="19">
        <v>3000</v>
      </c>
      <c r="T516" s="19">
        <f t="shared" si="68"/>
        <v>1819798</v>
      </c>
      <c r="U516" s="105"/>
      <c r="X516" s="10">
        <f t="shared" si="63"/>
        <v>1816798</v>
      </c>
      <c r="Y516" s="2">
        <f t="shared" si="64"/>
        <v>0</v>
      </c>
      <c r="Z516" s="10">
        <f t="shared" si="69"/>
        <v>0</v>
      </c>
    </row>
    <row r="517" spans="1:26" ht="18" customHeight="1" x14ac:dyDescent="0.25">
      <c r="A517" s="11">
        <v>143</v>
      </c>
      <c r="B517" s="67" t="s">
        <v>1249</v>
      </c>
      <c r="C517" s="14" t="s">
        <v>1250</v>
      </c>
      <c r="D517" s="13" t="s">
        <v>68</v>
      </c>
      <c r="E517" s="14" t="s">
        <v>1251</v>
      </c>
      <c r="F517" s="15" t="s">
        <v>24</v>
      </c>
      <c r="G517" s="16">
        <v>7700</v>
      </c>
      <c r="H517" s="82" t="s">
        <v>25</v>
      </c>
      <c r="I517" s="15" t="s">
        <v>1252</v>
      </c>
      <c r="J517" s="15">
        <v>1933</v>
      </c>
      <c r="K517" s="15">
        <v>3380</v>
      </c>
      <c r="L517" s="18">
        <v>1447</v>
      </c>
      <c r="M517" s="19">
        <v>2459220</v>
      </c>
      <c r="N517" s="20">
        <v>0</v>
      </c>
      <c r="O517" s="20">
        <v>0</v>
      </c>
      <c r="P517" s="20">
        <v>0</v>
      </c>
      <c r="Q517" s="20">
        <v>0</v>
      </c>
      <c r="R517" s="19">
        <f t="shared" si="67"/>
        <v>2459220</v>
      </c>
      <c r="S517" s="19">
        <v>3000</v>
      </c>
      <c r="T517" s="19">
        <f t="shared" si="68"/>
        <v>2462220</v>
      </c>
      <c r="U517" s="105"/>
      <c r="X517" s="10">
        <f t="shared" si="63"/>
        <v>2459220</v>
      </c>
      <c r="Y517" s="2">
        <f t="shared" si="64"/>
        <v>0</v>
      </c>
      <c r="Z517" s="10">
        <f t="shared" si="69"/>
        <v>0</v>
      </c>
    </row>
    <row r="518" spans="1:26" ht="18" customHeight="1" x14ac:dyDescent="0.25">
      <c r="A518" s="11">
        <v>144</v>
      </c>
      <c r="B518" s="67" t="s">
        <v>1253</v>
      </c>
      <c r="C518" s="14" t="s">
        <v>1254</v>
      </c>
      <c r="D518" s="13" t="s">
        <v>28</v>
      </c>
      <c r="E518" s="14" t="s">
        <v>1255</v>
      </c>
      <c r="F518" s="15" t="s">
        <v>24</v>
      </c>
      <c r="G518" s="16">
        <v>5500</v>
      </c>
      <c r="H518" s="82" t="s">
        <v>25</v>
      </c>
      <c r="I518" s="15" t="s">
        <v>1256</v>
      </c>
      <c r="J518" s="15">
        <v>51367</v>
      </c>
      <c r="K518" s="15">
        <v>51790</v>
      </c>
      <c r="L518" s="18">
        <v>423</v>
      </c>
      <c r="M518" s="19">
        <v>718901</v>
      </c>
      <c r="N518" s="20">
        <v>0</v>
      </c>
      <c r="O518" s="20">
        <v>0</v>
      </c>
      <c r="P518" s="20">
        <v>0</v>
      </c>
      <c r="Q518" s="20">
        <v>0</v>
      </c>
      <c r="R518" s="19">
        <f t="shared" si="67"/>
        <v>718901</v>
      </c>
      <c r="S518" s="19">
        <v>3000</v>
      </c>
      <c r="T518" s="19">
        <f t="shared" si="68"/>
        <v>721901</v>
      </c>
      <c r="U518" s="105"/>
      <c r="X518" s="10">
        <f t="shared" si="63"/>
        <v>718901</v>
      </c>
      <c r="Y518" s="2">
        <f t="shared" si="64"/>
        <v>0</v>
      </c>
      <c r="Z518" s="10">
        <f t="shared" si="69"/>
        <v>0</v>
      </c>
    </row>
    <row r="519" spans="1:26" ht="18" customHeight="1" x14ac:dyDescent="0.25">
      <c r="A519" s="11">
        <v>145</v>
      </c>
      <c r="B519" s="67" t="s">
        <v>1257</v>
      </c>
      <c r="C519" s="14" t="s">
        <v>1258</v>
      </c>
      <c r="D519" s="13" t="s">
        <v>22</v>
      </c>
      <c r="E519" s="14" t="s">
        <v>1259</v>
      </c>
      <c r="F519" s="15" t="s">
        <v>24</v>
      </c>
      <c r="G519" s="16">
        <v>3500</v>
      </c>
      <c r="H519" s="82" t="s">
        <v>25</v>
      </c>
      <c r="I519" s="15" t="s">
        <v>1260</v>
      </c>
      <c r="J519" s="15">
        <v>74859</v>
      </c>
      <c r="K519" s="15">
        <v>75591</v>
      </c>
      <c r="L519" s="18">
        <v>732</v>
      </c>
      <c r="M519" s="19">
        <v>1244056</v>
      </c>
      <c r="N519" s="20">
        <v>0</v>
      </c>
      <c r="O519" s="20">
        <v>0</v>
      </c>
      <c r="P519" s="20">
        <v>0</v>
      </c>
      <c r="Q519" s="20">
        <v>0</v>
      </c>
      <c r="R519" s="19">
        <f t="shared" si="67"/>
        <v>1244056</v>
      </c>
      <c r="S519" s="19">
        <v>3000</v>
      </c>
      <c r="T519" s="19">
        <f t="shared" si="68"/>
        <v>1247056</v>
      </c>
      <c r="U519" s="105"/>
      <c r="X519" s="10">
        <f t="shared" si="63"/>
        <v>1244056</v>
      </c>
      <c r="Y519" s="2">
        <f t="shared" si="64"/>
        <v>0</v>
      </c>
      <c r="Z519" s="10">
        <f t="shared" si="69"/>
        <v>0</v>
      </c>
    </row>
    <row r="520" spans="1:26" ht="18" customHeight="1" x14ac:dyDescent="0.25">
      <c r="A520" s="11">
        <v>146</v>
      </c>
      <c r="B520" s="67" t="s">
        <v>1261</v>
      </c>
      <c r="C520" s="14" t="s">
        <v>1262</v>
      </c>
      <c r="D520" s="13" t="s">
        <v>22</v>
      </c>
      <c r="E520" s="14" t="s">
        <v>1216</v>
      </c>
      <c r="F520" s="15" t="s">
        <v>24</v>
      </c>
      <c r="G520" s="16">
        <v>4400</v>
      </c>
      <c r="H520" s="82" t="s">
        <v>25</v>
      </c>
      <c r="I520" s="15" t="s">
        <v>1263</v>
      </c>
      <c r="J520" s="15">
        <v>76510</v>
      </c>
      <c r="K520" s="15">
        <v>77964</v>
      </c>
      <c r="L520" s="18">
        <v>1454</v>
      </c>
      <c r="M520" s="19">
        <v>2471117</v>
      </c>
      <c r="N520" s="20">
        <v>0</v>
      </c>
      <c r="O520" s="20">
        <v>0</v>
      </c>
      <c r="P520" s="20">
        <v>0</v>
      </c>
      <c r="Q520" s="20">
        <v>0</v>
      </c>
      <c r="R520" s="19">
        <f t="shared" si="67"/>
        <v>2471117</v>
      </c>
      <c r="S520" s="19">
        <v>3000</v>
      </c>
      <c r="T520" s="19">
        <f t="shared" si="68"/>
        <v>2474117</v>
      </c>
      <c r="U520" s="105"/>
      <c r="X520" s="10">
        <f t="shared" si="63"/>
        <v>2471117</v>
      </c>
      <c r="Y520" s="2">
        <f t="shared" si="64"/>
        <v>0</v>
      </c>
      <c r="Z520" s="10">
        <f t="shared" si="69"/>
        <v>0</v>
      </c>
    </row>
    <row r="521" spans="1:26" ht="18" customHeight="1" x14ac:dyDescent="0.25">
      <c r="A521" s="11">
        <v>147</v>
      </c>
      <c r="B521" s="67" t="s">
        <v>1264</v>
      </c>
      <c r="C521" s="14" t="s">
        <v>1265</v>
      </c>
      <c r="D521" s="13" t="s">
        <v>22</v>
      </c>
      <c r="E521" s="14" t="s">
        <v>1266</v>
      </c>
      <c r="F521" s="15" t="s">
        <v>24</v>
      </c>
      <c r="G521" s="16">
        <v>1300</v>
      </c>
      <c r="H521" s="82" t="s">
        <v>25</v>
      </c>
      <c r="I521" s="15" t="s">
        <v>1267</v>
      </c>
      <c r="J521" s="15">
        <v>2276</v>
      </c>
      <c r="K521" s="15">
        <v>2518</v>
      </c>
      <c r="L521" s="18">
        <v>242</v>
      </c>
      <c r="M521" s="19">
        <v>411286</v>
      </c>
      <c r="N521" s="20">
        <v>0</v>
      </c>
      <c r="O521" s="20">
        <v>0</v>
      </c>
      <c r="P521" s="20">
        <v>0</v>
      </c>
      <c r="Q521" s="20">
        <v>0</v>
      </c>
      <c r="R521" s="19">
        <f t="shared" si="67"/>
        <v>411286</v>
      </c>
      <c r="S521" s="19">
        <v>3000</v>
      </c>
      <c r="T521" s="19">
        <f t="shared" si="68"/>
        <v>414286</v>
      </c>
      <c r="U521" s="105"/>
      <c r="X521" s="10">
        <f t="shared" ref="X521:X584" si="70">M521+N521+O521+P521</f>
        <v>411286</v>
      </c>
      <c r="Y521" s="2">
        <f t="shared" ref="Y521:Y584" si="71">IF(X521&gt;5000000,10000,IF(V521&lt;5000000,0,IF(V521=5000000,10000)))</f>
        <v>0</v>
      </c>
      <c r="Z521" s="10">
        <f t="shared" si="69"/>
        <v>0</v>
      </c>
    </row>
    <row r="522" spans="1:26" ht="18" customHeight="1" x14ac:dyDescent="0.25">
      <c r="A522" s="11">
        <v>148</v>
      </c>
      <c r="B522" s="67" t="s">
        <v>1268</v>
      </c>
      <c r="C522" s="14" t="s">
        <v>1269</v>
      </c>
      <c r="D522" s="13" t="s">
        <v>22</v>
      </c>
      <c r="E522" s="14" t="s">
        <v>1270</v>
      </c>
      <c r="F522" s="15" t="s">
        <v>24</v>
      </c>
      <c r="G522" s="16">
        <v>2200</v>
      </c>
      <c r="H522" s="82" t="s">
        <v>25</v>
      </c>
      <c r="I522" s="15" t="s">
        <v>1271</v>
      </c>
      <c r="J522" s="15">
        <v>31846</v>
      </c>
      <c r="K522" s="15">
        <v>32625</v>
      </c>
      <c r="L522" s="18">
        <v>779</v>
      </c>
      <c r="M522" s="19">
        <v>1323934</v>
      </c>
      <c r="N522" s="20">
        <v>0</v>
      </c>
      <c r="O522" s="20">
        <v>0</v>
      </c>
      <c r="P522" s="20">
        <v>0</v>
      </c>
      <c r="Q522" s="20">
        <v>0</v>
      </c>
      <c r="R522" s="19">
        <f t="shared" si="67"/>
        <v>1323934</v>
      </c>
      <c r="S522" s="19">
        <v>3000</v>
      </c>
      <c r="T522" s="19">
        <f t="shared" si="68"/>
        <v>1326934</v>
      </c>
      <c r="U522" s="105"/>
      <c r="X522" s="10">
        <f t="shared" si="70"/>
        <v>1323934</v>
      </c>
      <c r="Y522" s="2">
        <f t="shared" si="71"/>
        <v>0</v>
      </c>
      <c r="Z522" s="10">
        <f t="shared" si="69"/>
        <v>0</v>
      </c>
    </row>
    <row r="523" spans="1:26" ht="18" customHeight="1" x14ac:dyDescent="0.25">
      <c r="A523" s="11">
        <v>149</v>
      </c>
      <c r="B523" s="67" t="s">
        <v>1272</v>
      </c>
      <c r="C523" s="14" t="s">
        <v>1273</v>
      </c>
      <c r="D523" s="13" t="s">
        <v>22</v>
      </c>
      <c r="E523" s="14" t="s">
        <v>1274</v>
      </c>
      <c r="F523" s="15" t="s">
        <v>24</v>
      </c>
      <c r="G523" s="16">
        <v>3500</v>
      </c>
      <c r="H523" s="82" t="s">
        <v>25</v>
      </c>
      <c r="I523" s="15" t="s">
        <v>1275</v>
      </c>
      <c r="J523" s="15">
        <v>56439</v>
      </c>
      <c r="K523" s="15">
        <v>58151</v>
      </c>
      <c r="L523" s="18">
        <v>1712</v>
      </c>
      <c r="M523" s="19">
        <v>2909595</v>
      </c>
      <c r="N523" s="20">
        <v>0</v>
      </c>
      <c r="O523" s="20">
        <v>0</v>
      </c>
      <c r="P523" s="20">
        <v>0</v>
      </c>
      <c r="Q523" s="20">
        <v>0</v>
      </c>
      <c r="R523" s="19">
        <f t="shared" si="67"/>
        <v>2909595</v>
      </c>
      <c r="S523" s="19">
        <v>3000</v>
      </c>
      <c r="T523" s="19">
        <f t="shared" si="68"/>
        <v>2912595</v>
      </c>
      <c r="U523" s="105"/>
      <c r="X523" s="10">
        <f t="shared" si="70"/>
        <v>2909595</v>
      </c>
      <c r="Y523" s="2">
        <f t="shared" si="71"/>
        <v>0</v>
      </c>
      <c r="Z523" s="10">
        <f t="shared" si="69"/>
        <v>0</v>
      </c>
    </row>
    <row r="524" spans="1:26" ht="18" customHeight="1" x14ac:dyDescent="0.25">
      <c r="A524" s="11">
        <v>150</v>
      </c>
      <c r="B524" s="67" t="s">
        <v>1276</v>
      </c>
      <c r="C524" s="14" t="s">
        <v>1277</v>
      </c>
      <c r="D524" s="13" t="s">
        <v>22</v>
      </c>
      <c r="E524" s="14" t="s">
        <v>1278</v>
      </c>
      <c r="F524" s="15" t="s">
        <v>24</v>
      </c>
      <c r="G524" s="16">
        <v>3500</v>
      </c>
      <c r="H524" s="82" t="s">
        <v>25</v>
      </c>
      <c r="I524" s="15" t="s">
        <v>1279</v>
      </c>
      <c r="J524" s="15">
        <v>53485</v>
      </c>
      <c r="K524" s="15">
        <v>54480</v>
      </c>
      <c r="L524" s="18">
        <v>995</v>
      </c>
      <c r="M524" s="19">
        <v>1691032</v>
      </c>
      <c r="N524" s="20">
        <v>0</v>
      </c>
      <c r="O524" s="20">
        <v>0</v>
      </c>
      <c r="P524" s="20">
        <v>0</v>
      </c>
      <c r="Q524" s="20">
        <v>0</v>
      </c>
      <c r="R524" s="19">
        <f t="shared" si="67"/>
        <v>1691032</v>
      </c>
      <c r="S524" s="19">
        <v>3000</v>
      </c>
      <c r="T524" s="19">
        <f t="shared" si="68"/>
        <v>1694032</v>
      </c>
      <c r="U524" s="105"/>
      <c r="X524" s="10">
        <f t="shared" si="70"/>
        <v>1691032</v>
      </c>
      <c r="Y524" s="2">
        <f t="shared" si="71"/>
        <v>0</v>
      </c>
      <c r="Z524" s="10">
        <f t="shared" si="69"/>
        <v>0</v>
      </c>
    </row>
    <row r="525" spans="1:26" ht="18" customHeight="1" x14ac:dyDescent="0.25">
      <c r="A525" s="11">
        <v>151</v>
      </c>
      <c r="B525" s="67" t="s">
        <v>1280</v>
      </c>
      <c r="C525" s="14" t="s">
        <v>1281</v>
      </c>
      <c r="D525" s="13" t="s">
        <v>22</v>
      </c>
      <c r="E525" s="14" t="s">
        <v>1282</v>
      </c>
      <c r="F525" s="15" t="s">
        <v>24</v>
      </c>
      <c r="G525" s="16">
        <v>4400</v>
      </c>
      <c r="H525" s="82" t="s">
        <v>25</v>
      </c>
      <c r="I525" s="15" t="s">
        <v>1283</v>
      </c>
      <c r="J525" s="15">
        <v>29370</v>
      </c>
      <c r="K525" s="15">
        <v>30153</v>
      </c>
      <c r="L525" s="18">
        <v>783</v>
      </c>
      <c r="M525" s="19">
        <v>1330732</v>
      </c>
      <c r="N525" s="20">
        <v>0</v>
      </c>
      <c r="O525" s="20">
        <v>0</v>
      </c>
      <c r="P525" s="20">
        <v>0</v>
      </c>
      <c r="Q525" s="20">
        <v>0</v>
      </c>
      <c r="R525" s="19">
        <f t="shared" si="67"/>
        <v>1330732</v>
      </c>
      <c r="S525" s="19">
        <v>3000</v>
      </c>
      <c r="T525" s="19">
        <f t="shared" si="68"/>
        <v>1333732</v>
      </c>
      <c r="U525" s="105"/>
      <c r="X525" s="10">
        <f t="shared" si="70"/>
        <v>1330732</v>
      </c>
      <c r="Y525" s="2">
        <f t="shared" si="71"/>
        <v>0</v>
      </c>
      <c r="Z525" s="10">
        <f t="shared" si="69"/>
        <v>0</v>
      </c>
    </row>
    <row r="526" spans="1:26" ht="18" customHeight="1" x14ac:dyDescent="0.25">
      <c r="A526" s="11">
        <v>152</v>
      </c>
      <c r="B526" s="67" t="s">
        <v>1284</v>
      </c>
      <c r="C526" s="14" t="s">
        <v>1285</v>
      </c>
      <c r="D526" s="13" t="s">
        <v>68</v>
      </c>
      <c r="E526" s="14" t="s">
        <v>1286</v>
      </c>
      <c r="F526" s="15" t="s">
        <v>24</v>
      </c>
      <c r="G526" s="16">
        <v>3500</v>
      </c>
      <c r="H526" s="82" t="s">
        <v>25</v>
      </c>
      <c r="I526" s="15" t="s">
        <v>1287</v>
      </c>
      <c r="J526" s="15">
        <v>4312</v>
      </c>
      <c r="K526" s="15">
        <v>5113</v>
      </c>
      <c r="L526" s="18">
        <v>801</v>
      </c>
      <c r="M526" s="19">
        <v>1361324</v>
      </c>
      <c r="N526" s="20">
        <v>0</v>
      </c>
      <c r="O526" s="20">
        <v>0</v>
      </c>
      <c r="P526" s="20">
        <v>0</v>
      </c>
      <c r="Q526" s="20">
        <v>0</v>
      </c>
      <c r="R526" s="19">
        <f t="shared" si="67"/>
        <v>1361324</v>
      </c>
      <c r="S526" s="19">
        <v>3000</v>
      </c>
      <c r="T526" s="19">
        <f t="shared" si="68"/>
        <v>1364324</v>
      </c>
      <c r="U526" s="105"/>
      <c r="X526" s="10">
        <f t="shared" si="70"/>
        <v>1361324</v>
      </c>
      <c r="Y526" s="2">
        <f t="shared" si="71"/>
        <v>0</v>
      </c>
      <c r="Z526" s="10">
        <f t="shared" si="69"/>
        <v>0</v>
      </c>
    </row>
    <row r="527" spans="1:26" ht="18" customHeight="1" x14ac:dyDescent="0.25">
      <c r="A527" s="11">
        <v>153</v>
      </c>
      <c r="B527" s="67" t="s">
        <v>1288</v>
      </c>
      <c r="C527" s="14" t="s">
        <v>1289</v>
      </c>
      <c r="D527" s="13" t="s">
        <v>22</v>
      </c>
      <c r="E527" s="14" t="s">
        <v>1290</v>
      </c>
      <c r="F527" s="15" t="s">
        <v>24</v>
      </c>
      <c r="G527" s="16">
        <v>3500</v>
      </c>
      <c r="H527" s="82" t="s">
        <v>25</v>
      </c>
      <c r="I527" s="15" t="s">
        <v>1291</v>
      </c>
      <c r="J527" s="15">
        <v>66208</v>
      </c>
      <c r="K527" s="15">
        <v>67179</v>
      </c>
      <c r="L527" s="18">
        <v>971</v>
      </c>
      <c r="M527" s="19">
        <v>1650244</v>
      </c>
      <c r="N527" s="20">
        <v>0</v>
      </c>
      <c r="O527" s="20">
        <v>0</v>
      </c>
      <c r="P527" s="20">
        <v>0</v>
      </c>
      <c r="Q527" s="20">
        <v>0</v>
      </c>
      <c r="R527" s="19">
        <f t="shared" si="67"/>
        <v>1650244</v>
      </c>
      <c r="S527" s="19">
        <v>3000</v>
      </c>
      <c r="T527" s="19">
        <f t="shared" si="68"/>
        <v>1653244</v>
      </c>
      <c r="U527" s="105"/>
      <c r="X527" s="10">
        <f t="shared" si="70"/>
        <v>1650244</v>
      </c>
      <c r="Y527" s="2">
        <f t="shared" si="71"/>
        <v>0</v>
      </c>
      <c r="Z527" s="10">
        <f t="shared" si="69"/>
        <v>0</v>
      </c>
    </row>
    <row r="528" spans="1:26" ht="18" customHeight="1" x14ac:dyDescent="0.25">
      <c r="A528" s="11">
        <v>154</v>
      </c>
      <c r="B528" s="67" t="s">
        <v>1292</v>
      </c>
      <c r="C528" s="14" t="s">
        <v>1293</v>
      </c>
      <c r="D528" s="13" t="s">
        <v>22</v>
      </c>
      <c r="E528" s="14" t="s">
        <v>1294</v>
      </c>
      <c r="F528" s="15" t="s">
        <v>24</v>
      </c>
      <c r="G528" s="16">
        <v>4400</v>
      </c>
      <c r="H528" s="82" t="s">
        <v>25</v>
      </c>
      <c r="I528" s="15" t="s">
        <v>1295</v>
      </c>
      <c r="J528" s="15">
        <v>39502</v>
      </c>
      <c r="K528" s="15">
        <v>39695</v>
      </c>
      <c r="L528" s="18">
        <v>193</v>
      </c>
      <c r="M528" s="19">
        <v>328009</v>
      </c>
      <c r="N528" s="20">
        <v>0</v>
      </c>
      <c r="O528" s="20">
        <v>0</v>
      </c>
      <c r="P528" s="20">
        <v>0</v>
      </c>
      <c r="Q528" s="20">
        <v>0</v>
      </c>
      <c r="R528" s="19">
        <f t="shared" si="67"/>
        <v>328009</v>
      </c>
      <c r="S528" s="19">
        <v>3000</v>
      </c>
      <c r="T528" s="19">
        <f t="shared" si="68"/>
        <v>331009</v>
      </c>
      <c r="U528" s="105"/>
      <c r="X528" s="10">
        <f t="shared" si="70"/>
        <v>328009</v>
      </c>
      <c r="Y528" s="2">
        <f t="shared" si="71"/>
        <v>0</v>
      </c>
      <c r="Z528" s="10">
        <f t="shared" si="69"/>
        <v>0</v>
      </c>
    </row>
    <row r="529" spans="1:26" ht="18" customHeight="1" x14ac:dyDescent="0.25">
      <c r="A529" s="11">
        <v>155</v>
      </c>
      <c r="B529" s="67" t="s">
        <v>1296</v>
      </c>
      <c r="C529" s="14" t="s">
        <v>1297</v>
      </c>
      <c r="D529" s="13" t="s">
        <v>22</v>
      </c>
      <c r="E529" s="14" t="s">
        <v>1298</v>
      </c>
      <c r="F529" s="15" t="s">
        <v>24</v>
      </c>
      <c r="G529" s="16">
        <v>3500</v>
      </c>
      <c r="H529" s="82" t="s">
        <v>25</v>
      </c>
      <c r="I529" s="15" t="s">
        <v>1299</v>
      </c>
      <c r="J529" s="15">
        <v>32481</v>
      </c>
      <c r="K529" s="15">
        <v>34306</v>
      </c>
      <c r="L529" s="18">
        <v>1825</v>
      </c>
      <c r="M529" s="19">
        <v>3101642</v>
      </c>
      <c r="N529" s="20">
        <v>0</v>
      </c>
      <c r="O529" s="20">
        <v>0</v>
      </c>
      <c r="P529" s="20">
        <v>0</v>
      </c>
      <c r="Q529" s="20">
        <v>0</v>
      </c>
      <c r="R529" s="19">
        <f t="shared" si="67"/>
        <v>3101642</v>
      </c>
      <c r="S529" s="19">
        <v>3000</v>
      </c>
      <c r="T529" s="19">
        <f t="shared" si="68"/>
        <v>3104642</v>
      </c>
      <c r="U529" s="105"/>
      <c r="X529" s="10">
        <f t="shared" si="70"/>
        <v>3101642</v>
      </c>
      <c r="Y529" s="2">
        <f t="shared" si="71"/>
        <v>0</v>
      </c>
      <c r="Z529" s="10">
        <f t="shared" si="69"/>
        <v>0</v>
      </c>
    </row>
    <row r="530" spans="1:26" ht="18" customHeight="1" x14ac:dyDescent="0.25">
      <c r="A530" s="11">
        <v>156</v>
      </c>
      <c r="B530" s="67" t="s">
        <v>1300</v>
      </c>
      <c r="C530" s="14" t="s">
        <v>1301</v>
      </c>
      <c r="D530" s="13" t="s">
        <v>22</v>
      </c>
      <c r="E530" s="14" t="s">
        <v>1302</v>
      </c>
      <c r="F530" s="15" t="s">
        <v>24</v>
      </c>
      <c r="G530" s="16">
        <v>4400</v>
      </c>
      <c r="H530" s="82" t="s">
        <v>25</v>
      </c>
      <c r="I530" s="15" t="s">
        <v>1303</v>
      </c>
      <c r="J530" s="15">
        <v>33270</v>
      </c>
      <c r="K530" s="15">
        <v>34449</v>
      </c>
      <c r="L530" s="18">
        <v>1179</v>
      </c>
      <c r="M530" s="19">
        <v>2003746</v>
      </c>
      <c r="N530" s="20">
        <v>0</v>
      </c>
      <c r="O530" s="20">
        <v>0</v>
      </c>
      <c r="P530" s="20">
        <v>0</v>
      </c>
      <c r="Q530" s="20">
        <v>0</v>
      </c>
      <c r="R530" s="19">
        <f t="shared" si="67"/>
        <v>2003746</v>
      </c>
      <c r="S530" s="19">
        <v>3000</v>
      </c>
      <c r="T530" s="19">
        <f t="shared" si="68"/>
        <v>2006746</v>
      </c>
      <c r="U530" s="105"/>
      <c r="X530" s="10">
        <f t="shared" si="70"/>
        <v>2003746</v>
      </c>
      <c r="Y530" s="2">
        <f t="shared" si="71"/>
        <v>0</v>
      </c>
      <c r="Z530" s="10">
        <f t="shared" si="69"/>
        <v>0</v>
      </c>
    </row>
    <row r="531" spans="1:26" ht="18" customHeight="1" x14ac:dyDescent="0.25">
      <c r="A531" s="11">
        <v>157</v>
      </c>
      <c r="B531" s="67" t="s">
        <v>1304</v>
      </c>
      <c r="C531" s="14" t="s">
        <v>1305</v>
      </c>
      <c r="D531" s="13" t="s">
        <v>22</v>
      </c>
      <c r="E531" s="14" t="s">
        <v>1306</v>
      </c>
      <c r="F531" s="15" t="s">
        <v>24</v>
      </c>
      <c r="G531" s="16">
        <v>3500</v>
      </c>
      <c r="H531" s="82" t="s">
        <v>25</v>
      </c>
      <c r="I531" s="15" t="s">
        <v>1307</v>
      </c>
      <c r="J531" s="15">
        <v>33369</v>
      </c>
      <c r="K531" s="15">
        <v>34448</v>
      </c>
      <c r="L531" s="18">
        <v>1079</v>
      </c>
      <c r="M531" s="19">
        <v>1833793</v>
      </c>
      <c r="N531" s="20">
        <v>0</v>
      </c>
      <c r="O531" s="20">
        <v>0</v>
      </c>
      <c r="P531" s="20">
        <v>0</v>
      </c>
      <c r="Q531" s="20">
        <v>0</v>
      </c>
      <c r="R531" s="19">
        <f t="shared" si="67"/>
        <v>1833793</v>
      </c>
      <c r="S531" s="19">
        <v>3000</v>
      </c>
      <c r="T531" s="19">
        <f t="shared" si="68"/>
        <v>1836793</v>
      </c>
      <c r="U531" s="105"/>
      <c r="X531" s="10">
        <f t="shared" si="70"/>
        <v>1833793</v>
      </c>
      <c r="Y531" s="2">
        <f t="shared" si="71"/>
        <v>0</v>
      </c>
      <c r="Z531" s="10">
        <f t="shared" si="69"/>
        <v>0</v>
      </c>
    </row>
    <row r="532" spans="1:26" ht="18" customHeight="1" x14ac:dyDescent="0.25">
      <c r="A532" s="11">
        <v>158</v>
      </c>
      <c r="B532" s="67" t="s">
        <v>1308</v>
      </c>
      <c r="C532" s="14" t="s">
        <v>1309</v>
      </c>
      <c r="D532" s="13" t="s">
        <v>22</v>
      </c>
      <c r="E532" s="14" t="s">
        <v>1310</v>
      </c>
      <c r="F532" s="15" t="s">
        <v>24</v>
      </c>
      <c r="G532" s="16">
        <v>1300</v>
      </c>
      <c r="H532" s="82" t="s">
        <v>25</v>
      </c>
      <c r="I532" s="15" t="s">
        <v>1311</v>
      </c>
      <c r="J532" s="15">
        <v>99063</v>
      </c>
      <c r="K532" s="15">
        <v>99454</v>
      </c>
      <c r="L532" s="18">
        <v>391</v>
      </c>
      <c r="M532" s="19">
        <v>664516</v>
      </c>
      <c r="N532" s="20">
        <v>0</v>
      </c>
      <c r="O532" s="20">
        <v>0</v>
      </c>
      <c r="P532" s="20">
        <v>0</v>
      </c>
      <c r="Q532" s="20">
        <v>0</v>
      </c>
      <c r="R532" s="19">
        <f t="shared" si="67"/>
        <v>664516</v>
      </c>
      <c r="S532" s="19">
        <v>3000</v>
      </c>
      <c r="T532" s="19">
        <f t="shared" si="68"/>
        <v>667516</v>
      </c>
      <c r="U532" s="105"/>
      <c r="X532" s="10">
        <f t="shared" si="70"/>
        <v>664516</v>
      </c>
      <c r="Y532" s="2">
        <f t="shared" si="71"/>
        <v>0</v>
      </c>
      <c r="Z532" s="10">
        <f t="shared" si="69"/>
        <v>0</v>
      </c>
    </row>
    <row r="533" spans="1:26" ht="18" customHeight="1" x14ac:dyDescent="0.25">
      <c r="A533" s="11">
        <v>159</v>
      </c>
      <c r="B533" s="67" t="s">
        <v>1312</v>
      </c>
      <c r="C533" s="14" t="s">
        <v>1313</v>
      </c>
      <c r="D533" s="13" t="s">
        <v>22</v>
      </c>
      <c r="E533" s="14" t="s">
        <v>1314</v>
      </c>
      <c r="F533" s="15" t="s">
        <v>24</v>
      </c>
      <c r="G533" s="16">
        <v>2200</v>
      </c>
      <c r="H533" s="82" t="s">
        <v>25</v>
      </c>
      <c r="I533" s="15" t="s">
        <v>1315</v>
      </c>
      <c r="J533" s="15">
        <v>49701</v>
      </c>
      <c r="K533" s="15">
        <v>50602</v>
      </c>
      <c r="L533" s="18">
        <v>901</v>
      </c>
      <c r="M533" s="19">
        <v>1531277</v>
      </c>
      <c r="N533" s="20">
        <v>0</v>
      </c>
      <c r="O533" s="20">
        <v>0</v>
      </c>
      <c r="P533" s="20">
        <v>0</v>
      </c>
      <c r="Q533" s="20">
        <v>0</v>
      </c>
      <c r="R533" s="19">
        <f t="shared" si="67"/>
        <v>1531277</v>
      </c>
      <c r="S533" s="19">
        <v>3000</v>
      </c>
      <c r="T533" s="19">
        <f t="shared" si="68"/>
        <v>1534277</v>
      </c>
      <c r="U533" s="105"/>
      <c r="X533" s="10">
        <f t="shared" si="70"/>
        <v>1531277</v>
      </c>
      <c r="Y533" s="2">
        <f t="shared" si="71"/>
        <v>0</v>
      </c>
      <c r="Z533" s="10">
        <f t="shared" si="69"/>
        <v>0</v>
      </c>
    </row>
    <row r="534" spans="1:26" ht="18" customHeight="1" x14ac:dyDescent="0.25">
      <c r="A534" s="11">
        <v>160</v>
      </c>
      <c r="B534" s="67" t="s">
        <v>1316</v>
      </c>
      <c r="C534" s="14" t="s">
        <v>1317</v>
      </c>
      <c r="D534" s="13" t="s">
        <v>22</v>
      </c>
      <c r="E534" s="14" t="s">
        <v>1318</v>
      </c>
      <c r="F534" s="15" t="s">
        <v>24</v>
      </c>
      <c r="G534" s="16">
        <v>3500</v>
      </c>
      <c r="H534" s="82" t="s">
        <v>25</v>
      </c>
      <c r="I534" s="15" t="s">
        <v>1319</v>
      </c>
      <c r="J534" s="15">
        <v>23824</v>
      </c>
      <c r="K534" s="15">
        <v>26340</v>
      </c>
      <c r="L534" s="18">
        <v>2516</v>
      </c>
      <c r="M534" s="19">
        <v>4276017</v>
      </c>
      <c r="N534" s="20">
        <v>0</v>
      </c>
      <c r="O534" s="20">
        <v>0</v>
      </c>
      <c r="P534" s="20">
        <v>0</v>
      </c>
      <c r="Q534" s="20">
        <v>0</v>
      </c>
      <c r="R534" s="19">
        <f t="shared" si="67"/>
        <v>4276017</v>
      </c>
      <c r="S534" s="19">
        <v>3000</v>
      </c>
      <c r="T534" s="19">
        <f t="shared" si="68"/>
        <v>4279017</v>
      </c>
      <c r="U534" s="105"/>
      <c r="X534" s="10">
        <f t="shared" si="70"/>
        <v>4276017</v>
      </c>
      <c r="Y534" s="2">
        <f t="shared" si="71"/>
        <v>0</v>
      </c>
      <c r="Z534" s="10">
        <f t="shared" si="69"/>
        <v>0</v>
      </c>
    </row>
    <row r="535" spans="1:26" s="25" customFormat="1" ht="18" customHeight="1" x14ac:dyDescent="0.25">
      <c r="A535" s="14"/>
      <c r="B535" s="15"/>
      <c r="C535" s="14"/>
      <c r="D535" s="14"/>
      <c r="E535" s="14"/>
      <c r="F535" s="15"/>
      <c r="G535" s="15"/>
      <c r="H535" s="15"/>
      <c r="I535" s="15" t="s">
        <v>0</v>
      </c>
      <c r="J535" s="15"/>
      <c r="K535" s="15"/>
      <c r="L535" s="18" t="s">
        <v>0</v>
      </c>
      <c r="M535" s="19"/>
      <c r="N535" s="38"/>
      <c r="O535" s="38"/>
      <c r="P535" s="38"/>
      <c r="Q535" s="38"/>
      <c r="R535" s="19"/>
      <c r="S535" s="19"/>
      <c r="T535" s="19"/>
      <c r="U535" s="105"/>
      <c r="X535" s="10">
        <f t="shared" si="70"/>
        <v>0</v>
      </c>
      <c r="Y535" s="2">
        <f t="shared" si="71"/>
        <v>0</v>
      </c>
      <c r="Z535" s="10"/>
    </row>
    <row r="536" spans="1:26" ht="33.75" customHeight="1" x14ac:dyDescent="0.25">
      <c r="A536" s="34" t="s">
        <v>139</v>
      </c>
      <c r="B536" s="9"/>
      <c r="C536" s="9"/>
      <c r="D536" s="9"/>
      <c r="E536" s="9"/>
      <c r="F536" s="9"/>
      <c r="G536" s="61">
        <f>SUM(G494:G535)</f>
        <v>726000</v>
      </c>
      <c r="H536" s="61">
        <f t="shared" ref="H536:R536" si="72">SUM(H494:H535)</f>
        <v>0</v>
      </c>
      <c r="I536" s="61">
        <f t="shared" si="72"/>
        <v>0</v>
      </c>
      <c r="J536" s="61"/>
      <c r="K536" s="61"/>
      <c r="L536" s="61">
        <f t="shared" si="72"/>
        <v>146022</v>
      </c>
      <c r="M536" s="61">
        <f t="shared" si="72"/>
        <v>248168768</v>
      </c>
      <c r="N536" s="61">
        <f t="shared" si="72"/>
        <v>0</v>
      </c>
      <c r="O536" s="61">
        <f t="shared" si="72"/>
        <v>0</v>
      </c>
      <c r="P536" s="61">
        <f t="shared" si="72"/>
        <v>0</v>
      </c>
      <c r="Q536" s="61">
        <f t="shared" si="72"/>
        <v>10000</v>
      </c>
      <c r="R536" s="61">
        <f t="shared" si="72"/>
        <v>248178768</v>
      </c>
      <c r="S536" s="61">
        <f>SUM(S494:S535)</f>
        <v>480000</v>
      </c>
      <c r="T536" s="61">
        <f>SUM(T494:T535)</f>
        <v>248658768</v>
      </c>
      <c r="U536" s="28"/>
      <c r="W536" s="62"/>
      <c r="X536" s="10">
        <f t="shared" si="70"/>
        <v>248168768</v>
      </c>
      <c r="Y536" s="2">
        <f t="shared" si="71"/>
        <v>10000</v>
      </c>
      <c r="Z536" s="10"/>
    </row>
    <row r="537" spans="1:26" ht="18" customHeight="1" x14ac:dyDescent="0.25">
      <c r="L537" s="31"/>
      <c r="X537" s="10">
        <f t="shared" si="70"/>
        <v>0</v>
      </c>
      <c r="Y537" s="2">
        <f t="shared" si="71"/>
        <v>0</v>
      </c>
      <c r="Z537" s="10"/>
    </row>
    <row r="538" spans="1:26" ht="18" customHeight="1" x14ac:dyDescent="0.25">
      <c r="G538" s="43"/>
      <c r="H538" s="43"/>
      <c r="L538" s="31"/>
      <c r="X538" s="10">
        <f t="shared" si="70"/>
        <v>0</v>
      </c>
      <c r="Y538" s="2">
        <f t="shared" si="71"/>
        <v>0</v>
      </c>
      <c r="Z538" s="10"/>
    </row>
    <row r="539" spans="1:26" ht="18" customHeight="1" x14ac:dyDescent="0.25">
      <c r="A539" s="3"/>
      <c r="C539" s="3" t="s">
        <v>140</v>
      </c>
      <c r="D539" s="3"/>
      <c r="E539" s="3" t="s">
        <v>140</v>
      </c>
      <c r="L539" s="31"/>
      <c r="X539" s="10">
        <f t="shared" si="70"/>
        <v>0</v>
      </c>
      <c r="Y539" s="2">
        <f t="shared" si="71"/>
        <v>0</v>
      </c>
      <c r="Z539" s="10"/>
    </row>
    <row r="540" spans="1:26" s="84" customFormat="1" ht="39" customHeight="1" x14ac:dyDescent="0.25">
      <c r="A540" s="9" t="s">
        <v>4</v>
      </c>
      <c r="B540" s="21" t="s">
        <v>5</v>
      </c>
      <c r="C540" s="21" t="s">
        <v>6</v>
      </c>
      <c r="D540" s="12"/>
      <c r="E540" s="9" t="s">
        <v>7</v>
      </c>
      <c r="F540" s="21" t="s">
        <v>8</v>
      </c>
      <c r="G540" s="21" t="s">
        <v>9</v>
      </c>
      <c r="H540" s="21" t="s">
        <v>10</v>
      </c>
      <c r="I540" s="21" t="s">
        <v>11</v>
      </c>
      <c r="J540" s="21" t="s">
        <v>12</v>
      </c>
      <c r="K540" s="21" t="s">
        <v>13</v>
      </c>
      <c r="L540" s="21" t="s">
        <v>14</v>
      </c>
      <c r="M540" s="143" t="s">
        <v>15</v>
      </c>
      <c r="N540" s="144" t="s">
        <v>16</v>
      </c>
      <c r="O540" s="144" t="s">
        <v>17</v>
      </c>
      <c r="P540" s="144" t="s">
        <v>18</v>
      </c>
      <c r="Q540" s="144" t="s">
        <v>19</v>
      </c>
      <c r="R540" s="143" t="s">
        <v>20</v>
      </c>
      <c r="S540" s="143" t="s">
        <v>3471</v>
      </c>
      <c r="T540" s="143" t="s">
        <v>3472</v>
      </c>
      <c r="U540" s="145"/>
      <c r="V540" s="145"/>
      <c r="W540" s="145"/>
      <c r="X540" s="145"/>
    </row>
    <row r="541" spans="1:26" ht="18" customHeight="1" x14ac:dyDescent="0.25">
      <c r="A541" s="34"/>
      <c r="B541" s="9"/>
      <c r="C541" s="9"/>
      <c r="D541" s="9"/>
      <c r="E541" s="9"/>
      <c r="F541" s="9"/>
      <c r="G541" s="9"/>
      <c r="H541" s="9"/>
      <c r="I541" s="15" t="s">
        <v>0</v>
      </c>
      <c r="J541" s="15"/>
      <c r="K541" s="15"/>
      <c r="L541" s="18" t="s">
        <v>0</v>
      </c>
      <c r="M541" s="19"/>
      <c r="N541" s="20"/>
      <c r="O541" s="20"/>
      <c r="P541" s="20"/>
      <c r="Q541" s="20"/>
      <c r="R541" s="19"/>
      <c r="S541" s="19"/>
      <c r="T541" s="19"/>
      <c r="U541" s="105"/>
      <c r="X541" s="10">
        <f t="shared" si="70"/>
        <v>0</v>
      </c>
      <c r="Y541" s="2">
        <f t="shared" si="71"/>
        <v>0</v>
      </c>
      <c r="Z541" s="10"/>
    </row>
    <row r="542" spans="1:26" ht="18" customHeight="1" x14ac:dyDescent="0.25">
      <c r="A542" s="34"/>
      <c r="B542" s="9"/>
      <c r="C542" s="15"/>
      <c r="D542" s="15"/>
      <c r="E542" s="35" t="s">
        <v>141</v>
      </c>
      <c r="F542" s="15"/>
      <c r="G542" s="61">
        <f>G536</f>
        <v>726000</v>
      </c>
      <c r="H542" s="61">
        <f t="shared" ref="H542:R542" si="73">H536</f>
        <v>0</v>
      </c>
      <c r="I542" s="61">
        <f t="shared" si="73"/>
        <v>0</v>
      </c>
      <c r="J542" s="61"/>
      <c r="K542" s="61"/>
      <c r="L542" s="61">
        <f t="shared" si="73"/>
        <v>146022</v>
      </c>
      <c r="M542" s="64">
        <f t="shared" si="73"/>
        <v>248168768</v>
      </c>
      <c r="N542" s="65">
        <f t="shared" si="73"/>
        <v>0</v>
      </c>
      <c r="O542" s="65">
        <f t="shared" si="73"/>
        <v>0</v>
      </c>
      <c r="P542" s="65">
        <f t="shared" si="73"/>
        <v>0</v>
      </c>
      <c r="Q542" s="65">
        <f t="shared" si="73"/>
        <v>10000</v>
      </c>
      <c r="R542" s="64">
        <f t="shared" si="73"/>
        <v>248178768</v>
      </c>
      <c r="S542" s="64">
        <f>S536</f>
        <v>480000</v>
      </c>
      <c r="T542" s="64">
        <f>T536</f>
        <v>248658768</v>
      </c>
      <c r="U542" s="148"/>
      <c r="X542" s="10">
        <f t="shared" si="70"/>
        <v>248168768</v>
      </c>
      <c r="Y542" s="2">
        <f t="shared" si="71"/>
        <v>10000</v>
      </c>
      <c r="Z542" s="10"/>
    </row>
    <row r="543" spans="1:26" ht="18" customHeight="1" x14ac:dyDescent="0.25">
      <c r="A543" s="11">
        <v>161</v>
      </c>
      <c r="B543" s="67" t="s">
        <v>1320</v>
      </c>
      <c r="C543" s="14" t="s">
        <v>1321</v>
      </c>
      <c r="D543" s="13" t="s">
        <v>22</v>
      </c>
      <c r="E543" s="14" t="s">
        <v>1322</v>
      </c>
      <c r="F543" s="15" t="s">
        <v>24</v>
      </c>
      <c r="G543" s="16">
        <v>2200</v>
      </c>
      <c r="H543" s="82" t="s">
        <v>25</v>
      </c>
      <c r="I543" s="15" t="s">
        <v>1323</v>
      </c>
      <c r="J543" s="15">
        <v>6659</v>
      </c>
      <c r="K543" s="15">
        <v>7147</v>
      </c>
      <c r="L543" s="18">
        <v>488</v>
      </c>
      <c r="M543" s="19">
        <v>829371</v>
      </c>
      <c r="N543" s="20">
        <v>0</v>
      </c>
      <c r="O543" s="20">
        <v>0</v>
      </c>
      <c r="P543" s="20">
        <v>0</v>
      </c>
      <c r="Q543" s="20">
        <v>0</v>
      </c>
      <c r="R543" s="19">
        <f t="shared" ref="R543:R582" si="74">M543+N543+O543+P543+Q543</f>
        <v>829371</v>
      </c>
      <c r="S543" s="19">
        <v>3000</v>
      </c>
      <c r="T543" s="19">
        <f t="shared" ref="T543:T582" si="75">R543+S543</f>
        <v>832371</v>
      </c>
      <c r="U543" s="105"/>
      <c r="X543" s="10">
        <f t="shared" si="70"/>
        <v>829371</v>
      </c>
      <c r="Y543" s="2">
        <f t="shared" si="71"/>
        <v>0</v>
      </c>
      <c r="Z543" s="10">
        <f t="shared" ref="Z543:Z582" si="76">Q543-Y543</f>
        <v>0</v>
      </c>
    </row>
    <row r="544" spans="1:26" ht="18" customHeight="1" x14ac:dyDescent="0.25">
      <c r="A544" s="11">
        <v>162</v>
      </c>
      <c r="B544" s="67" t="s">
        <v>1324</v>
      </c>
      <c r="C544" s="14" t="s">
        <v>1325</v>
      </c>
      <c r="D544" s="13" t="s">
        <v>68</v>
      </c>
      <c r="E544" s="14" t="s">
        <v>1326</v>
      </c>
      <c r="F544" s="15" t="s">
        <v>24</v>
      </c>
      <c r="G544" s="16">
        <v>5500</v>
      </c>
      <c r="H544" s="82" t="s">
        <v>25</v>
      </c>
      <c r="I544" s="15" t="s">
        <v>1327</v>
      </c>
      <c r="J544" s="15">
        <v>61126</v>
      </c>
      <c r="K544" s="15">
        <v>62628</v>
      </c>
      <c r="L544" s="18">
        <v>1502</v>
      </c>
      <c r="M544" s="19">
        <v>2552694</v>
      </c>
      <c r="N544" s="20">
        <v>0</v>
      </c>
      <c r="O544" s="20">
        <v>0</v>
      </c>
      <c r="P544" s="20">
        <v>0</v>
      </c>
      <c r="Q544" s="20">
        <v>0</v>
      </c>
      <c r="R544" s="19">
        <f t="shared" si="74"/>
        <v>2552694</v>
      </c>
      <c r="S544" s="19">
        <v>3000</v>
      </c>
      <c r="T544" s="19">
        <f t="shared" si="75"/>
        <v>2555694</v>
      </c>
      <c r="U544" s="105"/>
      <c r="X544" s="10">
        <f t="shared" si="70"/>
        <v>2552694</v>
      </c>
      <c r="Y544" s="2">
        <f t="shared" si="71"/>
        <v>0</v>
      </c>
      <c r="Z544" s="10">
        <f t="shared" si="76"/>
        <v>0</v>
      </c>
    </row>
    <row r="545" spans="1:26" ht="18" customHeight="1" x14ac:dyDescent="0.25">
      <c r="A545" s="11">
        <v>163</v>
      </c>
      <c r="B545" s="67" t="s">
        <v>1328</v>
      </c>
      <c r="C545" s="14" t="s">
        <v>1329</v>
      </c>
      <c r="D545" s="13" t="s">
        <v>68</v>
      </c>
      <c r="E545" s="14" t="s">
        <v>1330</v>
      </c>
      <c r="F545" s="15" t="s">
        <v>24</v>
      </c>
      <c r="G545" s="16">
        <v>5500</v>
      </c>
      <c r="H545" s="82" t="s">
        <v>25</v>
      </c>
      <c r="I545" s="15" t="s">
        <v>1331</v>
      </c>
      <c r="J545" s="15">
        <v>92881</v>
      </c>
      <c r="K545" s="15">
        <v>93206</v>
      </c>
      <c r="L545" s="18">
        <v>325</v>
      </c>
      <c r="M545" s="19">
        <v>552347</v>
      </c>
      <c r="N545" s="20">
        <v>0</v>
      </c>
      <c r="O545" s="20">
        <v>0</v>
      </c>
      <c r="P545" s="20">
        <v>0</v>
      </c>
      <c r="Q545" s="20">
        <v>0</v>
      </c>
      <c r="R545" s="19">
        <f t="shared" si="74"/>
        <v>552347</v>
      </c>
      <c r="S545" s="19">
        <v>3000</v>
      </c>
      <c r="T545" s="19">
        <f t="shared" si="75"/>
        <v>555347</v>
      </c>
      <c r="U545" s="105"/>
      <c r="X545" s="10">
        <f t="shared" si="70"/>
        <v>552347</v>
      </c>
      <c r="Y545" s="2">
        <f t="shared" si="71"/>
        <v>0</v>
      </c>
      <c r="Z545" s="10">
        <f t="shared" si="76"/>
        <v>0</v>
      </c>
    </row>
    <row r="546" spans="1:26" ht="18" customHeight="1" x14ac:dyDescent="0.25">
      <c r="A546" s="11">
        <v>164</v>
      </c>
      <c r="B546" s="67" t="s">
        <v>1332</v>
      </c>
      <c r="C546" s="14" t="s">
        <v>1333</v>
      </c>
      <c r="D546" s="13" t="s">
        <v>22</v>
      </c>
      <c r="E546" s="14" t="s">
        <v>1294</v>
      </c>
      <c r="F546" s="15" t="s">
        <v>24</v>
      </c>
      <c r="G546" s="16">
        <v>3500</v>
      </c>
      <c r="H546" s="82" t="s">
        <v>25</v>
      </c>
      <c r="I546" s="15" t="s">
        <v>1334</v>
      </c>
      <c r="J546" s="15">
        <v>13971</v>
      </c>
      <c r="K546" s="15">
        <v>16283</v>
      </c>
      <c r="L546" s="18">
        <v>2312</v>
      </c>
      <c r="M546" s="19">
        <v>3929313</v>
      </c>
      <c r="N546" s="20">
        <v>0</v>
      </c>
      <c r="O546" s="20">
        <v>0</v>
      </c>
      <c r="P546" s="20">
        <v>0</v>
      </c>
      <c r="Q546" s="20">
        <v>0</v>
      </c>
      <c r="R546" s="19">
        <f t="shared" si="74"/>
        <v>3929313</v>
      </c>
      <c r="S546" s="19">
        <v>3000</v>
      </c>
      <c r="T546" s="19">
        <f t="shared" si="75"/>
        <v>3932313</v>
      </c>
      <c r="U546" s="105"/>
      <c r="X546" s="10">
        <f t="shared" si="70"/>
        <v>3929313</v>
      </c>
      <c r="Y546" s="2">
        <f t="shared" si="71"/>
        <v>0</v>
      </c>
      <c r="Z546" s="10">
        <f t="shared" si="76"/>
        <v>0</v>
      </c>
    </row>
    <row r="547" spans="1:26" ht="18" customHeight="1" x14ac:dyDescent="0.25">
      <c r="A547" s="11">
        <v>165</v>
      </c>
      <c r="B547" s="67" t="s">
        <v>1335</v>
      </c>
      <c r="C547" s="14" t="s">
        <v>1336</v>
      </c>
      <c r="D547" s="13" t="s">
        <v>22</v>
      </c>
      <c r="E547" s="14" t="s">
        <v>1337</v>
      </c>
      <c r="F547" s="15" t="s">
        <v>24</v>
      </c>
      <c r="G547" s="16">
        <v>2200</v>
      </c>
      <c r="H547" s="82" t="s">
        <v>25</v>
      </c>
      <c r="I547" s="15" t="s">
        <v>1338</v>
      </c>
      <c r="J547" s="15">
        <v>8448</v>
      </c>
      <c r="K547" s="15">
        <v>9173</v>
      </c>
      <c r="L547" s="18">
        <v>725</v>
      </c>
      <c r="M547" s="19">
        <v>1232159</v>
      </c>
      <c r="N547" s="20">
        <v>0</v>
      </c>
      <c r="O547" s="20">
        <v>0</v>
      </c>
      <c r="P547" s="20">
        <v>0</v>
      </c>
      <c r="Q547" s="20">
        <v>0</v>
      </c>
      <c r="R547" s="19">
        <f t="shared" si="74"/>
        <v>1232159</v>
      </c>
      <c r="S547" s="19">
        <v>3000</v>
      </c>
      <c r="T547" s="19">
        <f t="shared" si="75"/>
        <v>1235159</v>
      </c>
      <c r="U547" s="105"/>
      <c r="X547" s="10">
        <f t="shared" si="70"/>
        <v>1232159</v>
      </c>
      <c r="Y547" s="2">
        <f t="shared" si="71"/>
        <v>0</v>
      </c>
      <c r="Z547" s="10">
        <f t="shared" si="76"/>
        <v>0</v>
      </c>
    </row>
    <row r="548" spans="1:26" ht="18" customHeight="1" x14ac:dyDescent="0.25">
      <c r="A548" s="11">
        <v>166</v>
      </c>
      <c r="B548" s="67" t="s">
        <v>1339</v>
      </c>
      <c r="C548" s="14" t="s">
        <v>1340</v>
      </c>
      <c r="D548" s="13" t="s">
        <v>22</v>
      </c>
      <c r="E548" s="14" t="s">
        <v>1341</v>
      </c>
      <c r="F548" s="15" t="s">
        <v>24</v>
      </c>
      <c r="G548" s="16">
        <v>2200</v>
      </c>
      <c r="H548" s="82" t="s">
        <v>25</v>
      </c>
      <c r="I548" s="15" t="s">
        <v>1342</v>
      </c>
      <c r="J548" s="15">
        <v>51437</v>
      </c>
      <c r="K548" s="15">
        <v>52737</v>
      </c>
      <c r="L548" s="18">
        <v>1300</v>
      </c>
      <c r="M548" s="19">
        <v>2209389</v>
      </c>
      <c r="N548" s="20">
        <v>0</v>
      </c>
      <c r="O548" s="20">
        <v>0</v>
      </c>
      <c r="P548" s="20">
        <v>0</v>
      </c>
      <c r="Q548" s="20">
        <v>0</v>
      </c>
      <c r="R548" s="19">
        <f t="shared" si="74"/>
        <v>2209389</v>
      </c>
      <c r="S548" s="19">
        <v>3000</v>
      </c>
      <c r="T548" s="19">
        <f t="shared" si="75"/>
        <v>2212389</v>
      </c>
      <c r="U548" s="105"/>
      <c r="X548" s="10">
        <f t="shared" si="70"/>
        <v>2209389</v>
      </c>
      <c r="Y548" s="2">
        <f t="shared" si="71"/>
        <v>0</v>
      </c>
      <c r="Z548" s="10">
        <f t="shared" si="76"/>
        <v>0</v>
      </c>
    </row>
    <row r="549" spans="1:26" ht="18" customHeight="1" x14ac:dyDescent="0.25">
      <c r="A549" s="11">
        <v>167</v>
      </c>
      <c r="B549" s="67" t="s">
        <v>1343</v>
      </c>
      <c r="C549" s="14" t="s">
        <v>1344</v>
      </c>
      <c r="D549" s="13" t="s">
        <v>22</v>
      </c>
      <c r="E549" s="14" t="s">
        <v>1236</v>
      </c>
      <c r="F549" s="15" t="s">
        <v>24</v>
      </c>
      <c r="G549" s="16">
        <v>4400</v>
      </c>
      <c r="H549" s="82" t="s">
        <v>25</v>
      </c>
      <c r="I549" s="15" t="s">
        <v>1345</v>
      </c>
      <c r="J549" s="15">
        <v>76869</v>
      </c>
      <c r="K549" s="15">
        <v>78260</v>
      </c>
      <c r="L549" s="18">
        <v>1391</v>
      </c>
      <c r="M549" s="19">
        <v>2364046</v>
      </c>
      <c r="N549" s="20">
        <v>0</v>
      </c>
      <c r="O549" s="20">
        <v>0</v>
      </c>
      <c r="P549" s="20">
        <v>0</v>
      </c>
      <c r="Q549" s="20">
        <v>0</v>
      </c>
      <c r="R549" s="19">
        <f t="shared" si="74"/>
        <v>2364046</v>
      </c>
      <c r="S549" s="19">
        <v>3000</v>
      </c>
      <c r="T549" s="19">
        <f t="shared" si="75"/>
        <v>2367046</v>
      </c>
      <c r="U549" s="105"/>
      <c r="X549" s="10">
        <f t="shared" si="70"/>
        <v>2364046</v>
      </c>
      <c r="Y549" s="2">
        <f t="shared" si="71"/>
        <v>0</v>
      </c>
      <c r="Z549" s="10">
        <f t="shared" si="76"/>
        <v>0</v>
      </c>
    </row>
    <row r="550" spans="1:26" ht="18" customHeight="1" x14ac:dyDescent="0.25">
      <c r="A550" s="11">
        <v>168</v>
      </c>
      <c r="B550" s="67" t="s">
        <v>1346</v>
      </c>
      <c r="C550" s="14" t="s">
        <v>1347</v>
      </c>
      <c r="D550" s="13" t="s">
        <v>22</v>
      </c>
      <c r="E550" s="14" t="s">
        <v>1348</v>
      </c>
      <c r="F550" s="15" t="s">
        <v>24</v>
      </c>
      <c r="G550" s="16">
        <v>4400</v>
      </c>
      <c r="H550" s="82" t="s">
        <v>25</v>
      </c>
      <c r="I550" s="15" t="s">
        <v>1349</v>
      </c>
      <c r="J550" s="15">
        <v>67635</v>
      </c>
      <c r="K550" s="15">
        <v>68798</v>
      </c>
      <c r="L550" s="18">
        <v>1163</v>
      </c>
      <c r="M550" s="19">
        <v>1976553</v>
      </c>
      <c r="N550" s="20">
        <v>0</v>
      </c>
      <c r="O550" s="20">
        <v>0</v>
      </c>
      <c r="P550" s="20">
        <v>0</v>
      </c>
      <c r="Q550" s="20">
        <v>0</v>
      </c>
      <c r="R550" s="19">
        <f t="shared" si="74"/>
        <v>1976553</v>
      </c>
      <c r="S550" s="19">
        <v>3000</v>
      </c>
      <c r="T550" s="19">
        <f t="shared" si="75"/>
        <v>1979553</v>
      </c>
      <c r="U550" s="105"/>
      <c r="X550" s="10">
        <f t="shared" si="70"/>
        <v>1976553</v>
      </c>
      <c r="Y550" s="2">
        <f t="shared" si="71"/>
        <v>0</v>
      </c>
      <c r="Z550" s="10">
        <f t="shared" si="76"/>
        <v>0</v>
      </c>
    </row>
    <row r="551" spans="1:26" ht="18" customHeight="1" x14ac:dyDescent="0.25">
      <c r="A551" s="11">
        <v>169</v>
      </c>
      <c r="B551" s="67" t="s">
        <v>1350</v>
      </c>
      <c r="C551" s="14" t="s">
        <v>1351</v>
      </c>
      <c r="D551" s="13" t="s">
        <v>68</v>
      </c>
      <c r="E551" s="14" t="s">
        <v>1352</v>
      </c>
      <c r="F551" s="15" t="s">
        <v>24</v>
      </c>
      <c r="G551" s="16">
        <v>4400</v>
      </c>
      <c r="H551" s="82" t="s">
        <v>25</v>
      </c>
      <c r="I551" s="15" t="s">
        <v>1353</v>
      </c>
      <c r="J551" s="15">
        <v>9289</v>
      </c>
      <c r="K551" s="15">
        <v>10246</v>
      </c>
      <c r="L551" s="18">
        <v>957</v>
      </c>
      <c r="M551" s="19">
        <v>1626450</v>
      </c>
      <c r="N551" s="20">
        <v>0</v>
      </c>
      <c r="O551" s="20">
        <v>0</v>
      </c>
      <c r="P551" s="20">
        <v>0</v>
      </c>
      <c r="Q551" s="20">
        <v>0</v>
      </c>
      <c r="R551" s="19">
        <f t="shared" si="74"/>
        <v>1626450</v>
      </c>
      <c r="S551" s="19">
        <v>3000</v>
      </c>
      <c r="T551" s="19">
        <f t="shared" si="75"/>
        <v>1629450</v>
      </c>
      <c r="U551" s="105"/>
      <c r="X551" s="10">
        <f t="shared" si="70"/>
        <v>1626450</v>
      </c>
      <c r="Y551" s="2">
        <f t="shared" si="71"/>
        <v>0</v>
      </c>
      <c r="Z551" s="10">
        <f t="shared" si="76"/>
        <v>0</v>
      </c>
    </row>
    <row r="552" spans="1:26" ht="18" customHeight="1" x14ac:dyDescent="0.25">
      <c r="A552" s="11">
        <v>170</v>
      </c>
      <c r="B552" s="67" t="s">
        <v>1354</v>
      </c>
      <c r="C552" s="14" t="s">
        <v>1355</v>
      </c>
      <c r="D552" s="13" t="s">
        <v>22</v>
      </c>
      <c r="E552" s="14" t="s">
        <v>1071</v>
      </c>
      <c r="F552" s="15" t="s">
        <v>24</v>
      </c>
      <c r="G552" s="16">
        <v>2200</v>
      </c>
      <c r="H552" s="82" t="s">
        <v>25</v>
      </c>
      <c r="I552" s="15" t="s">
        <v>1356</v>
      </c>
      <c r="J552" s="15">
        <v>950</v>
      </c>
      <c r="K552" s="15">
        <v>1529</v>
      </c>
      <c r="L552" s="18">
        <v>579</v>
      </c>
      <c r="M552" s="19">
        <v>984028</v>
      </c>
      <c r="N552" s="20">
        <v>0</v>
      </c>
      <c r="O552" s="20">
        <v>0</v>
      </c>
      <c r="P552" s="20">
        <v>0</v>
      </c>
      <c r="Q552" s="20">
        <v>0</v>
      </c>
      <c r="R552" s="19">
        <f t="shared" si="74"/>
        <v>984028</v>
      </c>
      <c r="S552" s="19">
        <v>3000</v>
      </c>
      <c r="T552" s="19">
        <f t="shared" si="75"/>
        <v>987028</v>
      </c>
      <c r="U552" s="105"/>
      <c r="X552" s="10">
        <f t="shared" si="70"/>
        <v>984028</v>
      </c>
      <c r="Y552" s="2">
        <f t="shared" si="71"/>
        <v>0</v>
      </c>
      <c r="Z552" s="10">
        <f t="shared" si="76"/>
        <v>0</v>
      </c>
    </row>
    <row r="553" spans="1:26" ht="18" customHeight="1" x14ac:dyDescent="0.25">
      <c r="A553" s="11">
        <v>171</v>
      </c>
      <c r="B553" s="67" t="s">
        <v>1357</v>
      </c>
      <c r="C553" s="14" t="s">
        <v>1358</v>
      </c>
      <c r="D553" s="13" t="s">
        <v>68</v>
      </c>
      <c r="E553" s="14" t="s">
        <v>1359</v>
      </c>
      <c r="F553" s="15" t="s">
        <v>24</v>
      </c>
      <c r="G553" s="16">
        <v>4400</v>
      </c>
      <c r="H553" s="82" t="s">
        <v>25</v>
      </c>
      <c r="I553" s="15" t="s">
        <v>1360</v>
      </c>
      <c r="J553" s="15">
        <v>98160</v>
      </c>
      <c r="K553" s="15">
        <v>415</v>
      </c>
      <c r="L553" s="18">
        <v>2255</v>
      </c>
      <c r="M553" s="19">
        <v>3832440</v>
      </c>
      <c r="N553" s="20">
        <v>0</v>
      </c>
      <c r="O553" s="20">
        <v>0</v>
      </c>
      <c r="P553" s="20">
        <v>0</v>
      </c>
      <c r="Q553" s="20">
        <v>0</v>
      </c>
      <c r="R553" s="19">
        <f t="shared" si="74"/>
        <v>3832440</v>
      </c>
      <c r="S553" s="19">
        <v>3000</v>
      </c>
      <c r="T553" s="19">
        <f t="shared" si="75"/>
        <v>3835440</v>
      </c>
      <c r="U553" s="105"/>
      <c r="X553" s="10">
        <f t="shared" si="70"/>
        <v>3832440</v>
      </c>
      <c r="Y553" s="2">
        <f t="shared" si="71"/>
        <v>0</v>
      </c>
      <c r="Z553" s="10">
        <f t="shared" si="76"/>
        <v>0</v>
      </c>
    </row>
    <row r="554" spans="1:26" ht="18" customHeight="1" x14ac:dyDescent="0.25">
      <c r="A554" s="11">
        <v>172</v>
      </c>
      <c r="B554" s="67" t="s">
        <v>1361</v>
      </c>
      <c r="C554" s="14" t="s">
        <v>1362</v>
      </c>
      <c r="D554" s="13" t="s">
        <v>28</v>
      </c>
      <c r="E554" s="14" t="s">
        <v>1363</v>
      </c>
      <c r="F554" s="15" t="s">
        <v>24</v>
      </c>
      <c r="G554" s="16">
        <v>3500</v>
      </c>
      <c r="H554" s="82" t="s">
        <v>25</v>
      </c>
      <c r="I554" s="15" t="s">
        <v>1364</v>
      </c>
      <c r="J554" s="15">
        <v>205714</v>
      </c>
      <c r="K554" s="15">
        <v>207815</v>
      </c>
      <c r="L554" s="18">
        <v>2101</v>
      </c>
      <c r="M554" s="19">
        <v>3570713</v>
      </c>
      <c r="N554" s="20">
        <v>0</v>
      </c>
      <c r="O554" s="20">
        <v>0</v>
      </c>
      <c r="P554" s="20">
        <v>0</v>
      </c>
      <c r="Q554" s="20">
        <v>0</v>
      </c>
      <c r="R554" s="19">
        <f t="shared" si="74"/>
        <v>3570713</v>
      </c>
      <c r="S554" s="19">
        <v>3000</v>
      </c>
      <c r="T554" s="19">
        <f t="shared" si="75"/>
        <v>3573713</v>
      </c>
      <c r="U554" s="105"/>
      <c r="X554" s="10">
        <f t="shared" si="70"/>
        <v>3570713</v>
      </c>
      <c r="Y554" s="2">
        <f t="shared" si="71"/>
        <v>0</v>
      </c>
      <c r="Z554" s="10">
        <f t="shared" si="76"/>
        <v>0</v>
      </c>
    </row>
    <row r="555" spans="1:26" ht="18" customHeight="1" x14ac:dyDescent="0.25">
      <c r="A555" s="11">
        <v>173</v>
      </c>
      <c r="B555" s="67" t="s">
        <v>1365</v>
      </c>
      <c r="C555" s="14" t="s">
        <v>1366</v>
      </c>
      <c r="D555" s="13" t="s">
        <v>22</v>
      </c>
      <c r="E555" s="14" t="s">
        <v>1367</v>
      </c>
      <c r="F555" s="15" t="s">
        <v>24</v>
      </c>
      <c r="G555" s="16">
        <v>3500</v>
      </c>
      <c r="H555" s="82" t="s">
        <v>25</v>
      </c>
      <c r="I555" s="15" t="s">
        <v>1368</v>
      </c>
      <c r="J555" s="15">
        <v>19287</v>
      </c>
      <c r="K555" s="15">
        <v>20801</v>
      </c>
      <c r="L555" s="18">
        <v>1514</v>
      </c>
      <c r="M555" s="19">
        <v>2573088</v>
      </c>
      <c r="N555" s="20">
        <v>0</v>
      </c>
      <c r="O555" s="20">
        <v>0</v>
      </c>
      <c r="P555" s="20">
        <v>0</v>
      </c>
      <c r="Q555" s="20">
        <v>0</v>
      </c>
      <c r="R555" s="19">
        <f t="shared" si="74"/>
        <v>2573088</v>
      </c>
      <c r="S555" s="19">
        <v>3000</v>
      </c>
      <c r="T555" s="19">
        <f t="shared" si="75"/>
        <v>2576088</v>
      </c>
      <c r="U555" s="105"/>
      <c r="X555" s="10">
        <f t="shared" si="70"/>
        <v>2573088</v>
      </c>
      <c r="Y555" s="2">
        <f t="shared" si="71"/>
        <v>0</v>
      </c>
      <c r="Z555" s="10">
        <f t="shared" si="76"/>
        <v>0</v>
      </c>
    </row>
    <row r="556" spans="1:26" ht="18" customHeight="1" x14ac:dyDescent="0.25">
      <c r="A556" s="11">
        <v>174</v>
      </c>
      <c r="B556" s="67" t="s">
        <v>1369</v>
      </c>
      <c r="C556" s="14" t="s">
        <v>1370</v>
      </c>
      <c r="D556" s="13" t="s">
        <v>22</v>
      </c>
      <c r="E556" s="14" t="s">
        <v>1371</v>
      </c>
      <c r="F556" s="15" t="s">
        <v>24</v>
      </c>
      <c r="G556" s="16">
        <v>3500</v>
      </c>
      <c r="H556" s="82" t="s">
        <v>25</v>
      </c>
      <c r="I556" s="15" t="s">
        <v>1372</v>
      </c>
      <c r="J556" s="15">
        <v>76519</v>
      </c>
      <c r="K556" s="15">
        <v>77262</v>
      </c>
      <c r="L556" s="18">
        <v>743</v>
      </c>
      <c r="M556" s="19">
        <v>1262751</v>
      </c>
      <c r="N556" s="20">
        <v>0</v>
      </c>
      <c r="O556" s="20">
        <v>0</v>
      </c>
      <c r="P556" s="20">
        <v>0</v>
      </c>
      <c r="Q556" s="20">
        <v>0</v>
      </c>
      <c r="R556" s="19">
        <f t="shared" si="74"/>
        <v>1262751</v>
      </c>
      <c r="S556" s="19">
        <v>3000</v>
      </c>
      <c r="T556" s="19">
        <f t="shared" si="75"/>
        <v>1265751</v>
      </c>
      <c r="U556" s="105"/>
      <c r="X556" s="10">
        <f t="shared" si="70"/>
        <v>1262751</v>
      </c>
      <c r="Y556" s="2">
        <f t="shared" si="71"/>
        <v>0</v>
      </c>
      <c r="Z556" s="10">
        <f t="shared" si="76"/>
        <v>0</v>
      </c>
    </row>
    <row r="557" spans="1:26" ht="18" customHeight="1" x14ac:dyDescent="0.25">
      <c r="A557" s="11">
        <v>175</v>
      </c>
      <c r="B557" s="67" t="s">
        <v>1373</v>
      </c>
      <c r="C557" s="14" t="s">
        <v>1374</v>
      </c>
      <c r="D557" s="13" t="s">
        <v>22</v>
      </c>
      <c r="E557" s="14" t="s">
        <v>1375</v>
      </c>
      <c r="F557" s="15" t="s">
        <v>24</v>
      </c>
      <c r="G557" s="16">
        <v>3500</v>
      </c>
      <c r="H557" s="82" t="s">
        <v>25</v>
      </c>
      <c r="I557" s="15" t="s">
        <v>1376</v>
      </c>
      <c r="J557" s="15">
        <v>140034</v>
      </c>
      <c r="K557" s="15">
        <v>141681</v>
      </c>
      <c r="L557" s="18">
        <v>1647</v>
      </c>
      <c r="M557" s="19">
        <v>2799126</v>
      </c>
      <c r="N557" s="20">
        <v>0</v>
      </c>
      <c r="O557" s="20">
        <v>0</v>
      </c>
      <c r="P557" s="20">
        <v>0</v>
      </c>
      <c r="Q557" s="20">
        <v>0</v>
      </c>
      <c r="R557" s="19">
        <f t="shared" si="74"/>
        <v>2799126</v>
      </c>
      <c r="S557" s="19">
        <v>3000</v>
      </c>
      <c r="T557" s="19">
        <f t="shared" si="75"/>
        <v>2802126</v>
      </c>
      <c r="U557" s="105"/>
      <c r="X557" s="10">
        <f t="shared" si="70"/>
        <v>2799126</v>
      </c>
      <c r="Y557" s="2">
        <f t="shared" si="71"/>
        <v>0</v>
      </c>
      <c r="Z557" s="10">
        <f t="shared" si="76"/>
        <v>0</v>
      </c>
    </row>
    <row r="558" spans="1:26" ht="18" customHeight="1" x14ac:dyDescent="0.25">
      <c r="A558" s="11">
        <v>176</v>
      </c>
      <c r="B558" s="67" t="s">
        <v>1377</v>
      </c>
      <c r="C558" s="14" t="s">
        <v>1378</v>
      </c>
      <c r="D558" s="13" t="s">
        <v>22</v>
      </c>
      <c r="E558" s="14" t="s">
        <v>1379</v>
      </c>
      <c r="F558" s="15" t="s">
        <v>24</v>
      </c>
      <c r="G558" s="16">
        <v>2200</v>
      </c>
      <c r="H558" s="82" t="s">
        <v>25</v>
      </c>
      <c r="I558" s="15" t="s">
        <v>1380</v>
      </c>
      <c r="J558" s="15">
        <v>8099</v>
      </c>
      <c r="K558" s="15">
        <v>9332</v>
      </c>
      <c r="L558" s="18">
        <v>1233</v>
      </c>
      <c r="M558" s="19">
        <v>2095520</v>
      </c>
      <c r="N558" s="20">
        <v>0</v>
      </c>
      <c r="O558" s="20">
        <v>0</v>
      </c>
      <c r="P558" s="20">
        <v>0</v>
      </c>
      <c r="Q558" s="20">
        <v>0</v>
      </c>
      <c r="R558" s="19">
        <f t="shared" si="74"/>
        <v>2095520</v>
      </c>
      <c r="S558" s="19">
        <v>3000</v>
      </c>
      <c r="T558" s="19">
        <f t="shared" si="75"/>
        <v>2098520</v>
      </c>
      <c r="U558" s="105"/>
      <c r="X558" s="10">
        <f t="shared" si="70"/>
        <v>2095520</v>
      </c>
      <c r="Y558" s="2">
        <f t="shared" si="71"/>
        <v>0</v>
      </c>
      <c r="Z558" s="10">
        <f t="shared" si="76"/>
        <v>0</v>
      </c>
    </row>
    <row r="559" spans="1:26" ht="18" customHeight="1" x14ac:dyDescent="0.25">
      <c r="A559" s="11">
        <v>177</v>
      </c>
      <c r="B559" s="67" t="s">
        <v>1381</v>
      </c>
      <c r="C559" s="14" t="s">
        <v>1382</v>
      </c>
      <c r="D559" s="13" t="s">
        <v>22</v>
      </c>
      <c r="E559" s="14" t="s">
        <v>1383</v>
      </c>
      <c r="F559" s="15" t="s">
        <v>24</v>
      </c>
      <c r="G559" s="16">
        <v>2200</v>
      </c>
      <c r="H559" s="82" t="s">
        <v>25</v>
      </c>
      <c r="I559" s="15" t="s">
        <v>1384</v>
      </c>
      <c r="J559" s="15">
        <v>29882</v>
      </c>
      <c r="K559" s="15">
        <v>30155</v>
      </c>
      <c r="L559" s="18">
        <v>273</v>
      </c>
      <c r="M559" s="19">
        <v>463972</v>
      </c>
      <c r="N559" s="20">
        <v>0</v>
      </c>
      <c r="O559" s="20">
        <v>0</v>
      </c>
      <c r="P559" s="20">
        <v>0</v>
      </c>
      <c r="Q559" s="20">
        <v>0</v>
      </c>
      <c r="R559" s="19">
        <f t="shared" si="74"/>
        <v>463972</v>
      </c>
      <c r="S559" s="19">
        <v>3000</v>
      </c>
      <c r="T559" s="19">
        <f t="shared" si="75"/>
        <v>466972</v>
      </c>
      <c r="U559" s="105"/>
      <c r="X559" s="10">
        <f t="shared" si="70"/>
        <v>463972</v>
      </c>
      <c r="Y559" s="2">
        <f t="shared" si="71"/>
        <v>0</v>
      </c>
      <c r="Z559" s="10">
        <f t="shared" si="76"/>
        <v>0</v>
      </c>
    </row>
    <row r="560" spans="1:26" ht="18" customHeight="1" x14ac:dyDescent="0.25">
      <c r="A560" s="11">
        <v>178</v>
      </c>
      <c r="B560" s="67" t="s">
        <v>1385</v>
      </c>
      <c r="C560" s="14" t="s">
        <v>1386</v>
      </c>
      <c r="D560" s="13" t="s">
        <v>22</v>
      </c>
      <c r="E560" s="14" t="s">
        <v>1387</v>
      </c>
      <c r="F560" s="15" t="s">
        <v>24</v>
      </c>
      <c r="G560" s="16">
        <v>3500</v>
      </c>
      <c r="H560" s="82" t="s">
        <v>25</v>
      </c>
      <c r="I560" s="15" t="s">
        <v>1388</v>
      </c>
      <c r="J560" s="15">
        <v>48611</v>
      </c>
      <c r="K560" s="15">
        <v>49886</v>
      </c>
      <c r="L560" s="18">
        <v>1275</v>
      </c>
      <c r="M560" s="19">
        <v>2166901</v>
      </c>
      <c r="N560" s="20">
        <v>0</v>
      </c>
      <c r="O560" s="20">
        <v>0</v>
      </c>
      <c r="P560" s="20">
        <v>0</v>
      </c>
      <c r="Q560" s="20">
        <v>0</v>
      </c>
      <c r="R560" s="19">
        <f t="shared" si="74"/>
        <v>2166901</v>
      </c>
      <c r="S560" s="19">
        <v>3000</v>
      </c>
      <c r="T560" s="19">
        <f t="shared" si="75"/>
        <v>2169901</v>
      </c>
      <c r="U560" s="105"/>
      <c r="X560" s="10">
        <f t="shared" si="70"/>
        <v>2166901</v>
      </c>
      <c r="Y560" s="2">
        <f t="shared" si="71"/>
        <v>0</v>
      </c>
      <c r="Z560" s="10">
        <f t="shared" si="76"/>
        <v>0</v>
      </c>
    </row>
    <row r="561" spans="1:26" ht="18" customHeight="1" x14ac:dyDescent="0.25">
      <c r="A561" s="11">
        <v>179</v>
      </c>
      <c r="B561" s="67" t="s">
        <v>1389</v>
      </c>
      <c r="C561" s="14" t="s">
        <v>1390</v>
      </c>
      <c r="D561" s="13" t="s">
        <v>22</v>
      </c>
      <c r="E561" s="14" t="s">
        <v>1391</v>
      </c>
      <c r="F561" s="15" t="s">
        <v>24</v>
      </c>
      <c r="G561" s="16">
        <v>7700</v>
      </c>
      <c r="H561" s="82" t="s">
        <v>25</v>
      </c>
      <c r="I561" s="15" t="s">
        <v>1392</v>
      </c>
      <c r="J561" s="15">
        <v>44981</v>
      </c>
      <c r="K561" s="15">
        <v>46815</v>
      </c>
      <c r="L561" s="18">
        <v>1834</v>
      </c>
      <c r="M561" s="19">
        <v>3116938</v>
      </c>
      <c r="N561" s="20">
        <v>0</v>
      </c>
      <c r="O561" s="20">
        <v>0</v>
      </c>
      <c r="P561" s="20">
        <v>0</v>
      </c>
      <c r="Q561" s="20">
        <v>0</v>
      </c>
      <c r="R561" s="19">
        <f t="shared" si="74"/>
        <v>3116938</v>
      </c>
      <c r="S561" s="19">
        <v>3000</v>
      </c>
      <c r="T561" s="19">
        <f t="shared" si="75"/>
        <v>3119938</v>
      </c>
      <c r="U561" s="105"/>
      <c r="X561" s="10">
        <f t="shared" si="70"/>
        <v>3116938</v>
      </c>
      <c r="Y561" s="2">
        <f t="shared" si="71"/>
        <v>0</v>
      </c>
      <c r="Z561" s="10">
        <f t="shared" si="76"/>
        <v>0</v>
      </c>
    </row>
    <row r="562" spans="1:26" ht="18" customHeight="1" x14ac:dyDescent="0.25">
      <c r="A562" s="11">
        <v>180</v>
      </c>
      <c r="B562" s="67" t="s">
        <v>1393</v>
      </c>
      <c r="C562" s="14" t="s">
        <v>1394</v>
      </c>
      <c r="D562" s="13" t="s">
        <v>68</v>
      </c>
      <c r="E562" s="14" t="s">
        <v>1395</v>
      </c>
      <c r="F562" s="15" t="s">
        <v>24</v>
      </c>
      <c r="G562" s="16">
        <v>2200</v>
      </c>
      <c r="H562" s="82" t="s">
        <v>25</v>
      </c>
      <c r="I562" s="15" t="s">
        <v>1396</v>
      </c>
      <c r="J562" s="15">
        <v>394</v>
      </c>
      <c r="K562" s="15">
        <v>394</v>
      </c>
      <c r="L562" s="18">
        <v>88</v>
      </c>
      <c r="M562" s="19">
        <v>149559</v>
      </c>
      <c r="N562" s="20">
        <v>0</v>
      </c>
      <c r="O562" s="20">
        <v>0</v>
      </c>
      <c r="P562" s="20">
        <v>0</v>
      </c>
      <c r="Q562" s="20">
        <v>0</v>
      </c>
      <c r="R562" s="19">
        <f t="shared" si="74"/>
        <v>149559</v>
      </c>
      <c r="S562" s="19">
        <v>3000</v>
      </c>
      <c r="T562" s="19">
        <f t="shared" si="75"/>
        <v>152559</v>
      </c>
      <c r="U562" s="105"/>
      <c r="X562" s="10">
        <f t="shared" si="70"/>
        <v>149559</v>
      </c>
      <c r="Y562" s="2">
        <f t="shared" si="71"/>
        <v>0</v>
      </c>
      <c r="Z562" s="10">
        <f t="shared" si="76"/>
        <v>0</v>
      </c>
    </row>
    <row r="563" spans="1:26" ht="18" customHeight="1" x14ac:dyDescent="0.25">
      <c r="A563" s="11">
        <v>181</v>
      </c>
      <c r="B563" s="67" t="s">
        <v>1397</v>
      </c>
      <c r="C563" s="14" t="s">
        <v>1398</v>
      </c>
      <c r="D563" s="13" t="s">
        <v>22</v>
      </c>
      <c r="E563" s="14" t="s">
        <v>1399</v>
      </c>
      <c r="F563" s="15" t="s">
        <v>24</v>
      </c>
      <c r="G563" s="16">
        <v>3500</v>
      </c>
      <c r="H563" s="82" t="s">
        <v>25</v>
      </c>
      <c r="I563" s="15" t="s">
        <v>1400</v>
      </c>
      <c r="J563" s="15">
        <v>64611</v>
      </c>
      <c r="K563" s="15">
        <v>65411</v>
      </c>
      <c r="L563" s="18">
        <v>800</v>
      </c>
      <c r="M563" s="19">
        <v>1359624</v>
      </c>
      <c r="N563" s="20">
        <v>0</v>
      </c>
      <c r="O563" s="20">
        <v>0</v>
      </c>
      <c r="P563" s="20">
        <v>0</v>
      </c>
      <c r="Q563" s="20">
        <v>0</v>
      </c>
      <c r="R563" s="19">
        <f t="shared" si="74"/>
        <v>1359624</v>
      </c>
      <c r="S563" s="19">
        <v>3000</v>
      </c>
      <c r="T563" s="19">
        <f t="shared" si="75"/>
        <v>1362624</v>
      </c>
      <c r="U563" s="105"/>
      <c r="X563" s="10">
        <f t="shared" si="70"/>
        <v>1359624</v>
      </c>
      <c r="Y563" s="2">
        <f t="shared" si="71"/>
        <v>0</v>
      </c>
      <c r="Z563" s="10">
        <f t="shared" si="76"/>
        <v>0</v>
      </c>
    </row>
    <row r="564" spans="1:26" ht="18" customHeight="1" x14ac:dyDescent="0.25">
      <c r="A564" s="11">
        <v>182</v>
      </c>
      <c r="B564" s="67" t="s">
        <v>1401</v>
      </c>
      <c r="C564" s="14" t="s">
        <v>1402</v>
      </c>
      <c r="D564" s="13" t="s">
        <v>68</v>
      </c>
      <c r="E564" s="14" t="s">
        <v>1403</v>
      </c>
      <c r="F564" s="15" t="s">
        <v>24</v>
      </c>
      <c r="G564" s="16">
        <v>4400</v>
      </c>
      <c r="H564" s="82" t="s">
        <v>25</v>
      </c>
      <c r="I564" s="15" t="s">
        <v>1404</v>
      </c>
      <c r="J564" s="15">
        <v>2578</v>
      </c>
      <c r="K564" s="15">
        <v>2578</v>
      </c>
      <c r="L564" s="18">
        <v>176</v>
      </c>
      <c r="M564" s="19">
        <v>299117</v>
      </c>
      <c r="N564" s="20">
        <v>0</v>
      </c>
      <c r="O564" s="20">
        <v>0</v>
      </c>
      <c r="P564" s="20">
        <v>0</v>
      </c>
      <c r="Q564" s="20">
        <v>0</v>
      </c>
      <c r="R564" s="19">
        <f t="shared" si="74"/>
        <v>299117</v>
      </c>
      <c r="S564" s="19">
        <v>3000</v>
      </c>
      <c r="T564" s="19">
        <f t="shared" si="75"/>
        <v>302117</v>
      </c>
      <c r="U564" s="105"/>
      <c r="X564" s="10">
        <f t="shared" si="70"/>
        <v>299117</v>
      </c>
      <c r="Y564" s="2">
        <f t="shared" si="71"/>
        <v>0</v>
      </c>
      <c r="Z564" s="10">
        <f t="shared" si="76"/>
        <v>0</v>
      </c>
    </row>
    <row r="565" spans="1:26" ht="18" customHeight="1" x14ac:dyDescent="0.25">
      <c r="A565" s="11">
        <v>183</v>
      </c>
      <c r="B565" s="67" t="s">
        <v>1405</v>
      </c>
      <c r="C565" s="14" t="s">
        <v>1406</v>
      </c>
      <c r="D565" s="13" t="s">
        <v>22</v>
      </c>
      <c r="E565" s="14" t="s">
        <v>1407</v>
      </c>
      <c r="F565" s="15" t="s">
        <v>24</v>
      </c>
      <c r="G565" s="16">
        <v>4400</v>
      </c>
      <c r="H565" s="82" t="s">
        <v>25</v>
      </c>
      <c r="I565" s="15" t="s">
        <v>1408</v>
      </c>
      <c r="J565" s="15">
        <v>91394</v>
      </c>
      <c r="K565" s="15">
        <v>92549</v>
      </c>
      <c r="L565" s="18">
        <v>1155</v>
      </c>
      <c r="M565" s="19">
        <v>1962957</v>
      </c>
      <c r="N565" s="20">
        <v>0</v>
      </c>
      <c r="O565" s="20">
        <v>0</v>
      </c>
      <c r="P565" s="20">
        <v>0</v>
      </c>
      <c r="Q565" s="20">
        <v>0</v>
      </c>
      <c r="R565" s="19">
        <f t="shared" si="74"/>
        <v>1962957</v>
      </c>
      <c r="S565" s="19">
        <v>3000</v>
      </c>
      <c r="T565" s="19">
        <f t="shared" si="75"/>
        <v>1965957</v>
      </c>
      <c r="U565" s="105"/>
      <c r="X565" s="10">
        <f t="shared" si="70"/>
        <v>1962957</v>
      </c>
      <c r="Y565" s="2">
        <f t="shared" si="71"/>
        <v>0</v>
      </c>
      <c r="Z565" s="10">
        <f t="shared" si="76"/>
        <v>0</v>
      </c>
    </row>
    <row r="566" spans="1:26" ht="18" customHeight="1" x14ac:dyDescent="0.25">
      <c r="A566" s="11">
        <v>184</v>
      </c>
      <c r="B566" s="67" t="s">
        <v>1409</v>
      </c>
      <c r="C566" s="14" t="s">
        <v>1410</v>
      </c>
      <c r="D566" s="13" t="s">
        <v>68</v>
      </c>
      <c r="E566" s="14" t="s">
        <v>1411</v>
      </c>
      <c r="F566" s="15" t="s">
        <v>24</v>
      </c>
      <c r="G566" s="16">
        <v>3500</v>
      </c>
      <c r="H566" s="82" t="s">
        <v>25</v>
      </c>
      <c r="I566" s="15" t="s">
        <v>1412</v>
      </c>
      <c r="J566" s="15">
        <v>10559</v>
      </c>
      <c r="K566" s="15">
        <v>12400</v>
      </c>
      <c r="L566" s="18">
        <v>1841</v>
      </c>
      <c r="M566" s="19">
        <v>3128835</v>
      </c>
      <c r="N566" s="20">
        <v>0</v>
      </c>
      <c r="O566" s="20">
        <v>0</v>
      </c>
      <c r="P566" s="20">
        <v>0</v>
      </c>
      <c r="Q566" s="20">
        <v>0</v>
      </c>
      <c r="R566" s="19">
        <f t="shared" si="74"/>
        <v>3128835</v>
      </c>
      <c r="S566" s="19">
        <v>3000</v>
      </c>
      <c r="T566" s="19">
        <f t="shared" si="75"/>
        <v>3131835</v>
      </c>
      <c r="U566" s="105"/>
      <c r="X566" s="10">
        <f t="shared" si="70"/>
        <v>3128835</v>
      </c>
      <c r="Y566" s="2">
        <f t="shared" si="71"/>
        <v>0</v>
      </c>
      <c r="Z566" s="10">
        <f t="shared" si="76"/>
        <v>0</v>
      </c>
    </row>
    <row r="567" spans="1:26" ht="18" customHeight="1" x14ac:dyDescent="0.25">
      <c r="A567" s="11">
        <v>185</v>
      </c>
      <c r="B567" s="67" t="s">
        <v>1413</v>
      </c>
      <c r="C567" s="14" t="s">
        <v>1414</v>
      </c>
      <c r="D567" s="13" t="s">
        <v>22</v>
      </c>
      <c r="E567" s="14" t="s">
        <v>1415</v>
      </c>
      <c r="F567" s="15" t="s">
        <v>24</v>
      </c>
      <c r="G567" s="16">
        <v>3500</v>
      </c>
      <c r="H567" s="82" t="s">
        <v>25</v>
      </c>
      <c r="I567" s="15" t="s">
        <v>1416</v>
      </c>
      <c r="J567" s="15">
        <v>157380</v>
      </c>
      <c r="K567" s="15">
        <v>159103</v>
      </c>
      <c r="L567" s="18">
        <v>1723</v>
      </c>
      <c r="M567" s="19">
        <v>2928290</v>
      </c>
      <c r="N567" s="20">
        <v>0</v>
      </c>
      <c r="O567" s="20">
        <v>0</v>
      </c>
      <c r="P567" s="20">
        <v>0</v>
      </c>
      <c r="Q567" s="20">
        <v>0</v>
      </c>
      <c r="R567" s="19">
        <f t="shared" si="74"/>
        <v>2928290</v>
      </c>
      <c r="S567" s="19">
        <v>3000</v>
      </c>
      <c r="T567" s="19">
        <f t="shared" si="75"/>
        <v>2931290</v>
      </c>
      <c r="U567" s="105"/>
      <c r="X567" s="10">
        <f t="shared" si="70"/>
        <v>2928290</v>
      </c>
      <c r="Y567" s="2">
        <f t="shared" si="71"/>
        <v>0</v>
      </c>
      <c r="Z567" s="10">
        <f t="shared" si="76"/>
        <v>0</v>
      </c>
    </row>
    <row r="568" spans="1:26" ht="18" customHeight="1" x14ac:dyDescent="0.25">
      <c r="A568" s="11">
        <v>186</v>
      </c>
      <c r="B568" s="67" t="s">
        <v>1417</v>
      </c>
      <c r="C568" s="14" t="s">
        <v>1418</v>
      </c>
      <c r="D568" s="13" t="s">
        <v>22</v>
      </c>
      <c r="E568" s="14" t="s">
        <v>1419</v>
      </c>
      <c r="F568" s="15" t="s">
        <v>24</v>
      </c>
      <c r="G568" s="16">
        <v>2200</v>
      </c>
      <c r="H568" s="82" t="s">
        <v>25</v>
      </c>
      <c r="I568" s="15" t="s">
        <v>1420</v>
      </c>
      <c r="J568" s="15">
        <v>1110</v>
      </c>
      <c r="K568" s="15">
        <v>1110</v>
      </c>
      <c r="L568" s="18">
        <v>88</v>
      </c>
      <c r="M568" s="19">
        <v>149559</v>
      </c>
      <c r="N568" s="20">
        <v>0</v>
      </c>
      <c r="O568" s="20">
        <v>0</v>
      </c>
      <c r="P568" s="20">
        <v>0</v>
      </c>
      <c r="Q568" s="20">
        <v>0</v>
      </c>
      <c r="R568" s="19">
        <f t="shared" si="74"/>
        <v>149559</v>
      </c>
      <c r="S568" s="19">
        <v>3000</v>
      </c>
      <c r="T568" s="19">
        <f t="shared" si="75"/>
        <v>152559</v>
      </c>
      <c r="U568" s="105"/>
      <c r="X568" s="10">
        <f t="shared" si="70"/>
        <v>149559</v>
      </c>
      <c r="Y568" s="2">
        <f t="shared" si="71"/>
        <v>0</v>
      </c>
      <c r="Z568" s="10">
        <f t="shared" si="76"/>
        <v>0</v>
      </c>
    </row>
    <row r="569" spans="1:26" ht="18" customHeight="1" x14ac:dyDescent="0.25">
      <c r="A569" s="11">
        <v>187</v>
      </c>
      <c r="B569" s="67" t="s">
        <v>1421</v>
      </c>
      <c r="C569" s="14" t="s">
        <v>1422</v>
      </c>
      <c r="D569" s="13" t="s">
        <v>68</v>
      </c>
      <c r="E569" s="14" t="s">
        <v>1423</v>
      </c>
      <c r="F569" s="15" t="s">
        <v>24</v>
      </c>
      <c r="G569" s="16">
        <v>7700</v>
      </c>
      <c r="H569" s="82" t="s">
        <v>25</v>
      </c>
      <c r="I569" s="15" t="s">
        <v>1424</v>
      </c>
      <c r="J569" s="15">
        <v>86820</v>
      </c>
      <c r="K569" s="15">
        <v>87602</v>
      </c>
      <c r="L569" s="18">
        <v>782</v>
      </c>
      <c r="M569" s="19">
        <v>1329032</v>
      </c>
      <c r="N569" s="20">
        <v>0</v>
      </c>
      <c r="O569" s="20">
        <v>0</v>
      </c>
      <c r="P569" s="20">
        <v>0</v>
      </c>
      <c r="Q569" s="20">
        <v>0</v>
      </c>
      <c r="R569" s="19">
        <f t="shared" si="74"/>
        <v>1329032</v>
      </c>
      <c r="S569" s="19">
        <v>3000</v>
      </c>
      <c r="T569" s="19">
        <f t="shared" si="75"/>
        <v>1332032</v>
      </c>
      <c r="U569" s="105"/>
      <c r="X569" s="10">
        <f t="shared" si="70"/>
        <v>1329032</v>
      </c>
      <c r="Y569" s="2">
        <f t="shared" si="71"/>
        <v>0</v>
      </c>
      <c r="Z569" s="10">
        <f t="shared" si="76"/>
        <v>0</v>
      </c>
    </row>
    <row r="570" spans="1:26" ht="18" customHeight="1" x14ac:dyDescent="0.25">
      <c r="A570" s="11">
        <v>188</v>
      </c>
      <c r="B570" s="67" t="s">
        <v>1425</v>
      </c>
      <c r="C570" s="14" t="s">
        <v>1426</v>
      </c>
      <c r="D570" s="13" t="s">
        <v>22</v>
      </c>
      <c r="E570" s="14" t="s">
        <v>1427</v>
      </c>
      <c r="F570" s="15" t="s">
        <v>24</v>
      </c>
      <c r="G570" s="16">
        <v>4400</v>
      </c>
      <c r="H570" s="82" t="s">
        <v>25</v>
      </c>
      <c r="I570" s="15" t="s">
        <v>1428</v>
      </c>
      <c r="J570" s="15">
        <v>50562</v>
      </c>
      <c r="K570" s="15">
        <v>51520</v>
      </c>
      <c r="L570" s="18">
        <v>958</v>
      </c>
      <c r="M570" s="19">
        <v>1628150</v>
      </c>
      <c r="N570" s="20">
        <v>0</v>
      </c>
      <c r="O570" s="20">
        <v>0</v>
      </c>
      <c r="P570" s="20">
        <v>0</v>
      </c>
      <c r="Q570" s="20">
        <v>0</v>
      </c>
      <c r="R570" s="19">
        <f t="shared" si="74"/>
        <v>1628150</v>
      </c>
      <c r="S570" s="19">
        <v>3000</v>
      </c>
      <c r="T570" s="19">
        <f t="shared" si="75"/>
        <v>1631150</v>
      </c>
      <c r="U570" s="105"/>
      <c r="X570" s="10">
        <f t="shared" si="70"/>
        <v>1628150</v>
      </c>
      <c r="Y570" s="2">
        <f t="shared" si="71"/>
        <v>0</v>
      </c>
      <c r="Z570" s="10">
        <f t="shared" si="76"/>
        <v>0</v>
      </c>
    </row>
    <row r="571" spans="1:26" ht="18" customHeight="1" x14ac:dyDescent="0.25">
      <c r="A571" s="11">
        <v>189</v>
      </c>
      <c r="B571" s="67" t="s">
        <v>1429</v>
      </c>
      <c r="C571" s="14" t="s">
        <v>1430</v>
      </c>
      <c r="D571" s="13" t="s">
        <v>22</v>
      </c>
      <c r="E571" s="14" t="s">
        <v>1431</v>
      </c>
      <c r="F571" s="15" t="s">
        <v>24</v>
      </c>
      <c r="G571" s="16">
        <v>3500</v>
      </c>
      <c r="H571" s="82" t="s">
        <v>25</v>
      </c>
      <c r="I571" s="15" t="s">
        <v>1432</v>
      </c>
      <c r="J571" s="15">
        <v>62828</v>
      </c>
      <c r="K571" s="15">
        <v>63780</v>
      </c>
      <c r="L571" s="18">
        <v>952</v>
      </c>
      <c r="M571" s="19">
        <v>1617953</v>
      </c>
      <c r="N571" s="20">
        <v>0</v>
      </c>
      <c r="O571" s="20">
        <v>0</v>
      </c>
      <c r="P571" s="20">
        <v>0</v>
      </c>
      <c r="Q571" s="20">
        <v>0</v>
      </c>
      <c r="R571" s="19">
        <f t="shared" si="74"/>
        <v>1617953</v>
      </c>
      <c r="S571" s="19">
        <v>3000</v>
      </c>
      <c r="T571" s="19">
        <f t="shared" si="75"/>
        <v>1620953</v>
      </c>
      <c r="U571" s="105"/>
      <c r="X571" s="10">
        <f t="shared" si="70"/>
        <v>1617953</v>
      </c>
      <c r="Y571" s="2">
        <f t="shared" si="71"/>
        <v>0</v>
      </c>
      <c r="Z571" s="10">
        <f t="shared" si="76"/>
        <v>0</v>
      </c>
    </row>
    <row r="572" spans="1:26" ht="18" customHeight="1" x14ac:dyDescent="0.25">
      <c r="A572" s="11">
        <v>190</v>
      </c>
      <c r="B572" s="67" t="s">
        <v>1433</v>
      </c>
      <c r="C572" s="14" t="s">
        <v>1434</v>
      </c>
      <c r="D572" s="13" t="s">
        <v>22</v>
      </c>
      <c r="E572" s="14" t="s">
        <v>1435</v>
      </c>
      <c r="F572" s="15" t="s">
        <v>24</v>
      </c>
      <c r="G572" s="16">
        <v>3500</v>
      </c>
      <c r="H572" s="82" t="s">
        <v>25</v>
      </c>
      <c r="I572" s="15" t="s">
        <v>1436</v>
      </c>
      <c r="J572" s="15">
        <v>80090</v>
      </c>
      <c r="K572" s="15">
        <v>80727</v>
      </c>
      <c r="L572" s="18">
        <v>637</v>
      </c>
      <c r="M572" s="19">
        <v>1082601</v>
      </c>
      <c r="N572" s="20">
        <v>0</v>
      </c>
      <c r="O572" s="20">
        <v>0</v>
      </c>
      <c r="P572" s="20">
        <v>0</v>
      </c>
      <c r="Q572" s="20">
        <v>0</v>
      </c>
      <c r="R572" s="19">
        <f t="shared" si="74"/>
        <v>1082601</v>
      </c>
      <c r="S572" s="19">
        <v>3000</v>
      </c>
      <c r="T572" s="19">
        <f t="shared" si="75"/>
        <v>1085601</v>
      </c>
      <c r="U572" s="105"/>
      <c r="X572" s="10">
        <f t="shared" si="70"/>
        <v>1082601</v>
      </c>
      <c r="Y572" s="2">
        <f t="shared" si="71"/>
        <v>0</v>
      </c>
      <c r="Z572" s="10">
        <f t="shared" si="76"/>
        <v>0</v>
      </c>
    </row>
    <row r="573" spans="1:26" ht="18" customHeight="1" x14ac:dyDescent="0.25">
      <c r="A573" s="11">
        <v>191</v>
      </c>
      <c r="B573" s="67" t="s">
        <v>1437</v>
      </c>
      <c r="C573" s="14" t="s">
        <v>1438</v>
      </c>
      <c r="D573" s="13" t="s">
        <v>22</v>
      </c>
      <c r="E573" s="14" t="s">
        <v>1439</v>
      </c>
      <c r="F573" s="15" t="s">
        <v>24</v>
      </c>
      <c r="G573" s="16">
        <v>2200</v>
      </c>
      <c r="H573" s="82" t="s">
        <v>25</v>
      </c>
      <c r="I573" s="15" t="s">
        <v>1440</v>
      </c>
      <c r="J573" s="15">
        <v>27323</v>
      </c>
      <c r="K573" s="15">
        <v>27507</v>
      </c>
      <c r="L573" s="18">
        <v>184</v>
      </c>
      <c r="M573" s="19">
        <v>312714</v>
      </c>
      <c r="N573" s="20">
        <v>0</v>
      </c>
      <c r="O573" s="20">
        <v>0</v>
      </c>
      <c r="P573" s="20">
        <v>0</v>
      </c>
      <c r="Q573" s="20">
        <v>0</v>
      </c>
      <c r="R573" s="19">
        <f t="shared" si="74"/>
        <v>312714</v>
      </c>
      <c r="S573" s="19">
        <v>3000</v>
      </c>
      <c r="T573" s="19">
        <f t="shared" si="75"/>
        <v>315714</v>
      </c>
      <c r="U573" s="105"/>
      <c r="X573" s="10">
        <f t="shared" si="70"/>
        <v>312714</v>
      </c>
      <c r="Y573" s="2">
        <f t="shared" si="71"/>
        <v>0</v>
      </c>
      <c r="Z573" s="10">
        <f t="shared" si="76"/>
        <v>0</v>
      </c>
    </row>
    <row r="574" spans="1:26" ht="18" customHeight="1" x14ac:dyDescent="0.25">
      <c r="A574" s="11">
        <v>192</v>
      </c>
      <c r="B574" s="67" t="s">
        <v>1441</v>
      </c>
      <c r="C574" s="14" t="s">
        <v>1442</v>
      </c>
      <c r="D574" s="13" t="s">
        <v>22</v>
      </c>
      <c r="E574" s="14" t="s">
        <v>1443</v>
      </c>
      <c r="F574" s="15" t="s">
        <v>24</v>
      </c>
      <c r="G574" s="16">
        <v>5500</v>
      </c>
      <c r="H574" s="82" t="s">
        <v>25</v>
      </c>
      <c r="I574" s="15" t="s">
        <v>1444</v>
      </c>
      <c r="J574" s="15">
        <v>864</v>
      </c>
      <c r="K574" s="15">
        <v>2528</v>
      </c>
      <c r="L574" s="18">
        <v>1664</v>
      </c>
      <c r="M574" s="19">
        <v>2828018</v>
      </c>
      <c r="N574" s="20">
        <v>0</v>
      </c>
      <c r="O574" s="20">
        <v>0</v>
      </c>
      <c r="P574" s="20">
        <v>0</v>
      </c>
      <c r="Q574" s="20">
        <v>0</v>
      </c>
      <c r="R574" s="19">
        <f t="shared" si="74"/>
        <v>2828018</v>
      </c>
      <c r="S574" s="19">
        <v>3000</v>
      </c>
      <c r="T574" s="19">
        <f t="shared" si="75"/>
        <v>2831018</v>
      </c>
      <c r="U574" s="105"/>
      <c r="X574" s="10">
        <f t="shared" si="70"/>
        <v>2828018</v>
      </c>
      <c r="Y574" s="2">
        <f t="shared" si="71"/>
        <v>0</v>
      </c>
      <c r="Z574" s="10">
        <f t="shared" si="76"/>
        <v>0</v>
      </c>
    </row>
    <row r="575" spans="1:26" ht="18" customHeight="1" x14ac:dyDescent="0.25">
      <c r="A575" s="11">
        <v>193</v>
      </c>
      <c r="B575" s="67" t="s">
        <v>1445</v>
      </c>
      <c r="C575" s="14" t="s">
        <v>1446</v>
      </c>
      <c r="D575" s="13" t="s">
        <v>22</v>
      </c>
      <c r="E575" s="14" t="s">
        <v>1447</v>
      </c>
      <c r="F575" s="15" t="s">
        <v>24</v>
      </c>
      <c r="G575" s="16">
        <v>4400</v>
      </c>
      <c r="H575" s="82" t="s">
        <v>25</v>
      </c>
      <c r="I575" s="15" t="s">
        <v>1448</v>
      </c>
      <c r="J575" s="15">
        <v>70001</v>
      </c>
      <c r="K575" s="15">
        <v>71327</v>
      </c>
      <c r="L575" s="18">
        <v>1326</v>
      </c>
      <c r="M575" s="19">
        <v>2253577</v>
      </c>
      <c r="N575" s="20">
        <v>0</v>
      </c>
      <c r="O575" s="20">
        <v>0</v>
      </c>
      <c r="P575" s="20">
        <v>0</v>
      </c>
      <c r="Q575" s="20">
        <v>0</v>
      </c>
      <c r="R575" s="19">
        <f t="shared" si="74"/>
        <v>2253577</v>
      </c>
      <c r="S575" s="19">
        <v>3000</v>
      </c>
      <c r="T575" s="19">
        <f t="shared" si="75"/>
        <v>2256577</v>
      </c>
      <c r="U575" s="105"/>
      <c r="X575" s="10">
        <f t="shared" si="70"/>
        <v>2253577</v>
      </c>
      <c r="Y575" s="2">
        <f t="shared" si="71"/>
        <v>0</v>
      </c>
      <c r="Z575" s="10">
        <f t="shared" si="76"/>
        <v>0</v>
      </c>
    </row>
    <row r="576" spans="1:26" ht="18" customHeight="1" x14ac:dyDescent="0.25">
      <c r="A576" s="11">
        <v>194</v>
      </c>
      <c r="B576" s="67" t="s">
        <v>1449</v>
      </c>
      <c r="C576" s="14" t="s">
        <v>1450</v>
      </c>
      <c r="D576" s="13" t="s">
        <v>22</v>
      </c>
      <c r="E576" s="14" t="s">
        <v>1375</v>
      </c>
      <c r="F576" s="15" t="s">
        <v>24</v>
      </c>
      <c r="G576" s="16">
        <v>7700</v>
      </c>
      <c r="H576" s="82" t="s">
        <v>25</v>
      </c>
      <c r="I576" s="15" t="s">
        <v>1451</v>
      </c>
      <c r="J576" s="15">
        <v>67123</v>
      </c>
      <c r="K576" s="15">
        <v>68067</v>
      </c>
      <c r="L576" s="18">
        <v>944</v>
      </c>
      <c r="M576" s="19">
        <v>1604356</v>
      </c>
      <c r="N576" s="20">
        <v>0</v>
      </c>
      <c r="O576" s="20">
        <v>0</v>
      </c>
      <c r="P576" s="20">
        <v>0</v>
      </c>
      <c r="Q576" s="20">
        <v>0</v>
      </c>
      <c r="R576" s="19">
        <f t="shared" si="74"/>
        <v>1604356</v>
      </c>
      <c r="S576" s="19">
        <v>3000</v>
      </c>
      <c r="T576" s="19">
        <f t="shared" si="75"/>
        <v>1607356</v>
      </c>
      <c r="U576" s="105"/>
      <c r="X576" s="10">
        <f t="shared" si="70"/>
        <v>1604356</v>
      </c>
      <c r="Y576" s="2">
        <f t="shared" si="71"/>
        <v>0</v>
      </c>
      <c r="Z576" s="10">
        <f t="shared" si="76"/>
        <v>0</v>
      </c>
    </row>
    <row r="577" spans="1:26" ht="18" customHeight="1" x14ac:dyDescent="0.25">
      <c r="A577" s="11">
        <v>195</v>
      </c>
      <c r="B577" s="67" t="s">
        <v>1452</v>
      </c>
      <c r="C577" s="14" t="s">
        <v>1453</v>
      </c>
      <c r="D577" s="13" t="s">
        <v>22</v>
      </c>
      <c r="E577" s="14" t="s">
        <v>1454</v>
      </c>
      <c r="F577" s="15" t="s">
        <v>24</v>
      </c>
      <c r="G577" s="16">
        <v>4400</v>
      </c>
      <c r="H577" s="82" t="s">
        <v>25</v>
      </c>
      <c r="I577" s="15" t="s">
        <v>1455</v>
      </c>
      <c r="J577" s="15">
        <v>60863</v>
      </c>
      <c r="K577" s="15">
        <v>62042</v>
      </c>
      <c r="L577" s="18">
        <v>1179</v>
      </c>
      <c r="M577" s="19">
        <v>2003746</v>
      </c>
      <c r="N577" s="20">
        <v>0</v>
      </c>
      <c r="O577" s="20">
        <v>0</v>
      </c>
      <c r="P577" s="20">
        <v>0</v>
      </c>
      <c r="Q577" s="20">
        <v>0</v>
      </c>
      <c r="R577" s="19">
        <f t="shared" si="74"/>
        <v>2003746</v>
      </c>
      <c r="S577" s="19">
        <v>3000</v>
      </c>
      <c r="T577" s="19">
        <f t="shared" si="75"/>
        <v>2006746</v>
      </c>
      <c r="U577" s="105"/>
      <c r="X577" s="10">
        <f t="shared" si="70"/>
        <v>2003746</v>
      </c>
      <c r="Y577" s="2">
        <f t="shared" si="71"/>
        <v>0</v>
      </c>
      <c r="Z577" s="10">
        <f t="shared" si="76"/>
        <v>0</v>
      </c>
    </row>
    <row r="578" spans="1:26" ht="18" customHeight="1" x14ac:dyDescent="0.25">
      <c r="A578" s="11">
        <v>196</v>
      </c>
      <c r="B578" s="67" t="s">
        <v>1456</v>
      </c>
      <c r="C578" s="14" t="s">
        <v>1457</v>
      </c>
      <c r="D578" s="13" t="s">
        <v>22</v>
      </c>
      <c r="E578" s="14" t="s">
        <v>1458</v>
      </c>
      <c r="F578" s="15" t="s">
        <v>24</v>
      </c>
      <c r="G578" s="16">
        <v>5500</v>
      </c>
      <c r="H578" s="82" t="s">
        <v>25</v>
      </c>
      <c r="I578" s="15" t="s">
        <v>1459</v>
      </c>
      <c r="J578" s="15">
        <v>30054</v>
      </c>
      <c r="K578" s="15">
        <v>30418</v>
      </c>
      <c r="L578" s="18">
        <v>364</v>
      </c>
      <c r="M578" s="19">
        <v>618629</v>
      </c>
      <c r="N578" s="20">
        <v>0</v>
      </c>
      <c r="O578" s="20">
        <v>0</v>
      </c>
      <c r="P578" s="20">
        <v>0</v>
      </c>
      <c r="Q578" s="20">
        <v>0</v>
      </c>
      <c r="R578" s="19">
        <f t="shared" si="74"/>
        <v>618629</v>
      </c>
      <c r="S578" s="19">
        <v>3000</v>
      </c>
      <c r="T578" s="19">
        <f t="shared" si="75"/>
        <v>621629</v>
      </c>
      <c r="U578" s="105"/>
      <c r="X578" s="10">
        <f t="shared" si="70"/>
        <v>618629</v>
      </c>
      <c r="Y578" s="2">
        <f t="shared" si="71"/>
        <v>0</v>
      </c>
      <c r="Z578" s="10">
        <f t="shared" si="76"/>
        <v>0</v>
      </c>
    </row>
    <row r="579" spans="1:26" ht="18" customHeight="1" x14ac:dyDescent="0.25">
      <c r="A579" s="11">
        <v>197</v>
      </c>
      <c r="B579" s="67" t="s">
        <v>1460</v>
      </c>
      <c r="C579" s="14" t="s">
        <v>1461</v>
      </c>
      <c r="D579" s="13" t="s">
        <v>68</v>
      </c>
      <c r="E579" s="14" t="s">
        <v>1462</v>
      </c>
      <c r="F579" s="15" t="s">
        <v>24</v>
      </c>
      <c r="G579" s="15">
        <v>3500</v>
      </c>
      <c r="H579" s="82" t="s">
        <v>25</v>
      </c>
      <c r="I579" s="15" t="s">
        <v>1463</v>
      </c>
      <c r="J579" s="15">
        <v>127796</v>
      </c>
      <c r="K579" s="15">
        <v>128647</v>
      </c>
      <c r="L579" s="18">
        <v>851</v>
      </c>
      <c r="M579" s="19">
        <v>1446300</v>
      </c>
      <c r="N579" s="20">
        <v>0</v>
      </c>
      <c r="O579" s="20">
        <v>0</v>
      </c>
      <c r="P579" s="20">
        <v>0</v>
      </c>
      <c r="Q579" s="20">
        <v>0</v>
      </c>
      <c r="R579" s="19">
        <f t="shared" si="74"/>
        <v>1446300</v>
      </c>
      <c r="S579" s="19">
        <v>3000</v>
      </c>
      <c r="T579" s="19">
        <f t="shared" si="75"/>
        <v>1449300</v>
      </c>
      <c r="U579" s="105"/>
      <c r="X579" s="10">
        <f t="shared" si="70"/>
        <v>1446300</v>
      </c>
      <c r="Y579" s="2">
        <f t="shared" si="71"/>
        <v>0</v>
      </c>
      <c r="Z579" s="10">
        <f t="shared" si="76"/>
        <v>0</v>
      </c>
    </row>
    <row r="580" spans="1:26" ht="18" customHeight="1" x14ac:dyDescent="0.25">
      <c r="A580" s="11">
        <v>198</v>
      </c>
      <c r="B580" s="67" t="s">
        <v>1464</v>
      </c>
      <c r="C580" s="14" t="s">
        <v>1465</v>
      </c>
      <c r="D580" s="13" t="s">
        <v>68</v>
      </c>
      <c r="E580" s="14" t="s">
        <v>1466</v>
      </c>
      <c r="F580" s="15" t="s">
        <v>24</v>
      </c>
      <c r="G580" s="15">
        <v>4400</v>
      </c>
      <c r="H580" s="82" t="s">
        <v>25</v>
      </c>
      <c r="I580" s="15" t="s">
        <v>1467</v>
      </c>
      <c r="J580" s="15">
        <v>47115</v>
      </c>
      <c r="K580" s="15">
        <v>47115</v>
      </c>
      <c r="L580" s="18">
        <v>176</v>
      </c>
      <c r="M580" s="19">
        <v>299117</v>
      </c>
      <c r="N580" s="20">
        <v>0</v>
      </c>
      <c r="O580" s="20">
        <v>0</v>
      </c>
      <c r="P580" s="20">
        <v>0</v>
      </c>
      <c r="Q580" s="20">
        <v>0</v>
      </c>
      <c r="R580" s="19">
        <f t="shared" si="74"/>
        <v>299117</v>
      </c>
      <c r="S580" s="19">
        <v>3000</v>
      </c>
      <c r="T580" s="19">
        <f t="shared" si="75"/>
        <v>302117</v>
      </c>
      <c r="U580" s="105"/>
      <c r="X580" s="10">
        <f t="shared" si="70"/>
        <v>299117</v>
      </c>
      <c r="Y580" s="2">
        <f t="shared" si="71"/>
        <v>0</v>
      </c>
      <c r="Z580" s="10">
        <f t="shared" si="76"/>
        <v>0</v>
      </c>
    </row>
    <row r="581" spans="1:26" ht="18" customHeight="1" x14ac:dyDescent="0.25">
      <c r="A581" s="11">
        <v>199</v>
      </c>
      <c r="B581" s="67" t="s">
        <v>1468</v>
      </c>
      <c r="C581" s="14" t="s">
        <v>1469</v>
      </c>
      <c r="D581" s="13" t="s">
        <v>22</v>
      </c>
      <c r="E581" s="14" t="s">
        <v>1470</v>
      </c>
      <c r="F581" s="15" t="s">
        <v>24</v>
      </c>
      <c r="G581" s="15">
        <v>4400</v>
      </c>
      <c r="H581" s="82" t="s">
        <v>25</v>
      </c>
      <c r="I581" s="15" t="s">
        <v>1471</v>
      </c>
      <c r="J581" s="15">
        <v>49261</v>
      </c>
      <c r="K581" s="15">
        <v>50070</v>
      </c>
      <c r="L581" s="18">
        <v>809</v>
      </c>
      <c r="M581" s="19">
        <v>1374920</v>
      </c>
      <c r="N581" s="20">
        <v>0</v>
      </c>
      <c r="O581" s="20">
        <v>0</v>
      </c>
      <c r="P581" s="20">
        <v>0</v>
      </c>
      <c r="Q581" s="20">
        <v>0</v>
      </c>
      <c r="R581" s="19">
        <f t="shared" si="74"/>
        <v>1374920</v>
      </c>
      <c r="S581" s="19">
        <v>3000</v>
      </c>
      <c r="T581" s="19">
        <f t="shared" si="75"/>
        <v>1377920</v>
      </c>
      <c r="U581" s="105"/>
      <c r="X581" s="10">
        <f t="shared" si="70"/>
        <v>1374920</v>
      </c>
      <c r="Y581" s="2">
        <f t="shared" si="71"/>
        <v>0</v>
      </c>
      <c r="Z581" s="10">
        <f t="shared" si="76"/>
        <v>0</v>
      </c>
    </row>
    <row r="582" spans="1:26" ht="18" customHeight="1" x14ac:dyDescent="0.25">
      <c r="A582" s="11">
        <v>200</v>
      </c>
      <c r="B582" s="67" t="s">
        <v>1472</v>
      </c>
      <c r="C582" s="14" t="s">
        <v>1473</v>
      </c>
      <c r="D582" s="13" t="s">
        <v>68</v>
      </c>
      <c r="E582" s="14" t="s">
        <v>1474</v>
      </c>
      <c r="F582" s="15" t="s">
        <v>24</v>
      </c>
      <c r="G582" s="15">
        <v>5500</v>
      </c>
      <c r="H582" s="82" t="s">
        <v>25</v>
      </c>
      <c r="I582" s="15" t="s">
        <v>1475</v>
      </c>
      <c r="J582" s="15">
        <v>55797</v>
      </c>
      <c r="K582" s="15">
        <v>56781</v>
      </c>
      <c r="L582" s="18">
        <v>984</v>
      </c>
      <c r="M582" s="19">
        <v>1672338</v>
      </c>
      <c r="N582" s="20">
        <v>0</v>
      </c>
      <c r="O582" s="20">
        <v>0</v>
      </c>
      <c r="P582" s="20">
        <v>0</v>
      </c>
      <c r="Q582" s="20">
        <v>0</v>
      </c>
      <c r="R582" s="19">
        <f t="shared" si="74"/>
        <v>1672338</v>
      </c>
      <c r="S582" s="19">
        <v>3000</v>
      </c>
      <c r="T582" s="19">
        <f t="shared" si="75"/>
        <v>1675338</v>
      </c>
      <c r="U582" s="105"/>
      <c r="X582" s="10">
        <f t="shared" si="70"/>
        <v>1672338</v>
      </c>
      <c r="Y582" s="2">
        <f t="shared" si="71"/>
        <v>0</v>
      </c>
      <c r="Z582" s="10">
        <f t="shared" si="76"/>
        <v>0</v>
      </c>
    </row>
    <row r="583" spans="1:26" s="25" customFormat="1" ht="18" customHeight="1" x14ac:dyDescent="0.25">
      <c r="A583" s="11"/>
      <c r="B583" s="12"/>
      <c r="C583" s="13"/>
      <c r="D583" s="13"/>
      <c r="E583" s="13"/>
      <c r="F583" s="12"/>
      <c r="G583" s="12"/>
      <c r="H583" s="82"/>
      <c r="I583" s="15" t="s">
        <v>0</v>
      </c>
      <c r="J583" s="15"/>
      <c r="K583" s="15"/>
      <c r="L583" s="18" t="s">
        <v>0</v>
      </c>
      <c r="M583" s="19"/>
      <c r="N583" s="38"/>
      <c r="O583" s="38"/>
      <c r="P583" s="38"/>
      <c r="Q583" s="38"/>
      <c r="R583" s="19"/>
      <c r="S583" s="19"/>
      <c r="T583" s="19"/>
      <c r="U583" s="105"/>
      <c r="X583" s="10">
        <f t="shared" si="70"/>
        <v>0</v>
      </c>
      <c r="Y583" s="2">
        <f t="shared" si="71"/>
        <v>0</v>
      </c>
      <c r="Z583" s="10"/>
    </row>
    <row r="584" spans="1:26" ht="33.75" customHeight="1" x14ac:dyDescent="0.25">
      <c r="A584" s="34" t="s">
        <v>139</v>
      </c>
      <c r="B584" s="9"/>
      <c r="C584" s="9"/>
      <c r="D584" s="9"/>
      <c r="E584" s="9"/>
      <c r="F584" s="9"/>
      <c r="G584" s="61">
        <f>SUM(G542:G583)</f>
        <v>886800</v>
      </c>
      <c r="H584" s="61"/>
      <c r="I584" s="61"/>
      <c r="J584" s="61"/>
      <c r="K584" s="61"/>
      <c r="L584" s="61">
        <f t="shared" ref="L584:R584" si="77">SUM(L542:L583)</f>
        <v>187320</v>
      </c>
      <c r="M584" s="61">
        <f t="shared" si="77"/>
        <v>318355959</v>
      </c>
      <c r="N584" s="61">
        <f t="shared" si="77"/>
        <v>0</v>
      </c>
      <c r="O584" s="61">
        <f t="shared" si="77"/>
        <v>0</v>
      </c>
      <c r="P584" s="61">
        <f t="shared" si="77"/>
        <v>0</v>
      </c>
      <c r="Q584" s="61">
        <f t="shared" si="77"/>
        <v>10000</v>
      </c>
      <c r="R584" s="61">
        <f t="shared" si="77"/>
        <v>318365959</v>
      </c>
      <c r="S584" s="61">
        <f>SUM(S542:S583)</f>
        <v>600000</v>
      </c>
      <c r="T584" s="61">
        <f>SUM(T542:T583)</f>
        <v>318965959</v>
      </c>
      <c r="U584" s="28"/>
      <c r="W584" s="10"/>
      <c r="X584" s="10">
        <f t="shared" si="70"/>
        <v>318355959</v>
      </c>
      <c r="Y584" s="2">
        <f t="shared" si="71"/>
        <v>10000</v>
      </c>
      <c r="Z584" s="10"/>
    </row>
    <row r="585" spans="1:26" ht="18" customHeight="1" x14ac:dyDescent="0.25">
      <c r="L585" s="31"/>
      <c r="X585" s="10">
        <f t="shared" ref="X585:X648" si="78">M585+N585+O585+P585</f>
        <v>0</v>
      </c>
      <c r="Y585" s="2">
        <f t="shared" ref="Y585:Y648" si="79">IF(X585&gt;5000000,10000,IF(V585&lt;5000000,0,IF(V585=5000000,10000)))</f>
        <v>0</v>
      </c>
      <c r="Z585" s="10"/>
    </row>
    <row r="586" spans="1:26" ht="18" customHeight="1" x14ac:dyDescent="0.25">
      <c r="E586" s="4"/>
      <c r="G586" s="43"/>
      <c r="H586" s="43"/>
      <c r="L586" s="31"/>
      <c r="X586" s="10">
        <f t="shared" si="78"/>
        <v>0</v>
      </c>
      <c r="Y586" s="2">
        <f t="shared" si="79"/>
        <v>0</v>
      </c>
      <c r="Z586" s="10"/>
    </row>
    <row r="587" spans="1:26" ht="18" customHeight="1" x14ac:dyDescent="0.25">
      <c r="E587" s="4"/>
      <c r="G587" s="43"/>
      <c r="L587" s="31"/>
      <c r="X587" s="10">
        <f t="shared" si="78"/>
        <v>0</v>
      </c>
      <c r="Y587" s="2">
        <f t="shared" si="79"/>
        <v>0</v>
      </c>
      <c r="Z587" s="10"/>
    </row>
    <row r="588" spans="1:26" s="84" customFormat="1" ht="39" customHeight="1" x14ac:dyDescent="0.25">
      <c r="A588" s="9" t="s">
        <v>4</v>
      </c>
      <c r="B588" s="21" t="s">
        <v>5</v>
      </c>
      <c r="C588" s="21" t="s">
        <v>6</v>
      </c>
      <c r="D588" s="12"/>
      <c r="E588" s="9" t="s">
        <v>7</v>
      </c>
      <c r="F588" s="21" t="s">
        <v>8</v>
      </c>
      <c r="G588" s="21" t="s">
        <v>9</v>
      </c>
      <c r="H588" s="21" t="s">
        <v>10</v>
      </c>
      <c r="I588" s="21" t="s">
        <v>11</v>
      </c>
      <c r="J588" s="21" t="s">
        <v>12</v>
      </c>
      <c r="K588" s="21" t="s">
        <v>13</v>
      </c>
      <c r="L588" s="21" t="s">
        <v>14</v>
      </c>
      <c r="M588" s="143" t="s">
        <v>15</v>
      </c>
      <c r="N588" s="144" t="s">
        <v>16</v>
      </c>
      <c r="O588" s="144" t="s">
        <v>17</v>
      </c>
      <c r="P588" s="144" t="s">
        <v>18</v>
      </c>
      <c r="Q588" s="144" t="s">
        <v>19</v>
      </c>
      <c r="R588" s="143" t="s">
        <v>20</v>
      </c>
      <c r="S588" s="143" t="s">
        <v>3471</v>
      </c>
      <c r="T588" s="143" t="s">
        <v>3472</v>
      </c>
      <c r="U588" s="145"/>
      <c r="V588" s="145"/>
      <c r="W588" s="145"/>
      <c r="X588" s="145"/>
    </row>
    <row r="589" spans="1:26" ht="18" customHeight="1" x14ac:dyDescent="0.25">
      <c r="A589" s="34"/>
      <c r="B589" s="9"/>
      <c r="C589" s="9"/>
      <c r="D589" s="9"/>
      <c r="E589" s="9"/>
      <c r="F589" s="9"/>
      <c r="G589" s="9"/>
      <c r="H589" s="9"/>
      <c r="I589" s="15" t="s">
        <v>0</v>
      </c>
      <c r="J589" s="15"/>
      <c r="K589" s="15"/>
      <c r="L589" s="18" t="s">
        <v>0</v>
      </c>
      <c r="M589" s="19"/>
      <c r="N589" s="20"/>
      <c r="O589" s="20"/>
      <c r="P589" s="20"/>
      <c r="Q589" s="20"/>
      <c r="R589" s="19"/>
      <c r="S589" s="19"/>
      <c r="T589" s="19"/>
      <c r="U589" s="105"/>
      <c r="X589" s="10">
        <f t="shared" si="78"/>
        <v>0</v>
      </c>
      <c r="Y589" s="2">
        <f t="shared" si="79"/>
        <v>0</v>
      </c>
      <c r="Z589" s="10"/>
    </row>
    <row r="590" spans="1:26" ht="18" customHeight="1" x14ac:dyDescent="0.25">
      <c r="A590" s="34"/>
      <c r="B590" s="9"/>
      <c r="C590" s="15"/>
      <c r="D590" s="15"/>
      <c r="E590" s="35" t="s">
        <v>141</v>
      </c>
      <c r="F590" s="15"/>
      <c r="G590" s="61">
        <f>G584</f>
        <v>886800</v>
      </c>
      <c r="H590" s="61">
        <f t="shared" ref="H590:R590" si="80">H584</f>
        <v>0</v>
      </c>
      <c r="I590" s="61">
        <f t="shared" si="80"/>
        <v>0</v>
      </c>
      <c r="J590" s="61"/>
      <c r="K590" s="61"/>
      <c r="L590" s="61">
        <f t="shared" si="80"/>
        <v>187320</v>
      </c>
      <c r="M590" s="61">
        <f t="shared" si="80"/>
        <v>318355959</v>
      </c>
      <c r="N590" s="61">
        <f t="shared" si="80"/>
        <v>0</v>
      </c>
      <c r="O590" s="61">
        <f t="shared" si="80"/>
        <v>0</v>
      </c>
      <c r="P590" s="61">
        <f t="shared" si="80"/>
        <v>0</v>
      </c>
      <c r="Q590" s="61">
        <f t="shared" si="80"/>
        <v>10000</v>
      </c>
      <c r="R590" s="61">
        <f t="shared" si="80"/>
        <v>318365959</v>
      </c>
      <c r="S590" s="61">
        <f>S584</f>
        <v>600000</v>
      </c>
      <c r="T590" s="61">
        <f>T584</f>
        <v>318965959</v>
      </c>
      <c r="U590" s="28"/>
      <c r="W590" s="62"/>
      <c r="X590" s="10">
        <f t="shared" si="78"/>
        <v>318355959</v>
      </c>
      <c r="Y590" s="2">
        <f t="shared" si="79"/>
        <v>10000</v>
      </c>
      <c r="Z590" s="10"/>
    </row>
    <row r="591" spans="1:26" ht="18" customHeight="1" x14ac:dyDescent="0.25">
      <c r="A591" s="11">
        <v>201</v>
      </c>
      <c r="B591" s="67" t="s">
        <v>1476</v>
      </c>
      <c r="C591" s="14" t="s">
        <v>1477</v>
      </c>
      <c r="D591" s="13" t="s">
        <v>68</v>
      </c>
      <c r="E591" s="14" t="s">
        <v>1478</v>
      </c>
      <c r="F591" s="15" t="s">
        <v>24</v>
      </c>
      <c r="G591" s="15">
        <v>3500</v>
      </c>
      <c r="H591" s="82" t="s">
        <v>25</v>
      </c>
      <c r="I591" s="15" t="s">
        <v>1479</v>
      </c>
      <c r="J591" s="15">
        <v>77858</v>
      </c>
      <c r="K591" s="15">
        <v>78911</v>
      </c>
      <c r="L591" s="18">
        <v>1053</v>
      </c>
      <c r="M591" s="19">
        <v>1789605</v>
      </c>
      <c r="N591" s="20">
        <v>0</v>
      </c>
      <c r="O591" s="20">
        <v>0</v>
      </c>
      <c r="P591" s="20">
        <v>0</v>
      </c>
      <c r="Q591" s="20">
        <v>0</v>
      </c>
      <c r="R591" s="19">
        <f t="shared" ref="R591:R630" si="81">M591+N591+O591+P591+Q591</f>
        <v>1789605</v>
      </c>
      <c r="S591" s="19">
        <v>3000</v>
      </c>
      <c r="T591" s="19">
        <f t="shared" ref="T591:T630" si="82">R591+S591</f>
        <v>1792605</v>
      </c>
      <c r="U591" s="105"/>
      <c r="X591" s="10">
        <f t="shared" si="78"/>
        <v>1789605</v>
      </c>
      <c r="Y591" s="2">
        <f t="shared" si="79"/>
        <v>0</v>
      </c>
      <c r="Z591" s="10">
        <f t="shared" ref="Z591:Z630" si="83">Q591-Y591</f>
        <v>0</v>
      </c>
    </row>
    <row r="592" spans="1:26" ht="18" customHeight="1" x14ac:dyDescent="0.25">
      <c r="A592" s="11">
        <v>202</v>
      </c>
      <c r="B592" s="67" t="s">
        <v>1480</v>
      </c>
      <c r="C592" s="14" t="s">
        <v>1481</v>
      </c>
      <c r="D592" s="13" t="s">
        <v>22</v>
      </c>
      <c r="E592" s="14" t="s">
        <v>1482</v>
      </c>
      <c r="F592" s="15" t="s">
        <v>24</v>
      </c>
      <c r="G592" s="15">
        <v>2200</v>
      </c>
      <c r="H592" s="82" t="s">
        <v>25</v>
      </c>
      <c r="I592" s="15" t="s">
        <v>1483</v>
      </c>
      <c r="J592" s="15">
        <v>87613</v>
      </c>
      <c r="K592" s="15">
        <v>88280</v>
      </c>
      <c r="L592" s="18">
        <v>667</v>
      </c>
      <c r="M592" s="19">
        <v>1133587</v>
      </c>
      <c r="N592" s="20">
        <v>0</v>
      </c>
      <c r="O592" s="20">
        <v>0</v>
      </c>
      <c r="P592" s="20">
        <v>0</v>
      </c>
      <c r="Q592" s="20">
        <v>0</v>
      </c>
      <c r="R592" s="19">
        <f t="shared" si="81"/>
        <v>1133587</v>
      </c>
      <c r="S592" s="19">
        <v>3000</v>
      </c>
      <c r="T592" s="19">
        <f t="shared" si="82"/>
        <v>1136587</v>
      </c>
      <c r="U592" s="105"/>
      <c r="X592" s="10">
        <f t="shared" si="78"/>
        <v>1133587</v>
      </c>
      <c r="Y592" s="2">
        <f t="shared" si="79"/>
        <v>0</v>
      </c>
      <c r="Z592" s="10">
        <f t="shared" si="83"/>
        <v>0</v>
      </c>
    </row>
    <row r="593" spans="1:26" ht="18" customHeight="1" x14ac:dyDescent="0.25">
      <c r="A593" s="11">
        <v>203</v>
      </c>
      <c r="B593" s="67" t="s">
        <v>1484</v>
      </c>
      <c r="C593" s="14" t="s">
        <v>1485</v>
      </c>
      <c r="D593" s="13" t="s">
        <v>22</v>
      </c>
      <c r="E593" s="14" t="s">
        <v>1486</v>
      </c>
      <c r="F593" s="15" t="s">
        <v>24</v>
      </c>
      <c r="G593" s="15">
        <v>2200</v>
      </c>
      <c r="H593" s="82" t="s">
        <v>25</v>
      </c>
      <c r="I593" s="15" t="s">
        <v>1487</v>
      </c>
      <c r="J593" s="15">
        <v>52266</v>
      </c>
      <c r="K593" s="15">
        <v>52904</v>
      </c>
      <c r="L593" s="18">
        <v>638</v>
      </c>
      <c r="M593" s="19">
        <v>1084300</v>
      </c>
      <c r="N593" s="20">
        <v>0</v>
      </c>
      <c r="O593" s="20">
        <v>0</v>
      </c>
      <c r="P593" s="20">
        <v>0</v>
      </c>
      <c r="Q593" s="20">
        <v>0</v>
      </c>
      <c r="R593" s="19">
        <f t="shared" si="81"/>
        <v>1084300</v>
      </c>
      <c r="S593" s="19">
        <v>3000</v>
      </c>
      <c r="T593" s="19">
        <f t="shared" si="82"/>
        <v>1087300</v>
      </c>
      <c r="U593" s="105"/>
      <c r="X593" s="10">
        <f t="shared" si="78"/>
        <v>1084300</v>
      </c>
      <c r="Y593" s="2">
        <f t="shared" si="79"/>
        <v>0</v>
      </c>
      <c r="Z593" s="10">
        <f t="shared" si="83"/>
        <v>0</v>
      </c>
    </row>
    <row r="594" spans="1:26" ht="18" customHeight="1" x14ac:dyDescent="0.25">
      <c r="A594" s="11">
        <v>204</v>
      </c>
      <c r="B594" s="67" t="s">
        <v>1488</v>
      </c>
      <c r="C594" s="14" t="s">
        <v>1489</v>
      </c>
      <c r="D594" s="13" t="s">
        <v>22</v>
      </c>
      <c r="E594" s="14" t="s">
        <v>1079</v>
      </c>
      <c r="F594" s="15" t="s">
        <v>24</v>
      </c>
      <c r="G594" s="15">
        <v>2200</v>
      </c>
      <c r="H594" s="82" t="s">
        <v>25</v>
      </c>
      <c r="I594" s="15" t="s">
        <v>1490</v>
      </c>
      <c r="J594" s="15">
        <v>46971</v>
      </c>
      <c r="K594" s="15">
        <v>47380</v>
      </c>
      <c r="L594" s="18">
        <v>409</v>
      </c>
      <c r="M594" s="19">
        <v>695108</v>
      </c>
      <c r="N594" s="20">
        <v>0</v>
      </c>
      <c r="O594" s="20">
        <v>0</v>
      </c>
      <c r="P594" s="20">
        <v>0</v>
      </c>
      <c r="Q594" s="20">
        <v>0</v>
      </c>
      <c r="R594" s="19">
        <f t="shared" si="81"/>
        <v>695108</v>
      </c>
      <c r="S594" s="19">
        <v>3000</v>
      </c>
      <c r="T594" s="19">
        <f t="shared" si="82"/>
        <v>698108</v>
      </c>
      <c r="U594" s="105"/>
      <c r="X594" s="10">
        <f t="shared" si="78"/>
        <v>695108</v>
      </c>
      <c r="Y594" s="2">
        <f t="shared" si="79"/>
        <v>0</v>
      </c>
      <c r="Z594" s="10">
        <f t="shared" si="83"/>
        <v>0</v>
      </c>
    </row>
    <row r="595" spans="1:26" ht="18" customHeight="1" x14ac:dyDescent="0.25">
      <c r="A595" s="11">
        <v>205</v>
      </c>
      <c r="B595" s="67" t="s">
        <v>1491</v>
      </c>
      <c r="C595" s="14" t="s">
        <v>1492</v>
      </c>
      <c r="D595" s="13" t="s">
        <v>22</v>
      </c>
      <c r="E595" s="14" t="s">
        <v>1079</v>
      </c>
      <c r="F595" s="15" t="s">
        <v>24</v>
      </c>
      <c r="G595" s="15">
        <v>3500</v>
      </c>
      <c r="H595" s="82" t="s">
        <v>25</v>
      </c>
      <c r="I595" s="15" t="s">
        <v>1493</v>
      </c>
      <c r="J595" s="15">
        <v>33804</v>
      </c>
      <c r="K595" s="15">
        <v>34390</v>
      </c>
      <c r="L595" s="18">
        <v>586</v>
      </c>
      <c r="M595" s="19">
        <v>995925</v>
      </c>
      <c r="N595" s="20">
        <v>0</v>
      </c>
      <c r="O595" s="20">
        <v>0</v>
      </c>
      <c r="P595" s="20">
        <v>0</v>
      </c>
      <c r="Q595" s="20">
        <v>0</v>
      </c>
      <c r="R595" s="19">
        <f t="shared" si="81"/>
        <v>995925</v>
      </c>
      <c r="S595" s="19">
        <v>3000</v>
      </c>
      <c r="T595" s="19">
        <f t="shared" si="82"/>
        <v>998925</v>
      </c>
      <c r="U595" s="105"/>
      <c r="X595" s="10">
        <f t="shared" si="78"/>
        <v>995925</v>
      </c>
      <c r="Y595" s="2">
        <f t="shared" si="79"/>
        <v>0</v>
      </c>
      <c r="Z595" s="10">
        <f t="shared" si="83"/>
        <v>0</v>
      </c>
    </row>
    <row r="596" spans="1:26" ht="18" customHeight="1" x14ac:dyDescent="0.25">
      <c r="A596" s="11">
        <v>206</v>
      </c>
      <c r="B596" s="67" t="s">
        <v>1494</v>
      </c>
      <c r="C596" s="14" t="s">
        <v>1495</v>
      </c>
      <c r="D596" s="13" t="s">
        <v>22</v>
      </c>
      <c r="E596" s="14" t="s">
        <v>1496</v>
      </c>
      <c r="F596" s="15" t="s">
        <v>24</v>
      </c>
      <c r="G596" s="15">
        <v>3500</v>
      </c>
      <c r="H596" s="82" t="s">
        <v>25</v>
      </c>
      <c r="I596" s="15" t="s">
        <v>1497</v>
      </c>
      <c r="J596" s="15">
        <v>87783</v>
      </c>
      <c r="K596" s="15">
        <v>88390</v>
      </c>
      <c r="L596" s="18">
        <v>607</v>
      </c>
      <c r="M596" s="19">
        <v>1031615</v>
      </c>
      <c r="N596" s="20">
        <v>0</v>
      </c>
      <c r="O596" s="20">
        <v>0</v>
      </c>
      <c r="P596" s="20">
        <v>0</v>
      </c>
      <c r="Q596" s="20">
        <v>0</v>
      </c>
      <c r="R596" s="19">
        <f t="shared" si="81"/>
        <v>1031615</v>
      </c>
      <c r="S596" s="19">
        <v>3000</v>
      </c>
      <c r="T596" s="19">
        <f t="shared" si="82"/>
        <v>1034615</v>
      </c>
      <c r="U596" s="105"/>
      <c r="X596" s="10">
        <f t="shared" si="78"/>
        <v>1031615</v>
      </c>
      <c r="Y596" s="2">
        <f t="shared" si="79"/>
        <v>0</v>
      </c>
      <c r="Z596" s="10">
        <f t="shared" si="83"/>
        <v>0</v>
      </c>
    </row>
    <row r="597" spans="1:26" ht="18" customHeight="1" x14ac:dyDescent="0.25">
      <c r="A597" s="11">
        <v>207</v>
      </c>
      <c r="B597" s="67" t="s">
        <v>1498</v>
      </c>
      <c r="C597" s="14" t="s">
        <v>1499</v>
      </c>
      <c r="D597" s="13" t="s">
        <v>68</v>
      </c>
      <c r="E597" s="14" t="s">
        <v>1500</v>
      </c>
      <c r="F597" s="15" t="s">
        <v>24</v>
      </c>
      <c r="G597" s="15">
        <v>5500</v>
      </c>
      <c r="H597" s="82" t="s">
        <v>25</v>
      </c>
      <c r="I597" s="15" t="s">
        <v>1501</v>
      </c>
      <c r="J597" s="15">
        <v>80939</v>
      </c>
      <c r="K597" s="15">
        <v>81827</v>
      </c>
      <c r="L597" s="18">
        <v>888</v>
      </c>
      <c r="M597" s="19">
        <v>1509183</v>
      </c>
      <c r="N597" s="20">
        <v>0</v>
      </c>
      <c r="O597" s="20">
        <v>0</v>
      </c>
      <c r="P597" s="20">
        <v>0</v>
      </c>
      <c r="Q597" s="20">
        <v>0</v>
      </c>
      <c r="R597" s="19">
        <f t="shared" si="81"/>
        <v>1509183</v>
      </c>
      <c r="S597" s="19">
        <v>3000</v>
      </c>
      <c r="T597" s="19">
        <f t="shared" si="82"/>
        <v>1512183</v>
      </c>
      <c r="U597" s="105"/>
      <c r="X597" s="10">
        <f t="shared" si="78"/>
        <v>1509183</v>
      </c>
      <c r="Y597" s="2">
        <f t="shared" si="79"/>
        <v>0</v>
      </c>
      <c r="Z597" s="10">
        <f t="shared" si="83"/>
        <v>0</v>
      </c>
    </row>
    <row r="598" spans="1:26" ht="18" customHeight="1" x14ac:dyDescent="0.25">
      <c r="A598" s="11">
        <v>208</v>
      </c>
      <c r="B598" s="67" t="s">
        <v>1502</v>
      </c>
      <c r="C598" s="14" t="s">
        <v>1503</v>
      </c>
      <c r="D598" s="13" t="s">
        <v>68</v>
      </c>
      <c r="E598" s="14" t="s">
        <v>1504</v>
      </c>
      <c r="F598" s="15" t="s">
        <v>24</v>
      </c>
      <c r="G598" s="15">
        <v>2200</v>
      </c>
      <c r="H598" s="82" t="s">
        <v>25</v>
      </c>
      <c r="I598" s="15" t="s">
        <v>1505</v>
      </c>
      <c r="J598" s="15">
        <v>69708</v>
      </c>
      <c r="K598" s="15">
        <v>70186</v>
      </c>
      <c r="L598" s="18">
        <v>478</v>
      </c>
      <c r="M598" s="19">
        <v>812375</v>
      </c>
      <c r="N598" s="20">
        <v>0</v>
      </c>
      <c r="O598" s="20">
        <v>0</v>
      </c>
      <c r="P598" s="20">
        <v>0</v>
      </c>
      <c r="Q598" s="20">
        <v>0</v>
      </c>
      <c r="R598" s="19">
        <f t="shared" si="81"/>
        <v>812375</v>
      </c>
      <c r="S598" s="19">
        <v>3000</v>
      </c>
      <c r="T598" s="19">
        <f t="shared" si="82"/>
        <v>815375</v>
      </c>
      <c r="U598" s="105"/>
      <c r="X598" s="10">
        <f t="shared" si="78"/>
        <v>812375</v>
      </c>
      <c r="Y598" s="2">
        <f t="shared" si="79"/>
        <v>0</v>
      </c>
      <c r="Z598" s="10">
        <f t="shared" si="83"/>
        <v>0</v>
      </c>
    </row>
    <row r="599" spans="1:26" ht="18" customHeight="1" x14ac:dyDescent="0.25">
      <c r="A599" s="11">
        <v>209</v>
      </c>
      <c r="B599" s="67" t="s">
        <v>1506</v>
      </c>
      <c r="C599" s="14" t="s">
        <v>1507</v>
      </c>
      <c r="D599" s="13" t="s">
        <v>22</v>
      </c>
      <c r="E599" s="14" t="s">
        <v>1508</v>
      </c>
      <c r="F599" s="15" t="s">
        <v>24</v>
      </c>
      <c r="G599" s="15">
        <v>3500</v>
      </c>
      <c r="H599" s="82" t="s">
        <v>25</v>
      </c>
      <c r="I599" s="15" t="s">
        <v>1509</v>
      </c>
      <c r="J599" s="15">
        <v>9686</v>
      </c>
      <c r="K599" s="15">
        <v>9771</v>
      </c>
      <c r="L599" s="18">
        <v>140</v>
      </c>
      <c r="M599" s="19">
        <v>237934</v>
      </c>
      <c r="N599" s="20">
        <v>0</v>
      </c>
      <c r="O599" s="20">
        <v>0</v>
      </c>
      <c r="P599" s="20">
        <v>0</v>
      </c>
      <c r="Q599" s="20">
        <v>0</v>
      </c>
      <c r="R599" s="19">
        <f t="shared" si="81"/>
        <v>237934</v>
      </c>
      <c r="S599" s="19">
        <v>3000</v>
      </c>
      <c r="T599" s="19">
        <f t="shared" si="82"/>
        <v>240934</v>
      </c>
      <c r="U599" s="105"/>
      <c r="X599" s="10">
        <f t="shared" si="78"/>
        <v>237934</v>
      </c>
      <c r="Y599" s="2">
        <f t="shared" si="79"/>
        <v>0</v>
      </c>
      <c r="Z599" s="10">
        <f t="shared" si="83"/>
        <v>0</v>
      </c>
    </row>
    <row r="600" spans="1:26" ht="18" customHeight="1" x14ac:dyDescent="0.25">
      <c r="A600" s="11">
        <v>210</v>
      </c>
      <c r="B600" s="67" t="s">
        <v>1510</v>
      </c>
      <c r="C600" s="14" t="s">
        <v>1511</v>
      </c>
      <c r="D600" s="13" t="s">
        <v>22</v>
      </c>
      <c r="E600" s="14" t="s">
        <v>1512</v>
      </c>
      <c r="F600" s="15" t="s">
        <v>24</v>
      </c>
      <c r="G600" s="15">
        <v>4400</v>
      </c>
      <c r="H600" s="82" t="s">
        <v>25</v>
      </c>
      <c r="I600" s="15" t="s">
        <v>1513</v>
      </c>
      <c r="J600" s="15">
        <v>26623</v>
      </c>
      <c r="K600" s="15">
        <v>27875</v>
      </c>
      <c r="L600" s="18">
        <v>1252</v>
      </c>
      <c r="M600" s="19">
        <v>2127812</v>
      </c>
      <c r="N600" s="20">
        <v>0</v>
      </c>
      <c r="O600" s="20">
        <v>0</v>
      </c>
      <c r="P600" s="20">
        <v>0</v>
      </c>
      <c r="Q600" s="20">
        <v>0</v>
      </c>
      <c r="R600" s="19">
        <f t="shared" si="81"/>
        <v>2127812</v>
      </c>
      <c r="S600" s="19">
        <v>3000</v>
      </c>
      <c r="T600" s="19">
        <f t="shared" si="82"/>
        <v>2130812</v>
      </c>
      <c r="U600" s="105"/>
      <c r="X600" s="10">
        <f t="shared" si="78"/>
        <v>2127812</v>
      </c>
      <c r="Y600" s="2">
        <f t="shared" si="79"/>
        <v>0</v>
      </c>
      <c r="Z600" s="10">
        <f t="shared" si="83"/>
        <v>0</v>
      </c>
    </row>
    <row r="601" spans="1:26" ht="18" customHeight="1" x14ac:dyDescent="0.25">
      <c r="A601" s="11">
        <v>211</v>
      </c>
      <c r="B601" s="67" t="s">
        <v>1514</v>
      </c>
      <c r="C601" s="14" t="s">
        <v>1515</v>
      </c>
      <c r="D601" s="13" t="s">
        <v>22</v>
      </c>
      <c r="E601" s="14" t="s">
        <v>1516</v>
      </c>
      <c r="F601" s="15" t="s">
        <v>24</v>
      </c>
      <c r="G601" s="15">
        <v>5500</v>
      </c>
      <c r="H601" s="82" t="s">
        <v>25</v>
      </c>
      <c r="I601" s="15" t="s">
        <v>1517</v>
      </c>
      <c r="J601" s="15">
        <v>45949</v>
      </c>
      <c r="K601" s="15">
        <v>47320</v>
      </c>
      <c r="L601" s="18">
        <v>1371</v>
      </c>
      <c r="M601" s="19">
        <v>2330056</v>
      </c>
      <c r="N601" s="20">
        <v>0</v>
      </c>
      <c r="O601" s="20">
        <v>0</v>
      </c>
      <c r="P601" s="20">
        <v>0</v>
      </c>
      <c r="Q601" s="20">
        <v>0</v>
      </c>
      <c r="R601" s="19">
        <f t="shared" si="81"/>
        <v>2330056</v>
      </c>
      <c r="S601" s="19">
        <v>3000</v>
      </c>
      <c r="T601" s="19">
        <f t="shared" si="82"/>
        <v>2333056</v>
      </c>
      <c r="U601" s="105"/>
      <c r="X601" s="10">
        <f t="shared" si="78"/>
        <v>2330056</v>
      </c>
      <c r="Y601" s="2">
        <f t="shared" si="79"/>
        <v>0</v>
      </c>
      <c r="Z601" s="10">
        <f t="shared" si="83"/>
        <v>0</v>
      </c>
    </row>
    <row r="602" spans="1:26" ht="18" customHeight="1" x14ac:dyDescent="0.25">
      <c r="A602" s="11">
        <v>212</v>
      </c>
      <c r="B602" s="67" t="s">
        <v>1518</v>
      </c>
      <c r="C602" s="14" t="s">
        <v>1519</v>
      </c>
      <c r="D602" s="13" t="s">
        <v>22</v>
      </c>
      <c r="E602" s="14" t="s">
        <v>1520</v>
      </c>
      <c r="F602" s="15" t="s">
        <v>24</v>
      </c>
      <c r="G602" s="15">
        <v>3500</v>
      </c>
      <c r="H602" s="82" t="s">
        <v>25</v>
      </c>
      <c r="I602" s="15" t="s">
        <v>1521</v>
      </c>
      <c r="J602" s="15">
        <v>138909</v>
      </c>
      <c r="K602" s="15">
        <v>140369</v>
      </c>
      <c r="L602" s="18">
        <v>1460</v>
      </c>
      <c r="M602" s="19">
        <v>2481314</v>
      </c>
      <c r="N602" s="20">
        <v>0</v>
      </c>
      <c r="O602" s="20">
        <v>0</v>
      </c>
      <c r="P602" s="20">
        <v>0</v>
      </c>
      <c r="Q602" s="20">
        <v>0</v>
      </c>
      <c r="R602" s="19">
        <f t="shared" si="81"/>
        <v>2481314</v>
      </c>
      <c r="S602" s="19">
        <v>3000</v>
      </c>
      <c r="T602" s="19">
        <f t="shared" si="82"/>
        <v>2484314</v>
      </c>
      <c r="U602" s="105"/>
      <c r="X602" s="10">
        <f t="shared" si="78"/>
        <v>2481314</v>
      </c>
      <c r="Y602" s="2">
        <f t="shared" si="79"/>
        <v>0</v>
      </c>
      <c r="Z602" s="10">
        <f t="shared" si="83"/>
        <v>0</v>
      </c>
    </row>
    <row r="603" spans="1:26" ht="18" customHeight="1" x14ac:dyDescent="0.25">
      <c r="A603" s="11">
        <v>213</v>
      </c>
      <c r="B603" s="67" t="s">
        <v>1522</v>
      </c>
      <c r="C603" s="14" t="s">
        <v>1523</v>
      </c>
      <c r="D603" s="13" t="s">
        <v>68</v>
      </c>
      <c r="E603" s="14" t="s">
        <v>1524</v>
      </c>
      <c r="F603" s="15" t="s">
        <v>24</v>
      </c>
      <c r="G603" s="15">
        <v>3500</v>
      </c>
      <c r="H603" s="82" t="s">
        <v>25</v>
      </c>
      <c r="I603" s="15" t="s">
        <v>1525</v>
      </c>
      <c r="J603" s="15">
        <v>17100</v>
      </c>
      <c r="K603" s="15">
        <v>17100</v>
      </c>
      <c r="L603" s="18">
        <v>140</v>
      </c>
      <c r="M603" s="19">
        <v>237934</v>
      </c>
      <c r="N603" s="20">
        <v>0</v>
      </c>
      <c r="O603" s="20">
        <v>0</v>
      </c>
      <c r="P603" s="20">
        <v>0</v>
      </c>
      <c r="Q603" s="20">
        <v>0</v>
      </c>
      <c r="R603" s="19">
        <f t="shared" si="81"/>
        <v>237934</v>
      </c>
      <c r="S603" s="19">
        <v>3000</v>
      </c>
      <c r="T603" s="19">
        <f t="shared" si="82"/>
        <v>240934</v>
      </c>
      <c r="U603" s="105"/>
      <c r="X603" s="10">
        <f t="shared" si="78"/>
        <v>237934</v>
      </c>
      <c r="Y603" s="2">
        <f t="shared" si="79"/>
        <v>0</v>
      </c>
      <c r="Z603" s="10">
        <f t="shared" si="83"/>
        <v>0</v>
      </c>
    </row>
    <row r="604" spans="1:26" ht="18" customHeight="1" x14ac:dyDescent="0.25">
      <c r="A604" s="11">
        <v>214</v>
      </c>
      <c r="B604" s="67" t="s">
        <v>1526</v>
      </c>
      <c r="C604" s="14" t="s">
        <v>1430</v>
      </c>
      <c r="D604" s="13" t="s">
        <v>68</v>
      </c>
      <c r="E604" s="14" t="s">
        <v>1527</v>
      </c>
      <c r="F604" s="15" t="s">
        <v>24</v>
      </c>
      <c r="G604" s="15">
        <v>5500</v>
      </c>
      <c r="H604" s="82" t="s">
        <v>25</v>
      </c>
      <c r="I604" s="15" t="s">
        <v>1528</v>
      </c>
      <c r="J604" s="15">
        <v>196991</v>
      </c>
      <c r="K604" s="15">
        <v>198651</v>
      </c>
      <c r="L604" s="18">
        <v>1660</v>
      </c>
      <c r="M604" s="19">
        <v>2821220</v>
      </c>
      <c r="N604" s="20">
        <v>0</v>
      </c>
      <c r="O604" s="20">
        <v>0</v>
      </c>
      <c r="P604" s="20">
        <v>0</v>
      </c>
      <c r="Q604" s="20">
        <v>0</v>
      </c>
      <c r="R604" s="19">
        <f t="shared" si="81"/>
        <v>2821220</v>
      </c>
      <c r="S604" s="19">
        <v>3000</v>
      </c>
      <c r="T604" s="19">
        <f t="shared" si="82"/>
        <v>2824220</v>
      </c>
      <c r="U604" s="105"/>
      <c r="X604" s="10">
        <f t="shared" si="78"/>
        <v>2821220</v>
      </c>
      <c r="Y604" s="2">
        <f t="shared" si="79"/>
        <v>0</v>
      </c>
      <c r="Z604" s="10">
        <f t="shared" si="83"/>
        <v>0</v>
      </c>
    </row>
    <row r="605" spans="1:26" ht="18" customHeight="1" x14ac:dyDescent="0.25">
      <c r="A605" s="11">
        <v>215</v>
      </c>
      <c r="B605" s="67" t="s">
        <v>1529</v>
      </c>
      <c r="C605" s="14" t="s">
        <v>1530</v>
      </c>
      <c r="D605" s="13" t="s">
        <v>22</v>
      </c>
      <c r="E605" s="14" t="s">
        <v>1531</v>
      </c>
      <c r="F605" s="15" t="s">
        <v>24</v>
      </c>
      <c r="G605" s="15">
        <v>2200</v>
      </c>
      <c r="H605" s="82" t="s">
        <v>25</v>
      </c>
      <c r="I605" s="15" t="s">
        <v>1532</v>
      </c>
      <c r="J605" s="15">
        <v>102478</v>
      </c>
      <c r="K605" s="15">
        <v>103386</v>
      </c>
      <c r="L605" s="18">
        <v>908</v>
      </c>
      <c r="M605" s="19">
        <v>1543173</v>
      </c>
      <c r="N605" s="20">
        <v>0</v>
      </c>
      <c r="O605" s="20">
        <v>0</v>
      </c>
      <c r="P605" s="20">
        <v>0</v>
      </c>
      <c r="Q605" s="20">
        <v>0</v>
      </c>
      <c r="R605" s="19">
        <f t="shared" si="81"/>
        <v>1543173</v>
      </c>
      <c r="S605" s="19">
        <v>3000</v>
      </c>
      <c r="T605" s="19">
        <f t="shared" si="82"/>
        <v>1546173</v>
      </c>
      <c r="U605" s="105"/>
      <c r="X605" s="10">
        <f t="shared" si="78"/>
        <v>1543173</v>
      </c>
      <c r="Y605" s="2">
        <f t="shared" si="79"/>
        <v>0</v>
      </c>
      <c r="Z605" s="10">
        <f t="shared" si="83"/>
        <v>0</v>
      </c>
    </row>
    <row r="606" spans="1:26" ht="18" customHeight="1" x14ac:dyDescent="0.25">
      <c r="A606" s="11">
        <v>216</v>
      </c>
      <c r="B606" s="67" t="s">
        <v>1533</v>
      </c>
      <c r="C606" s="14" t="s">
        <v>1534</v>
      </c>
      <c r="D606" s="13" t="s">
        <v>22</v>
      </c>
      <c r="E606" s="14" t="s">
        <v>1535</v>
      </c>
      <c r="F606" s="15" t="s">
        <v>24</v>
      </c>
      <c r="G606" s="15">
        <v>3500</v>
      </c>
      <c r="H606" s="82" t="s">
        <v>25</v>
      </c>
      <c r="I606" s="15" t="s">
        <v>1536</v>
      </c>
      <c r="J606" s="15">
        <v>46405</v>
      </c>
      <c r="K606" s="15">
        <v>46405</v>
      </c>
      <c r="L606" s="18">
        <v>140</v>
      </c>
      <c r="M606" s="19">
        <v>237934</v>
      </c>
      <c r="N606" s="20">
        <v>0</v>
      </c>
      <c r="O606" s="20">
        <v>0</v>
      </c>
      <c r="P606" s="20">
        <v>0</v>
      </c>
      <c r="Q606" s="20">
        <v>0</v>
      </c>
      <c r="R606" s="19">
        <f t="shared" si="81"/>
        <v>237934</v>
      </c>
      <c r="S606" s="19">
        <v>3000</v>
      </c>
      <c r="T606" s="19">
        <f t="shared" si="82"/>
        <v>240934</v>
      </c>
      <c r="U606" s="105"/>
      <c r="X606" s="10">
        <f t="shared" si="78"/>
        <v>237934</v>
      </c>
      <c r="Y606" s="2">
        <f t="shared" si="79"/>
        <v>0</v>
      </c>
      <c r="Z606" s="10">
        <f t="shared" si="83"/>
        <v>0</v>
      </c>
    </row>
    <row r="607" spans="1:26" ht="18" customHeight="1" x14ac:dyDescent="0.25">
      <c r="A607" s="11">
        <v>217</v>
      </c>
      <c r="B607" s="67" t="s">
        <v>1537</v>
      </c>
      <c r="C607" s="14" t="s">
        <v>1538</v>
      </c>
      <c r="D607" s="13" t="s">
        <v>22</v>
      </c>
      <c r="E607" s="14" t="s">
        <v>1539</v>
      </c>
      <c r="F607" s="15" t="s">
        <v>24</v>
      </c>
      <c r="G607" s="15">
        <v>5500</v>
      </c>
      <c r="H607" s="82" t="s">
        <v>25</v>
      </c>
      <c r="I607" s="15" t="s">
        <v>1540</v>
      </c>
      <c r="J607" s="15">
        <v>29357</v>
      </c>
      <c r="K607" s="15">
        <v>30544</v>
      </c>
      <c r="L607" s="18">
        <v>1187</v>
      </c>
      <c r="M607" s="19">
        <v>2017342</v>
      </c>
      <c r="N607" s="20">
        <v>0</v>
      </c>
      <c r="O607" s="20">
        <v>0</v>
      </c>
      <c r="P607" s="20">
        <v>0</v>
      </c>
      <c r="Q607" s="20">
        <v>0</v>
      </c>
      <c r="R607" s="19">
        <f t="shared" si="81"/>
        <v>2017342</v>
      </c>
      <c r="S607" s="19">
        <v>3000</v>
      </c>
      <c r="T607" s="19">
        <f t="shared" si="82"/>
        <v>2020342</v>
      </c>
      <c r="U607" s="105"/>
      <c r="X607" s="10">
        <f t="shared" si="78"/>
        <v>2017342</v>
      </c>
      <c r="Y607" s="2">
        <f t="shared" si="79"/>
        <v>0</v>
      </c>
      <c r="Z607" s="10">
        <f t="shared" si="83"/>
        <v>0</v>
      </c>
    </row>
    <row r="608" spans="1:26" ht="18" customHeight="1" x14ac:dyDescent="0.25">
      <c r="A608" s="11">
        <v>218</v>
      </c>
      <c r="B608" s="67" t="s">
        <v>1541</v>
      </c>
      <c r="C608" s="14" t="s">
        <v>1542</v>
      </c>
      <c r="D608" s="13" t="s">
        <v>22</v>
      </c>
      <c r="E608" s="14" t="s">
        <v>1543</v>
      </c>
      <c r="F608" s="15" t="s">
        <v>24</v>
      </c>
      <c r="G608" s="15">
        <v>4400</v>
      </c>
      <c r="H608" s="82" t="s">
        <v>25</v>
      </c>
      <c r="I608" s="15" t="s">
        <v>1544</v>
      </c>
      <c r="J608" s="15">
        <v>46060</v>
      </c>
      <c r="K608" s="15">
        <v>47680</v>
      </c>
      <c r="L608" s="18">
        <v>1620</v>
      </c>
      <c r="M608" s="19">
        <v>2753239</v>
      </c>
      <c r="N608" s="20">
        <v>0</v>
      </c>
      <c r="O608" s="20">
        <v>0</v>
      </c>
      <c r="P608" s="20">
        <v>0</v>
      </c>
      <c r="Q608" s="20">
        <v>0</v>
      </c>
      <c r="R608" s="19">
        <f t="shared" si="81"/>
        <v>2753239</v>
      </c>
      <c r="S608" s="19">
        <v>3000</v>
      </c>
      <c r="T608" s="19">
        <f t="shared" si="82"/>
        <v>2756239</v>
      </c>
      <c r="U608" s="105"/>
      <c r="X608" s="10">
        <f t="shared" si="78"/>
        <v>2753239</v>
      </c>
      <c r="Y608" s="2">
        <f t="shared" si="79"/>
        <v>0</v>
      </c>
      <c r="Z608" s="10">
        <f t="shared" si="83"/>
        <v>0</v>
      </c>
    </row>
    <row r="609" spans="1:26" ht="18" customHeight="1" x14ac:dyDescent="0.25">
      <c r="A609" s="11">
        <v>219</v>
      </c>
      <c r="B609" s="67" t="s">
        <v>1545</v>
      </c>
      <c r="C609" s="14" t="s">
        <v>1546</v>
      </c>
      <c r="D609" s="13" t="s">
        <v>22</v>
      </c>
      <c r="E609" s="14" t="s">
        <v>1547</v>
      </c>
      <c r="F609" s="15" t="s">
        <v>24</v>
      </c>
      <c r="G609" s="15">
        <v>5500</v>
      </c>
      <c r="H609" s="82" t="s">
        <v>25</v>
      </c>
      <c r="I609" s="15" t="s">
        <v>1548</v>
      </c>
      <c r="J609" s="15">
        <v>83107</v>
      </c>
      <c r="K609" s="15">
        <v>84038</v>
      </c>
      <c r="L609" s="18">
        <v>931</v>
      </c>
      <c r="M609" s="19">
        <v>1582262</v>
      </c>
      <c r="N609" s="20">
        <v>0</v>
      </c>
      <c r="O609" s="20">
        <v>0</v>
      </c>
      <c r="P609" s="20">
        <v>0</v>
      </c>
      <c r="Q609" s="20">
        <v>0</v>
      </c>
      <c r="R609" s="19">
        <f t="shared" si="81"/>
        <v>1582262</v>
      </c>
      <c r="S609" s="19">
        <v>3000</v>
      </c>
      <c r="T609" s="19">
        <f t="shared" si="82"/>
        <v>1585262</v>
      </c>
      <c r="U609" s="105"/>
      <c r="X609" s="10">
        <f t="shared" si="78"/>
        <v>1582262</v>
      </c>
      <c r="Y609" s="2">
        <f t="shared" si="79"/>
        <v>0</v>
      </c>
      <c r="Z609" s="10">
        <f t="shared" si="83"/>
        <v>0</v>
      </c>
    </row>
    <row r="610" spans="1:26" ht="18" customHeight="1" x14ac:dyDescent="0.25">
      <c r="A610" s="11">
        <v>220</v>
      </c>
      <c r="B610" s="67" t="s">
        <v>1549</v>
      </c>
      <c r="C610" s="14" t="s">
        <v>1550</v>
      </c>
      <c r="D610" s="13" t="s">
        <v>22</v>
      </c>
      <c r="E610" s="14" t="s">
        <v>1551</v>
      </c>
      <c r="F610" s="15" t="s">
        <v>24</v>
      </c>
      <c r="G610" s="15">
        <v>4400</v>
      </c>
      <c r="H610" s="82" t="s">
        <v>25</v>
      </c>
      <c r="I610" s="15" t="s">
        <v>1552</v>
      </c>
      <c r="J610" s="15">
        <v>81999</v>
      </c>
      <c r="K610" s="15">
        <v>84560</v>
      </c>
      <c r="L610" s="18">
        <v>2561</v>
      </c>
      <c r="M610" s="19">
        <v>4352496</v>
      </c>
      <c r="N610" s="20">
        <v>0</v>
      </c>
      <c r="O610" s="20">
        <v>0</v>
      </c>
      <c r="P610" s="20">
        <v>0</v>
      </c>
      <c r="Q610" s="20">
        <v>0</v>
      </c>
      <c r="R610" s="19">
        <f t="shared" si="81"/>
        <v>4352496</v>
      </c>
      <c r="S610" s="19">
        <v>3000</v>
      </c>
      <c r="T610" s="19">
        <f t="shared" si="82"/>
        <v>4355496</v>
      </c>
      <c r="U610" s="105"/>
      <c r="X610" s="10">
        <f t="shared" si="78"/>
        <v>4352496</v>
      </c>
      <c r="Y610" s="2">
        <f t="shared" si="79"/>
        <v>0</v>
      </c>
      <c r="Z610" s="10">
        <f t="shared" si="83"/>
        <v>0</v>
      </c>
    </row>
    <row r="611" spans="1:26" ht="18" customHeight="1" x14ac:dyDescent="0.25">
      <c r="A611" s="11">
        <v>221</v>
      </c>
      <c r="B611" s="67" t="s">
        <v>1553</v>
      </c>
      <c r="C611" s="14" t="s">
        <v>1554</v>
      </c>
      <c r="D611" s="13" t="s">
        <v>22</v>
      </c>
      <c r="E611" s="14" t="s">
        <v>1555</v>
      </c>
      <c r="F611" s="15" t="s">
        <v>24</v>
      </c>
      <c r="G611" s="15">
        <v>3500</v>
      </c>
      <c r="H611" s="82" t="s">
        <v>25</v>
      </c>
      <c r="I611" s="15" t="s">
        <v>1556</v>
      </c>
      <c r="J611" s="15">
        <v>15717</v>
      </c>
      <c r="K611" s="15">
        <v>17720</v>
      </c>
      <c r="L611" s="18">
        <v>2003</v>
      </c>
      <c r="M611" s="19">
        <v>3404159</v>
      </c>
      <c r="N611" s="20">
        <v>0</v>
      </c>
      <c r="O611" s="20">
        <v>0</v>
      </c>
      <c r="P611" s="20">
        <v>0</v>
      </c>
      <c r="Q611" s="20">
        <v>0</v>
      </c>
      <c r="R611" s="19">
        <f t="shared" si="81"/>
        <v>3404159</v>
      </c>
      <c r="S611" s="19">
        <v>3000</v>
      </c>
      <c r="T611" s="19">
        <f t="shared" si="82"/>
        <v>3407159</v>
      </c>
      <c r="U611" s="105"/>
      <c r="X611" s="10">
        <f t="shared" si="78"/>
        <v>3404159</v>
      </c>
      <c r="Y611" s="2">
        <f t="shared" si="79"/>
        <v>0</v>
      </c>
      <c r="Z611" s="10">
        <f t="shared" si="83"/>
        <v>0</v>
      </c>
    </row>
    <row r="612" spans="1:26" ht="18" customHeight="1" x14ac:dyDescent="0.25">
      <c r="A612" s="11">
        <v>222</v>
      </c>
      <c r="B612" s="67" t="s">
        <v>1557</v>
      </c>
      <c r="C612" s="14" t="s">
        <v>1558</v>
      </c>
      <c r="D612" s="13" t="s">
        <v>22</v>
      </c>
      <c r="E612" s="14" t="s">
        <v>1559</v>
      </c>
      <c r="F612" s="15" t="s">
        <v>24</v>
      </c>
      <c r="G612" s="15">
        <v>7700</v>
      </c>
      <c r="H612" s="82" t="s">
        <v>25</v>
      </c>
      <c r="I612" s="15" t="s">
        <v>1560</v>
      </c>
      <c r="J612" s="15">
        <v>1</v>
      </c>
      <c r="K612" s="15">
        <v>1</v>
      </c>
      <c r="L612" s="18">
        <v>308</v>
      </c>
      <c r="M612" s="19">
        <v>523455</v>
      </c>
      <c r="N612" s="20">
        <v>0</v>
      </c>
      <c r="O612" s="20">
        <v>0</v>
      </c>
      <c r="P612" s="20">
        <v>0</v>
      </c>
      <c r="Q612" s="20">
        <v>0</v>
      </c>
      <c r="R612" s="19">
        <f t="shared" si="81"/>
        <v>523455</v>
      </c>
      <c r="S612" s="19">
        <v>3000</v>
      </c>
      <c r="T612" s="19">
        <f t="shared" si="82"/>
        <v>526455</v>
      </c>
      <c r="U612" s="105"/>
      <c r="X612" s="10">
        <f t="shared" si="78"/>
        <v>523455</v>
      </c>
      <c r="Y612" s="2">
        <f t="shared" si="79"/>
        <v>0</v>
      </c>
      <c r="Z612" s="10">
        <f t="shared" si="83"/>
        <v>0</v>
      </c>
    </row>
    <row r="613" spans="1:26" ht="18" customHeight="1" x14ac:dyDescent="0.25">
      <c r="A613" s="11">
        <v>223</v>
      </c>
      <c r="B613" s="67" t="s">
        <v>1561</v>
      </c>
      <c r="C613" s="14" t="s">
        <v>1562</v>
      </c>
      <c r="D613" s="13" t="s">
        <v>22</v>
      </c>
      <c r="E613" s="14" t="s">
        <v>1270</v>
      </c>
      <c r="F613" s="15" t="s">
        <v>24</v>
      </c>
      <c r="G613" s="15">
        <v>3500</v>
      </c>
      <c r="H613" s="82" t="s">
        <v>25</v>
      </c>
      <c r="I613" s="15" t="s">
        <v>1563</v>
      </c>
      <c r="J613" s="15">
        <v>62546</v>
      </c>
      <c r="K613" s="15">
        <v>63911</v>
      </c>
      <c r="L613" s="18">
        <v>1365</v>
      </c>
      <c r="M613" s="19">
        <v>2319858</v>
      </c>
      <c r="N613" s="20">
        <v>0</v>
      </c>
      <c r="O613" s="20">
        <v>0</v>
      </c>
      <c r="P613" s="20">
        <v>0</v>
      </c>
      <c r="Q613" s="20">
        <v>0</v>
      </c>
      <c r="R613" s="19">
        <f t="shared" si="81"/>
        <v>2319858</v>
      </c>
      <c r="S613" s="19">
        <v>3000</v>
      </c>
      <c r="T613" s="19">
        <f t="shared" si="82"/>
        <v>2322858</v>
      </c>
      <c r="U613" s="105"/>
      <c r="X613" s="10">
        <f t="shared" si="78"/>
        <v>2319858</v>
      </c>
      <c r="Y613" s="2">
        <f t="shared" si="79"/>
        <v>0</v>
      </c>
      <c r="Z613" s="10">
        <f t="shared" si="83"/>
        <v>0</v>
      </c>
    </row>
    <row r="614" spans="1:26" ht="18" customHeight="1" x14ac:dyDescent="0.25">
      <c r="A614" s="11">
        <v>224</v>
      </c>
      <c r="B614" s="67" t="s">
        <v>1564</v>
      </c>
      <c r="C614" s="14" t="s">
        <v>1565</v>
      </c>
      <c r="D614" s="13" t="s">
        <v>68</v>
      </c>
      <c r="E614" s="14" t="s">
        <v>1566</v>
      </c>
      <c r="F614" s="15" t="s">
        <v>24</v>
      </c>
      <c r="G614" s="15">
        <v>4400</v>
      </c>
      <c r="H614" s="82" t="s">
        <v>25</v>
      </c>
      <c r="I614" s="15" t="s">
        <v>1567</v>
      </c>
      <c r="J614" s="15">
        <v>890</v>
      </c>
      <c r="K614" s="15">
        <v>890</v>
      </c>
      <c r="L614" s="18">
        <v>176</v>
      </c>
      <c r="M614" s="19">
        <v>299117</v>
      </c>
      <c r="N614" s="20">
        <v>0</v>
      </c>
      <c r="O614" s="20">
        <v>0</v>
      </c>
      <c r="P614" s="20">
        <v>0</v>
      </c>
      <c r="Q614" s="20">
        <v>0</v>
      </c>
      <c r="R614" s="19">
        <f t="shared" si="81"/>
        <v>299117</v>
      </c>
      <c r="S614" s="19">
        <v>3000</v>
      </c>
      <c r="T614" s="19">
        <f t="shared" si="82"/>
        <v>302117</v>
      </c>
      <c r="U614" s="105"/>
      <c r="X614" s="10">
        <f t="shared" si="78"/>
        <v>299117</v>
      </c>
      <c r="Y614" s="2">
        <f t="shared" si="79"/>
        <v>0</v>
      </c>
      <c r="Z614" s="10">
        <f t="shared" si="83"/>
        <v>0</v>
      </c>
    </row>
    <row r="615" spans="1:26" ht="18" customHeight="1" x14ac:dyDescent="0.25">
      <c r="A615" s="11">
        <v>225</v>
      </c>
      <c r="B615" s="67" t="s">
        <v>1568</v>
      </c>
      <c r="C615" s="14" t="s">
        <v>1569</v>
      </c>
      <c r="D615" s="13" t="s">
        <v>22</v>
      </c>
      <c r="E615" s="14" t="s">
        <v>1570</v>
      </c>
      <c r="F615" s="15" t="s">
        <v>24</v>
      </c>
      <c r="G615" s="15">
        <v>3500</v>
      </c>
      <c r="H615" s="82" t="s">
        <v>25</v>
      </c>
      <c r="I615" s="15" t="s">
        <v>1571</v>
      </c>
      <c r="J615" s="15">
        <v>127090</v>
      </c>
      <c r="K615" s="15">
        <v>127862</v>
      </c>
      <c r="L615" s="18">
        <v>772</v>
      </c>
      <c r="M615" s="19">
        <v>1312037</v>
      </c>
      <c r="N615" s="20">
        <v>0</v>
      </c>
      <c r="O615" s="20">
        <v>0</v>
      </c>
      <c r="P615" s="20">
        <v>0</v>
      </c>
      <c r="Q615" s="20">
        <v>0</v>
      </c>
      <c r="R615" s="19">
        <f t="shared" si="81"/>
        <v>1312037</v>
      </c>
      <c r="S615" s="19">
        <v>3000</v>
      </c>
      <c r="T615" s="19">
        <f t="shared" si="82"/>
        <v>1315037</v>
      </c>
      <c r="U615" s="105"/>
      <c r="X615" s="10">
        <f t="shared" si="78"/>
        <v>1312037</v>
      </c>
      <c r="Y615" s="2">
        <f t="shared" si="79"/>
        <v>0</v>
      </c>
      <c r="Z615" s="10">
        <f t="shared" si="83"/>
        <v>0</v>
      </c>
    </row>
    <row r="616" spans="1:26" ht="18" customHeight="1" x14ac:dyDescent="0.25">
      <c r="A616" s="11">
        <v>226</v>
      </c>
      <c r="B616" s="67" t="s">
        <v>1572</v>
      </c>
      <c r="C616" s="14" t="s">
        <v>1573</v>
      </c>
      <c r="D616" s="13" t="s">
        <v>22</v>
      </c>
      <c r="E616" s="14" t="s">
        <v>1574</v>
      </c>
      <c r="F616" s="15" t="s">
        <v>24</v>
      </c>
      <c r="G616" s="15">
        <v>3500</v>
      </c>
      <c r="H616" s="82" t="s">
        <v>25</v>
      </c>
      <c r="I616" s="15" t="s">
        <v>1575</v>
      </c>
      <c r="J616" s="15">
        <v>138428</v>
      </c>
      <c r="K616" s="15">
        <v>139605</v>
      </c>
      <c r="L616" s="18">
        <v>1177</v>
      </c>
      <c r="M616" s="19">
        <v>2000347</v>
      </c>
      <c r="N616" s="20">
        <v>0</v>
      </c>
      <c r="O616" s="20">
        <v>0</v>
      </c>
      <c r="P616" s="20">
        <v>0</v>
      </c>
      <c r="Q616" s="20">
        <v>0</v>
      </c>
      <c r="R616" s="19">
        <f t="shared" si="81"/>
        <v>2000347</v>
      </c>
      <c r="S616" s="19">
        <v>3000</v>
      </c>
      <c r="T616" s="19">
        <f t="shared" si="82"/>
        <v>2003347</v>
      </c>
      <c r="U616" s="105"/>
      <c r="X616" s="10">
        <f t="shared" si="78"/>
        <v>2000347</v>
      </c>
      <c r="Y616" s="2">
        <f t="shared" si="79"/>
        <v>0</v>
      </c>
      <c r="Z616" s="10">
        <f t="shared" si="83"/>
        <v>0</v>
      </c>
    </row>
    <row r="617" spans="1:26" ht="18" customHeight="1" x14ac:dyDescent="0.25">
      <c r="A617" s="11">
        <v>227</v>
      </c>
      <c r="B617" s="67" t="s">
        <v>1576</v>
      </c>
      <c r="C617" s="14" t="s">
        <v>1577</v>
      </c>
      <c r="D617" s="13" t="s">
        <v>68</v>
      </c>
      <c r="E617" s="14" t="s">
        <v>1578</v>
      </c>
      <c r="F617" s="15" t="s">
        <v>24</v>
      </c>
      <c r="G617" s="15">
        <v>3500</v>
      </c>
      <c r="H617" s="82" t="s">
        <v>25</v>
      </c>
      <c r="I617" s="15" t="s">
        <v>1579</v>
      </c>
      <c r="J617" s="15">
        <v>84417</v>
      </c>
      <c r="K617" s="15">
        <v>85427</v>
      </c>
      <c r="L617" s="18">
        <v>1010</v>
      </c>
      <c r="M617" s="19">
        <v>1716525</v>
      </c>
      <c r="N617" s="20">
        <v>0</v>
      </c>
      <c r="O617" s="20">
        <v>0</v>
      </c>
      <c r="P617" s="20">
        <v>0</v>
      </c>
      <c r="Q617" s="20">
        <v>0</v>
      </c>
      <c r="R617" s="19">
        <f t="shared" si="81"/>
        <v>1716525</v>
      </c>
      <c r="S617" s="19">
        <v>3000</v>
      </c>
      <c r="T617" s="19">
        <f t="shared" si="82"/>
        <v>1719525</v>
      </c>
      <c r="U617" s="105"/>
      <c r="X617" s="10">
        <f t="shared" si="78"/>
        <v>1716525</v>
      </c>
      <c r="Y617" s="2">
        <f t="shared" si="79"/>
        <v>0</v>
      </c>
      <c r="Z617" s="10">
        <f t="shared" si="83"/>
        <v>0</v>
      </c>
    </row>
    <row r="618" spans="1:26" ht="18" customHeight="1" x14ac:dyDescent="0.25">
      <c r="A618" s="11">
        <v>228</v>
      </c>
      <c r="B618" s="67" t="s">
        <v>1580</v>
      </c>
      <c r="C618" s="14" t="s">
        <v>1581</v>
      </c>
      <c r="D618" s="13" t="s">
        <v>22</v>
      </c>
      <c r="E618" s="14" t="s">
        <v>1486</v>
      </c>
      <c r="F618" s="15" t="s">
        <v>24</v>
      </c>
      <c r="G618" s="15">
        <v>2200</v>
      </c>
      <c r="H618" s="82" t="s">
        <v>25</v>
      </c>
      <c r="I618" s="15" t="s">
        <v>1582</v>
      </c>
      <c r="J618" s="15">
        <v>44633</v>
      </c>
      <c r="K618" s="15">
        <v>45669</v>
      </c>
      <c r="L618" s="18">
        <v>1036</v>
      </c>
      <c r="M618" s="19">
        <v>1760713</v>
      </c>
      <c r="N618" s="20">
        <v>0</v>
      </c>
      <c r="O618" s="20">
        <v>0</v>
      </c>
      <c r="P618" s="20">
        <v>0</v>
      </c>
      <c r="Q618" s="20">
        <v>0</v>
      </c>
      <c r="R618" s="19">
        <f t="shared" si="81"/>
        <v>1760713</v>
      </c>
      <c r="S618" s="19">
        <v>3000</v>
      </c>
      <c r="T618" s="19">
        <f t="shared" si="82"/>
        <v>1763713</v>
      </c>
      <c r="U618" s="105"/>
      <c r="X618" s="10">
        <f t="shared" si="78"/>
        <v>1760713</v>
      </c>
      <c r="Y618" s="2">
        <f t="shared" si="79"/>
        <v>0</v>
      </c>
      <c r="Z618" s="10">
        <f t="shared" si="83"/>
        <v>0</v>
      </c>
    </row>
    <row r="619" spans="1:26" ht="18" customHeight="1" x14ac:dyDescent="0.25">
      <c r="A619" s="11">
        <v>229</v>
      </c>
      <c r="B619" s="67" t="s">
        <v>1583</v>
      </c>
      <c r="C619" s="14" t="s">
        <v>1584</v>
      </c>
      <c r="D619" s="13" t="s">
        <v>68</v>
      </c>
      <c r="E619" s="14" t="s">
        <v>1585</v>
      </c>
      <c r="F619" s="15" t="s">
        <v>24</v>
      </c>
      <c r="G619" s="15">
        <v>2200</v>
      </c>
      <c r="H619" s="82" t="s">
        <v>25</v>
      </c>
      <c r="I619" s="15" t="s">
        <v>1586</v>
      </c>
      <c r="J619" s="15">
        <v>105463</v>
      </c>
      <c r="K619" s="15">
        <v>106290</v>
      </c>
      <c r="L619" s="18">
        <v>827</v>
      </c>
      <c r="M619" s="19">
        <v>1405511</v>
      </c>
      <c r="N619" s="20">
        <v>0</v>
      </c>
      <c r="O619" s="20">
        <v>0</v>
      </c>
      <c r="P619" s="20">
        <v>0</v>
      </c>
      <c r="Q619" s="20">
        <v>0</v>
      </c>
      <c r="R619" s="19">
        <f t="shared" si="81"/>
        <v>1405511</v>
      </c>
      <c r="S619" s="19">
        <v>3000</v>
      </c>
      <c r="T619" s="19">
        <f t="shared" si="82"/>
        <v>1408511</v>
      </c>
      <c r="U619" s="105"/>
      <c r="X619" s="10">
        <f t="shared" si="78"/>
        <v>1405511</v>
      </c>
      <c r="Y619" s="2">
        <f t="shared" si="79"/>
        <v>0</v>
      </c>
      <c r="Z619" s="10">
        <f t="shared" si="83"/>
        <v>0</v>
      </c>
    </row>
    <row r="620" spans="1:26" ht="18" customHeight="1" x14ac:dyDescent="0.25">
      <c r="A620" s="11">
        <v>230</v>
      </c>
      <c r="B620" s="67" t="s">
        <v>1587</v>
      </c>
      <c r="C620" s="14" t="s">
        <v>1588</v>
      </c>
      <c r="D620" s="13" t="s">
        <v>22</v>
      </c>
      <c r="E620" s="14" t="s">
        <v>1454</v>
      </c>
      <c r="F620" s="15" t="s">
        <v>24</v>
      </c>
      <c r="G620" s="15">
        <v>4400</v>
      </c>
      <c r="H620" s="82" t="s">
        <v>25</v>
      </c>
      <c r="I620" s="15" t="s">
        <v>1589</v>
      </c>
      <c r="J620" s="15">
        <v>61686</v>
      </c>
      <c r="K620" s="15">
        <v>63310</v>
      </c>
      <c r="L620" s="18">
        <v>1624</v>
      </c>
      <c r="M620" s="19">
        <v>2760037</v>
      </c>
      <c r="N620" s="20">
        <v>0</v>
      </c>
      <c r="O620" s="20">
        <v>0</v>
      </c>
      <c r="P620" s="20">
        <v>0</v>
      </c>
      <c r="Q620" s="20">
        <v>0</v>
      </c>
      <c r="R620" s="19">
        <f t="shared" si="81"/>
        <v>2760037</v>
      </c>
      <c r="S620" s="19">
        <v>3000</v>
      </c>
      <c r="T620" s="19">
        <f t="shared" si="82"/>
        <v>2763037</v>
      </c>
      <c r="U620" s="105"/>
      <c r="X620" s="10">
        <f t="shared" si="78"/>
        <v>2760037</v>
      </c>
      <c r="Y620" s="2">
        <f t="shared" si="79"/>
        <v>0</v>
      </c>
      <c r="Z620" s="10">
        <f t="shared" si="83"/>
        <v>0</v>
      </c>
    </row>
    <row r="621" spans="1:26" ht="18" customHeight="1" x14ac:dyDescent="0.25">
      <c r="A621" s="11">
        <v>231</v>
      </c>
      <c r="B621" s="67" t="s">
        <v>1590</v>
      </c>
      <c r="C621" s="14" t="s">
        <v>1591</v>
      </c>
      <c r="D621" s="13" t="s">
        <v>22</v>
      </c>
      <c r="E621" s="14" t="s">
        <v>1592</v>
      </c>
      <c r="F621" s="15" t="s">
        <v>24</v>
      </c>
      <c r="G621" s="15">
        <v>23000</v>
      </c>
      <c r="H621" s="82" t="s">
        <v>25</v>
      </c>
      <c r="I621" s="15" t="s">
        <v>1593</v>
      </c>
      <c r="J621" s="15">
        <v>2050</v>
      </c>
      <c r="K621" s="15">
        <v>2050</v>
      </c>
      <c r="L621" s="18">
        <v>920</v>
      </c>
      <c r="M621" s="19">
        <v>1563568</v>
      </c>
      <c r="N621" s="20">
        <v>0</v>
      </c>
      <c r="O621" s="20">
        <v>0</v>
      </c>
      <c r="P621" s="20">
        <v>0</v>
      </c>
      <c r="Q621" s="20">
        <v>0</v>
      </c>
      <c r="R621" s="19">
        <f t="shared" si="81"/>
        <v>1563568</v>
      </c>
      <c r="S621" s="19">
        <v>3000</v>
      </c>
      <c r="T621" s="19">
        <f t="shared" si="82"/>
        <v>1566568</v>
      </c>
      <c r="U621" s="105"/>
      <c r="X621" s="10">
        <f t="shared" si="78"/>
        <v>1563568</v>
      </c>
      <c r="Y621" s="2">
        <f t="shared" si="79"/>
        <v>0</v>
      </c>
      <c r="Z621" s="10">
        <f t="shared" si="83"/>
        <v>0</v>
      </c>
    </row>
    <row r="622" spans="1:26" ht="18" customHeight="1" x14ac:dyDescent="0.25">
      <c r="A622" s="11">
        <v>232</v>
      </c>
      <c r="B622" s="67" t="s">
        <v>1594</v>
      </c>
      <c r="C622" s="14" t="s">
        <v>1595</v>
      </c>
      <c r="D622" s="13" t="s">
        <v>22</v>
      </c>
      <c r="E622" s="14" t="s">
        <v>1592</v>
      </c>
      <c r="F622" s="15" t="s">
        <v>24</v>
      </c>
      <c r="G622" s="15">
        <v>23000</v>
      </c>
      <c r="H622" s="82" t="s">
        <v>25</v>
      </c>
      <c r="I622" s="15" t="s">
        <v>1596</v>
      </c>
      <c r="J622" s="15">
        <v>1860</v>
      </c>
      <c r="K622" s="15">
        <v>1860</v>
      </c>
      <c r="L622" s="18">
        <v>920</v>
      </c>
      <c r="M622" s="19">
        <v>1563568</v>
      </c>
      <c r="N622" s="20">
        <v>0</v>
      </c>
      <c r="O622" s="20">
        <v>0</v>
      </c>
      <c r="P622" s="20">
        <v>0</v>
      </c>
      <c r="Q622" s="20">
        <v>0</v>
      </c>
      <c r="R622" s="19">
        <f t="shared" si="81"/>
        <v>1563568</v>
      </c>
      <c r="S622" s="19">
        <v>3000</v>
      </c>
      <c r="T622" s="19">
        <f t="shared" si="82"/>
        <v>1566568</v>
      </c>
      <c r="U622" s="105"/>
      <c r="X622" s="10">
        <f t="shared" si="78"/>
        <v>1563568</v>
      </c>
      <c r="Y622" s="2">
        <f t="shared" si="79"/>
        <v>0</v>
      </c>
      <c r="Z622" s="10">
        <f t="shared" si="83"/>
        <v>0</v>
      </c>
    </row>
    <row r="623" spans="1:26" ht="18" customHeight="1" x14ac:dyDescent="0.25">
      <c r="A623" s="11">
        <v>233</v>
      </c>
      <c r="B623" s="67" t="s">
        <v>1597</v>
      </c>
      <c r="C623" s="14" t="s">
        <v>1598</v>
      </c>
      <c r="D623" s="13" t="s">
        <v>68</v>
      </c>
      <c r="E623" s="14" t="s">
        <v>1599</v>
      </c>
      <c r="F623" s="15" t="s">
        <v>24</v>
      </c>
      <c r="G623" s="15">
        <v>10600</v>
      </c>
      <c r="H623" s="82" t="s">
        <v>25</v>
      </c>
      <c r="I623" s="15" t="s">
        <v>1600</v>
      </c>
      <c r="J623" s="15">
        <v>92115</v>
      </c>
      <c r="K623" s="15">
        <v>92810</v>
      </c>
      <c r="L623" s="18">
        <v>695</v>
      </c>
      <c r="M623" s="19">
        <v>1181173</v>
      </c>
      <c r="N623" s="20">
        <v>0</v>
      </c>
      <c r="O623" s="20">
        <v>0</v>
      </c>
      <c r="P623" s="20">
        <v>0</v>
      </c>
      <c r="Q623" s="20">
        <v>0</v>
      </c>
      <c r="R623" s="19">
        <f t="shared" si="81"/>
        <v>1181173</v>
      </c>
      <c r="S623" s="19">
        <v>3000</v>
      </c>
      <c r="T623" s="19">
        <f t="shared" si="82"/>
        <v>1184173</v>
      </c>
      <c r="U623" s="105"/>
      <c r="X623" s="10">
        <f t="shared" si="78"/>
        <v>1181173</v>
      </c>
      <c r="Y623" s="2">
        <f t="shared" si="79"/>
        <v>0</v>
      </c>
      <c r="Z623" s="10">
        <f t="shared" si="83"/>
        <v>0</v>
      </c>
    </row>
    <row r="624" spans="1:26" ht="18" customHeight="1" x14ac:dyDescent="0.25">
      <c r="A624" s="11">
        <v>234</v>
      </c>
      <c r="B624" s="67" t="s">
        <v>1601</v>
      </c>
      <c r="C624" s="14" t="s">
        <v>1602</v>
      </c>
      <c r="D624" s="13" t="s">
        <v>28</v>
      </c>
      <c r="E624" s="14" t="s">
        <v>1603</v>
      </c>
      <c r="F624" s="15" t="s">
        <v>24</v>
      </c>
      <c r="G624" s="15">
        <v>3500</v>
      </c>
      <c r="H624" s="82" t="s">
        <v>25</v>
      </c>
      <c r="I624" s="15" t="s">
        <v>1604</v>
      </c>
      <c r="J624" s="15">
        <v>54021</v>
      </c>
      <c r="K624" s="15">
        <v>54506</v>
      </c>
      <c r="L624" s="18">
        <v>485</v>
      </c>
      <c r="M624" s="19">
        <v>824272</v>
      </c>
      <c r="N624" s="20">
        <v>0</v>
      </c>
      <c r="O624" s="20">
        <v>0</v>
      </c>
      <c r="P624" s="20">
        <v>0</v>
      </c>
      <c r="Q624" s="20">
        <v>0</v>
      </c>
      <c r="R624" s="19">
        <f t="shared" si="81"/>
        <v>824272</v>
      </c>
      <c r="S624" s="19">
        <v>3000</v>
      </c>
      <c r="T624" s="19">
        <f t="shared" si="82"/>
        <v>827272</v>
      </c>
      <c r="U624" s="105"/>
      <c r="X624" s="10">
        <f t="shared" si="78"/>
        <v>824272</v>
      </c>
      <c r="Y624" s="2">
        <f t="shared" si="79"/>
        <v>0</v>
      </c>
      <c r="Z624" s="10">
        <f t="shared" si="83"/>
        <v>0</v>
      </c>
    </row>
    <row r="625" spans="1:26" ht="18" customHeight="1" x14ac:dyDescent="0.25">
      <c r="A625" s="11">
        <v>235</v>
      </c>
      <c r="B625" s="67" t="s">
        <v>1605</v>
      </c>
      <c r="C625" s="14" t="s">
        <v>1606</v>
      </c>
      <c r="D625" s="13" t="s">
        <v>28</v>
      </c>
      <c r="E625" s="14" t="s">
        <v>1607</v>
      </c>
      <c r="F625" s="15" t="s">
        <v>24</v>
      </c>
      <c r="G625" s="15">
        <v>3500</v>
      </c>
      <c r="H625" s="82" t="s">
        <v>25</v>
      </c>
      <c r="I625" s="15" t="s">
        <v>1608</v>
      </c>
      <c r="J625" s="15">
        <v>87694</v>
      </c>
      <c r="K625" s="15">
        <v>88232</v>
      </c>
      <c r="L625" s="18">
        <v>538</v>
      </c>
      <c r="M625" s="19">
        <v>914347</v>
      </c>
      <c r="N625" s="20">
        <v>0</v>
      </c>
      <c r="O625" s="20">
        <v>0</v>
      </c>
      <c r="P625" s="20">
        <v>0</v>
      </c>
      <c r="Q625" s="20">
        <v>0</v>
      </c>
      <c r="R625" s="19">
        <f t="shared" si="81"/>
        <v>914347</v>
      </c>
      <c r="S625" s="19">
        <v>3000</v>
      </c>
      <c r="T625" s="19">
        <f t="shared" si="82"/>
        <v>917347</v>
      </c>
      <c r="U625" s="105"/>
      <c r="X625" s="10">
        <f t="shared" si="78"/>
        <v>914347</v>
      </c>
      <c r="Y625" s="2">
        <f t="shared" si="79"/>
        <v>0</v>
      </c>
      <c r="Z625" s="10">
        <f t="shared" si="83"/>
        <v>0</v>
      </c>
    </row>
    <row r="626" spans="1:26" ht="18" customHeight="1" x14ac:dyDescent="0.25">
      <c r="A626" s="11">
        <v>236</v>
      </c>
      <c r="B626" s="67" t="s">
        <v>1609</v>
      </c>
      <c r="C626" s="14" t="s">
        <v>1610</v>
      </c>
      <c r="D626" s="13" t="s">
        <v>28</v>
      </c>
      <c r="E626" s="14" t="s">
        <v>1611</v>
      </c>
      <c r="F626" s="15" t="s">
        <v>24</v>
      </c>
      <c r="G626" s="16">
        <v>2200</v>
      </c>
      <c r="H626" s="82" t="s">
        <v>25</v>
      </c>
      <c r="I626" s="15" t="s">
        <v>1612</v>
      </c>
      <c r="J626" s="15">
        <v>16260</v>
      </c>
      <c r="K626" s="15">
        <v>16522</v>
      </c>
      <c r="L626" s="18">
        <v>262</v>
      </c>
      <c r="M626" s="19">
        <v>445277</v>
      </c>
      <c r="N626" s="20">
        <v>0</v>
      </c>
      <c r="O626" s="20">
        <v>0</v>
      </c>
      <c r="P626" s="20">
        <v>0</v>
      </c>
      <c r="Q626" s="20">
        <v>0</v>
      </c>
      <c r="R626" s="19">
        <f t="shared" si="81"/>
        <v>445277</v>
      </c>
      <c r="S626" s="19">
        <v>3000</v>
      </c>
      <c r="T626" s="19">
        <f t="shared" si="82"/>
        <v>448277</v>
      </c>
      <c r="U626" s="105"/>
      <c r="X626" s="10">
        <f t="shared" si="78"/>
        <v>445277</v>
      </c>
      <c r="Y626" s="2">
        <f t="shared" si="79"/>
        <v>0</v>
      </c>
      <c r="Z626" s="10">
        <f t="shared" si="83"/>
        <v>0</v>
      </c>
    </row>
    <row r="627" spans="1:26" ht="18" customHeight="1" x14ac:dyDescent="0.25">
      <c r="A627" s="11">
        <v>237</v>
      </c>
      <c r="B627" s="67" t="s">
        <v>1613</v>
      </c>
      <c r="C627" s="14" t="s">
        <v>1614</v>
      </c>
      <c r="D627" s="13" t="s">
        <v>68</v>
      </c>
      <c r="E627" s="14" t="s">
        <v>1615</v>
      </c>
      <c r="F627" s="15" t="s">
        <v>24</v>
      </c>
      <c r="G627" s="16">
        <v>2200</v>
      </c>
      <c r="H627" s="82" t="s">
        <v>25</v>
      </c>
      <c r="I627" s="15" t="s">
        <v>1616</v>
      </c>
      <c r="J627" s="15">
        <v>42864</v>
      </c>
      <c r="K627" s="15">
        <v>43227</v>
      </c>
      <c r="L627" s="18">
        <v>363</v>
      </c>
      <c r="M627" s="19">
        <v>616929</v>
      </c>
      <c r="N627" s="20">
        <v>0</v>
      </c>
      <c r="O627" s="20">
        <v>0</v>
      </c>
      <c r="P627" s="20">
        <v>0</v>
      </c>
      <c r="Q627" s="20">
        <v>0</v>
      </c>
      <c r="R627" s="19">
        <f t="shared" si="81"/>
        <v>616929</v>
      </c>
      <c r="S627" s="19">
        <v>3000</v>
      </c>
      <c r="T627" s="19">
        <f t="shared" si="82"/>
        <v>619929</v>
      </c>
      <c r="U627" s="105"/>
      <c r="X627" s="10">
        <f t="shared" si="78"/>
        <v>616929</v>
      </c>
      <c r="Y627" s="2">
        <f t="shared" si="79"/>
        <v>0</v>
      </c>
      <c r="Z627" s="10">
        <f t="shared" si="83"/>
        <v>0</v>
      </c>
    </row>
    <row r="628" spans="1:26" ht="18" customHeight="1" x14ac:dyDescent="0.25">
      <c r="A628" s="11">
        <v>238</v>
      </c>
      <c r="B628" s="67" t="s">
        <v>1617</v>
      </c>
      <c r="C628" s="14" t="s">
        <v>1618</v>
      </c>
      <c r="D628" s="13" t="s">
        <v>28</v>
      </c>
      <c r="E628" s="14" t="s">
        <v>1619</v>
      </c>
      <c r="F628" s="15" t="s">
        <v>24</v>
      </c>
      <c r="G628" s="16">
        <v>2200</v>
      </c>
      <c r="H628" s="82" t="s">
        <v>25</v>
      </c>
      <c r="I628" s="15" t="s">
        <v>1620</v>
      </c>
      <c r="J628" s="15">
        <v>19000</v>
      </c>
      <c r="K628" s="15">
        <v>19549</v>
      </c>
      <c r="L628" s="18">
        <v>549</v>
      </c>
      <c r="M628" s="19">
        <v>933042</v>
      </c>
      <c r="N628" s="20">
        <v>0</v>
      </c>
      <c r="O628" s="20">
        <v>0</v>
      </c>
      <c r="P628" s="20">
        <v>0</v>
      </c>
      <c r="Q628" s="20">
        <v>0</v>
      </c>
      <c r="R628" s="19">
        <f t="shared" si="81"/>
        <v>933042</v>
      </c>
      <c r="S628" s="19">
        <v>3000</v>
      </c>
      <c r="T628" s="19">
        <f t="shared" si="82"/>
        <v>936042</v>
      </c>
      <c r="U628" s="105"/>
      <c r="X628" s="10">
        <f t="shared" si="78"/>
        <v>933042</v>
      </c>
      <c r="Y628" s="2">
        <f t="shared" si="79"/>
        <v>0</v>
      </c>
      <c r="Z628" s="10">
        <f t="shared" si="83"/>
        <v>0</v>
      </c>
    </row>
    <row r="629" spans="1:26" ht="18" customHeight="1" x14ac:dyDescent="0.25">
      <c r="A629" s="11">
        <v>239</v>
      </c>
      <c r="B629" s="67" t="s">
        <v>1621</v>
      </c>
      <c r="C629" s="14" t="s">
        <v>1622</v>
      </c>
      <c r="D629" s="13" t="s">
        <v>22</v>
      </c>
      <c r="E629" s="14" t="s">
        <v>1623</v>
      </c>
      <c r="F629" s="15" t="s">
        <v>24</v>
      </c>
      <c r="G629" s="16">
        <v>2200</v>
      </c>
      <c r="H629" s="82" t="s">
        <v>25</v>
      </c>
      <c r="I629" s="15" t="s">
        <v>1624</v>
      </c>
      <c r="J629" s="15">
        <v>46796</v>
      </c>
      <c r="K629" s="15">
        <v>47486</v>
      </c>
      <c r="L629" s="18">
        <v>690</v>
      </c>
      <c r="M629" s="19">
        <v>1172676</v>
      </c>
      <c r="N629" s="20">
        <v>0</v>
      </c>
      <c r="O629" s="20">
        <v>0</v>
      </c>
      <c r="P629" s="20">
        <v>0</v>
      </c>
      <c r="Q629" s="20">
        <v>0</v>
      </c>
      <c r="R629" s="19">
        <f t="shared" si="81"/>
        <v>1172676</v>
      </c>
      <c r="S629" s="19">
        <v>3000</v>
      </c>
      <c r="T629" s="19">
        <f t="shared" si="82"/>
        <v>1175676</v>
      </c>
      <c r="U629" s="105"/>
      <c r="X629" s="10">
        <f t="shared" si="78"/>
        <v>1172676</v>
      </c>
      <c r="Y629" s="2">
        <f t="shared" si="79"/>
        <v>0</v>
      </c>
      <c r="Z629" s="10">
        <f t="shared" si="83"/>
        <v>0</v>
      </c>
    </row>
    <row r="630" spans="1:26" ht="18" customHeight="1" x14ac:dyDescent="0.25">
      <c r="A630" s="11">
        <v>240</v>
      </c>
      <c r="B630" s="67" t="s">
        <v>1625</v>
      </c>
      <c r="C630" s="14" t="s">
        <v>1626</v>
      </c>
      <c r="D630" s="13" t="s">
        <v>1627</v>
      </c>
      <c r="E630" s="14" t="s">
        <v>1628</v>
      </c>
      <c r="F630" s="15" t="s">
        <v>24</v>
      </c>
      <c r="G630" s="16">
        <v>2200</v>
      </c>
      <c r="H630" s="82" t="s">
        <v>25</v>
      </c>
      <c r="I630" s="15" t="s">
        <v>1629</v>
      </c>
      <c r="J630" s="15">
        <v>57217</v>
      </c>
      <c r="K630" s="15">
        <v>58032</v>
      </c>
      <c r="L630" s="18">
        <v>815</v>
      </c>
      <c r="M630" s="19">
        <v>1385117</v>
      </c>
      <c r="N630" s="20">
        <v>0</v>
      </c>
      <c r="O630" s="20">
        <v>0</v>
      </c>
      <c r="P630" s="20">
        <v>0</v>
      </c>
      <c r="Q630" s="20">
        <v>0</v>
      </c>
      <c r="R630" s="19">
        <f t="shared" si="81"/>
        <v>1385117</v>
      </c>
      <c r="S630" s="19">
        <v>3000</v>
      </c>
      <c r="T630" s="19">
        <f t="shared" si="82"/>
        <v>1388117</v>
      </c>
      <c r="U630" s="105"/>
      <c r="X630" s="10">
        <f t="shared" si="78"/>
        <v>1385117</v>
      </c>
      <c r="Y630" s="2">
        <f t="shared" si="79"/>
        <v>0</v>
      </c>
      <c r="Z630" s="10">
        <f t="shared" si="83"/>
        <v>0</v>
      </c>
    </row>
    <row r="631" spans="1:26" s="25" customFormat="1" ht="18" customHeight="1" x14ac:dyDescent="0.25">
      <c r="A631" s="11"/>
      <c r="B631" s="12"/>
      <c r="C631" s="13"/>
      <c r="D631" s="13"/>
      <c r="E631" s="13"/>
      <c r="F631" s="12"/>
      <c r="G631" s="12"/>
      <c r="H631" s="22"/>
      <c r="I631" s="15"/>
      <c r="J631" s="15"/>
      <c r="K631" s="15"/>
      <c r="L631" s="18"/>
      <c r="M631" s="19"/>
      <c r="N631" s="38"/>
      <c r="O631" s="38"/>
      <c r="P631" s="38"/>
      <c r="Q631" s="38"/>
      <c r="R631" s="37"/>
      <c r="S631" s="37"/>
      <c r="T631" s="37"/>
      <c r="U631" s="147"/>
      <c r="X631" s="10">
        <f t="shared" si="78"/>
        <v>0</v>
      </c>
      <c r="Y631" s="2">
        <f t="shared" si="79"/>
        <v>0</v>
      </c>
      <c r="Z631" s="10"/>
    </row>
    <row r="632" spans="1:26" ht="33" customHeight="1" x14ac:dyDescent="0.25">
      <c r="A632" s="34" t="s">
        <v>139</v>
      </c>
      <c r="B632" s="9"/>
      <c r="C632" s="9"/>
      <c r="D632" s="9"/>
      <c r="E632" s="9"/>
      <c r="F632" s="9"/>
      <c r="G632" s="22">
        <f>SUM(G590:G631)</f>
        <v>1076000</v>
      </c>
      <c r="H632" s="22">
        <f t="shared" ref="H632:R632" si="84">SUM(H590:H631)</f>
        <v>0</v>
      </c>
      <c r="I632" s="22">
        <f t="shared" si="84"/>
        <v>0</v>
      </c>
      <c r="J632" s="22"/>
      <c r="K632" s="22"/>
      <c r="L632" s="22">
        <f t="shared" si="84"/>
        <v>222551</v>
      </c>
      <c r="M632" s="22">
        <f t="shared" si="84"/>
        <v>378232101</v>
      </c>
      <c r="N632" s="22">
        <f t="shared" si="84"/>
        <v>0</v>
      </c>
      <c r="O632" s="22">
        <f t="shared" si="84"/>
        <v>0</v>
      </c>
      <c r="P632" s="22">
        <f t="shared" si="84"/>
        <v>0</v>
      </c>
      <c r="Q632" s="22">
        <f t="shared" si="84"/>
        <v>10000</v>
      </c>
      <c r="R632" s="22">
        <f t="shared" si="84"/>
        <v>378242101</v>
      </c>
      <c r="S632" s="22">
        <f>SUM(S590:S631)</f>
        <v>720000</v>
      </c>
      <c r="T632" s="22">
        <f>SUM(T590:T631)</f>
        <v>378962101</v>
      </c>
      <c r="U632" s="27"/>
      <c r="V632" s="2">
        <v>513303331</v>
      </c>
      <c r="W632" s="62">
        <f>R632-V632</f>
        <v>-135061230</v>
      </c>
      <c r="X632" s="10">
        <f t="shared" si="78"/>
        <v>378232101</v>
      </c>
      <c r="Y632" s="2">
        <f t="shared" si="79"/>
        <v>10000</v>
      </c>
      <c r="Z632" s="10"/>
    </row>
    <row r="633" spans="1:26" ht="18" customHeight="1" x14ac:dyDescent="0.25">
      <c r="A633" s="83"/>
      <c r="B633" s="84"/>
      <c r="C633" s="85"/>
      <c r="D633" s="85"/>
      <c r="E633" s="85"/>
      <c r="F633" s="84"/>
      <c r="G633" s="84"/>
      <c r="H633" s="86"/>
      <c r="L633" s="31"/>
      <c r="X633" s="10">
        <f t="shared" si="78"/>
        <v>0</v>
      </c>
      <c r="Y633" s="2">
        <f t="shared" si="79"/>
        <v>0</v>
      </c>
      <c r="Z633" s="10"/>
    </row>
    <row r="634" spans="1:26" ht="18" customHeight="1" x14ac:dyDescent="0.25">
      <c r="A634" s="87"/>
      <c r="B634" s="84"/>
      <c r="C634" s="85"/>
      <c r="D634" s="85"/>
      <c r="E634" s="85"/>
      <c r="F634" s="84"/>
      <c r="G634" s="84"/>
      <c r="H634" s="86"/>
      <c r="L634" s="31"/>
      <c r="X634" s="10">
        <f t="shared" si="78"/>
        <v>0</v>
      </c>
      <c r="Y634" s="2">
        <f t="shared" si="79"/>
        <v>0</v>
      </c>
      <c r="Z634" s="10"/>
    </row>
    <row r="635" spans="1:26" ht="18" customHeight="1" x14ac:dyDescent="0.25">
      <c r="A635" s="87"/>
      <c r="B635" s="84"/>
      <c r="C635" s="85"/>
      <c r="D635" s="85"/>
      <c r="E635" s="85"/>
      <c r="F635" s="84"/>
      <c r="G635" s="84"/>
      <c r="L635" s="31"/>
      <c r="X635" s="10">
        <f t="shared" si="78"/>
        <v>0</v>
      </c>
      <c r="Y635" s="2">
        <f t="shared" si="79"/>
        <v>0</v>
      </c>
      <c r="Z635" s="10"/>
    </row>
    <row r="636" spans="1:26" s="84" customFormat="1" ht="39" customHeight="1" x14ac:dyDescent="0.25">
      <c r="A636" s="9" t="s">
        <v>4</v>
      </c>
      <c r="B636" s="21" t="s">
        <v>5</v>
      </c>
      <c r="C636" s="21" t="s">
        <v>6</v>
      </c>
      <c r="D636" s="12"/>
      <c r="E636" s="9" t="s">
        <v>7</v>
      </c>
      <c r="F636" s="21" t="s">
        <v>8</v>
      </c>
      <c r="G636" s="21" t="s">
        <v>9</v>
      </c>
      <c r="H636" s="21" t="s">
        <v>10</v>
      </c>
      <c r="I636" s="21" t="s">
        <v>11</v>
      </c>
      <c r="J636" s="21" t="s">
        <v>12</v>
      </c>
      <c r="K636" s="21" t="s">
        <v>13</v>
      </c>
      <c r="L636" s="21" t="s">
        <v>14</v>
      </c>
      <c r="M636" s="143" t="s">
        <v>15</v>
      </c>
      <c r="N636" s="144" t="s">
        <v>16</v>
      </c>
      <c r="O636" s="144" t="s">
        <v>17</v>
      </c>
      <c r="P636" s="144" t="s">
        <v>18</v>
      </c>
      <c r="Q636" s="144" t="s">
        <v>19</v>
      </c>
      <c r="R636" s="143" t="s">
        <v>20</v>
      </c>
      <c r="S636" s="143" t="s">
        <v>3471</v>
      </c>
      <c r="T636" s="143" t="s">
        <v>3472</v>
      </c>
      <c r="U636" s="145"/>
      <c r="V636" s="145"/>
      <c r="W636" s="145"/>
      <c r="X636" s="145"/>
    </row>
    <row r="637" spans="1:26" ht="18" customHeight="1" x14ac:dyDescent="0.25">
      <c r="A637" s="11"/>
      <c r="B637" s="12"/>
      <c r="C637" s="13"/>
      <c r="D637" s="13"/>
      <c r="E637" s="13"/>
      <c r="F637" s="12"/>
      <c r="G637" s="12"/>
      <c r="H637" s="17"/>
      <c r="I637" s="15"/>
      <c r="J637" s="15"/>
      <c r="K637" s="15"/>
      <c r="L637" s="18"/>
      <c r="M637" s="19"/>
      <c r="N637" s="20"/>
      <c r="O637" s="20"/>
      <c r="P637" s="20"/>
      <c r="Q637" s="20"/>
      <c r="R637" s="19"/>
      <c r="S637" s="19"/>
      <c r="T637" s="19"/>
      <c r="U637" s="105"/>
      <c r="X637" s="10">
        <f t="shared" si="78"/>
        <v>0</v>
      </c>
      <c r="Y637" s="2">
        <f t="shared" si="79"/>
        <v>0</v>
      </c>
      <c r="Z637" s="10"/>
    </row>
    <row r="638" spans="1:26" ht="18" customHeight="1" x14ac:dyDescent="0.25">
      <c r="A638" s="11"/>
      <c r="B638" s="12"/>
      <c r="C638" s="13"/>
      <c r="D638" s="13"/>
      <c r="E638" s="35" t="s">
        <v>141</v>
      </c>
      <c r="F638" s="12"/>
      <c r="G638" s="22">
        <f>G632</f>
        <v>1076000</v>
      </c>
      <c r="H638" s="22">
        <f t="shared" ref="H638:R638" si="85">H632</f>
        <v>0</v>
      </c>
      <c r="I638" s="22">
        <f t="shared" si="85"/>
        <v>0</v>
      </c>
      <c r="J638" s="22"/>
      <c r="K638" s="22"/>
      <c r="L638" s="22">
        <f t="shared" si="85"/>
        <v>222551</v>
      </c>
      <c r="M638" s="23">
        <f t="shared" si="85"/>
        <v>378232101</v>
      </c>
      <c r="N638" s="24">
        <f t="shared" si="85"/>
        <v>0</v>
      </c>
      <c r="O638" s="24">
        <f t="shared" si="85"/>
        <v>0</v>
      </c>
      <c r="P638" s="24">
        <f t="shared" si="85"/>
        <v>0</v>
      </c>
      <c r="Q638" s="24">
        <f t="shared" si="85"/>
        <v>10000</v>
      </c>
      <c r="R638" s="23">
        <f t="shared" si="85"/>
        <v>378242101</v>
      </c>
      <c r="S638" s="23">
        <f>S632</f>
        <v>720000</v>
      </c>
      <c r="T638" s="23">
        <f>T632</f>
        <v>378962101</v>
      </c>
      <c r="U638" s="146"/>
      <c r="X638" s="10">
        <f t="shared" si="78"/>
        <v>378232101</v>
      </c>
      <c r="Y638" s="2">
        <f t="shared" si="79"/>
        <v>10000</v>
      </c>
      <c r="Z638" s="10"/>
    </row>
    <row r="639" spans="1:26" ht="18" customHeight="1" x14ac:dyDescent="0.25">
      <c r="A639" s="11">
        <v>241</v>
      </c>
      <c r="B639" s="67" t="s">
        <v>1630</v>
      </c>
      <c r="C639" s="14" t="s">
        <v>1631</v>
      </c>
      <c r="D639" s="14" t="s">
        <v>22</v>
      </c>
      <c r="E639" s="14" t="s">
        <v>1632</v>
      </c>
      <c r="F639" s="15" t="s">
        <v>24</v>
      </c>
      <c r="G639" s="16">
        <v>2200</v>
      </c>
      <c r="H639" s="82" t="s">
        <v>25</v>
      </c>
      <c r="I639" s="15" t="s">
        <v>1633</v>
      </c>
      <c r="J639" s="15">
        <v>33335</v>
      </c>
      <c r="K639" s="15">
        <v>34072</v>
      </c>
      <c r="L639" s="18">
        <v>737</v>
      </c>
      <c r="M639" s="19">
        <v>1252554</v>
      </c>
      <c r="N639" s="20">
        <v>0</v>
      </c>
      <c r="O639" s="20">
        <v>0</v>
      </c>
      <c r="P639" s="20">
        <v>0</v>
      </c>
      <c r="Q639" s="20">
        <v>0</v>
      </c>
      <c r="R639" s="19">
        <f t="shared" ref="R639:R678" si="86">M639+N639+O639+P639+Q639</f>
        <v>1252554</v>
      </c>
      <c r="S639" s="19">
        <v>3000</v>
      </c>
      <c r="T639" s="19">
        <f t="shared" ref="T639:T678" si="87">R639+S639</f>
        <v>1255554</v>
      </c>
      <c r="U639" s="105"/>
      <c r="X639" s="10">
        <f t="shared" si="78"/>
        <v>1252554</v>
      </c>
      <c r="Y639" s="2">
        <f t="shared" si="79"/>
        <v>0</v>
      </c>
      <c r="Z639" s="10">
        <f t="shared" ref="Z639:Z678" si="88">Q639-Y639</f>
        <v>0</v>
      </c>
    </row>
    <row r="640" spans="1:26" ht="18" customHeight="1" x14ac:dyDescent="0.25">
      <c r="A640" s="11">
        <v>242</v>
      </c>
      <c r="B640" s="67" t="s">
        <v>1634</v>
      </c>
      <c r="C640" s="14" t="s">
        <v>1635</v>
      </c>
      <c r="D640" s="14" t="s">
        <v>22</v>
      </c>
      <c r="E640" s="14" t="s">
        <v>1636</v>
      </c>
      <c r="F640" s="15" t="s">
        <v>24</v>
      </c>
      <c r="G640" s="16">
        <v>2200</v>
      </c>
      <c r="H640" s="82" t="s">
        <v>25</v>
      </c>
      <c r="I640" s="15" t="s">
        <v>1637</v>
      </c>
      <c r="J640" s="15">
        <v>50165</v>
      </c>
      <c r="K640" s="15">
        <v>50782</v>
      </c>
      <c r="L640" s="18">
        <v>617</v>
      </c>
      <c r="M640" s="19">
        <v>1048610</v>
      </c>
      <c r="N640" s="20">
        <v>0</v>
      </c>
      <c r="O640" s="20">
        <v>0</v>
      </c>
      <c r="P640" s="20">
        <v>0</v>
      </c>
      <c r="Q640" s="20">
        <v>0</v>
      </c>
      <c r="R640" s="19">
        <f t="shared" si="86"/>
        <v>1048610</v>
      </c>
      <c r="S640" s="19">
        <v>3000</v>
      </c>
      <c r="T640" s="19">
        <f t="shared" si="87"/>
        <v>1051610</v>
      </c>
      <c r="U640" s="105"/>
      <c r="X640" s="10">
        <f t="shared" si="78"/>
        <v>1048610</v>
      </c>
      <c r="Y640" s="2">
        <f t="shared" si="79"/>
        <v>0</v>
      </c>
      <c r="Z640" s="10">
        <f t="shared" si="88"/>
        <v>0</v>
      </c>
    </row>
    <row r="641" spans="1:26" ht="18" customHeight="1" x14ac:dyDescent="0.25">
      <c r="A641" s="11">
        <v>243</v>
      </c>
      <c r="B641" s="67" t="s">
        <v>1638</v>
      </c>
      <c r="C641" s="14" t="s">
        <v>1639</v>
      </c>
      <c r="D641" s="14" t="s">
        <v>22</v>
      </c>
      <c r="E641" s="14" t="s">
        <v>985</v>
      </c>
      <c r="F641" s="15" t="s">
        <v>24</v>
      </c>
      <c r="G641" s="16">
        <v>2200</v>
      </c>
      <c r="H641" s="82" t="s">
        <v>25</v>
      </c>
      <c r="I641" s="15" t="s">
        <v>1640</v>
      </c>
      <c r="J641" s="15">
        <v>61152</v>
      </c>
      <c r="K641" s="15">
        <v>61927</v>
      </c>
      <c r="L641" s="18">
        <v>775</v>
      </c>
      <c r="M641" s="19">
        <v>1317136</v>
      </c>
      <c r="N641" s="20">
        <v>0</v>
      </c>
      <c r="O641" s="20">
        <v>0</v>
      </c>
      <c r="P641" s="20">
        <v>0</v>
      </c>
      <c r="Q641" s="20">
        <v>0</v>
      </c>
      <c r="R641" s="19">
        <f t="shared" si="86"/>
        <v>1317136</v>
      </c>
      <c r="S641" s="19">
        <v>3000</v>
      </c>
      <c r="T641" s="19">
        <f t="shared" si="87"/>
        <v>1320136</v>
      </c>
      <c r="U641" s="105"/>
      <c r="X641" s="10">
        <f t="shared" si="78"/>
        <v>1317136</v>
      </c>
      <c r="Y641" s="2">
        <f t="shared" si="79"/>
        <v>0</v>
      </c>
      <c r="Z641" s="10">
        <f t="shared" si="88"/>
        <v>0</v>
      </c>
    </row>
    <row r="642" spans="1:26" ht="18" customHeight="1" x14ac:dyDescent="0.25">
      <c r="A642" s="11">
        <v>244</v>
      </c>
      <c r="B642" s="67" t="s">
        <v>1641</v>
      </c>
      <c r="C642" s="14" t="s">
        <v>1642</v>
      </c>
      <c r="D642" s="14" t="s">
        <v>22</v>
      </c>
      <c r="E642" s="14" t="s">
        <v>1055</v>
      </c>
      <c r="F642" s="15" t="s">
        <v>24</v>
      </c>
      <c r="G642" s="16">
        <v>2200</v>
      </c>
      <c r="H642" s="82" t="s">
        <v>25</v>
      </c>
      <c r="I642" s="15" t="s">
        <v>1643</v>
      </c>
      <c r="J642" s="15">
        <v>32449</v>
      </c>
      <c r="K642" s="15">
        <v>33033</v>
      </c>
      <c r="L642" s="18">
        <v>584</v>
      </c>
      <c r="M642" s="19">
        <v>992526</v>
      </c>
      <c r="N642" s="20">
        <v>0</v>
      </c>
      <c r="O642" s="20">
        <v>0</v>
      </c>
      <c r="P642" s="20">
        <v>0</v>
      </c>
      <c r="Q642" s="20">
        <v>0</v>
      </c>
      <c r="R642" s="19">
        <f t="shared" si="86"/>
        <v>992526</v>
      </c>
      <c r="S642" s="19">
        <v>3000</v>
      </c>
      <c r="T642" s="19">
        <f t="shared" si="87"/>
        <v>995526</v>
      </c>
      <c r="U642" s="105"/>
      <c r="X642" s="10">
        <f t="shared" si="78"/>
        <v>992526</v>
      </c>
      <c r="Y642" s="2">
        <f t="shared" si="79"/>
        <v>0</v>
      </c>
      <c r="Z642" s="10">
        <f t="shared" si="88"/>
        <v>0</v>
      </c>
    </row>
    <row r="643" spans="1:26" ht="18" customHeight="1" x14ac:dyDescent="0.25">
      <c r="A643" s="11">
        <v>245</v>
      </c>
      <c r="B643" s="67" t="s">
        <v>1644</v>
      </c>
      <c r="C643" s="14" t="s">
        <v>1645</v>
      </c>
      <c r="D643" s="14" t="s">
        <v>22</v>
      </c>
      <c r="E643" s="14" t="s">
        <v>1290</v>
      </c>
      <c r="F643" s="15" t="s">
        <v>24</v>
      </c>
      <c r="G643" s="16">
        <v>2200</v>
      </c>
      <c r="H643" s="82" t="s">
        <v>25</v>
      </c>
      <c r="I643" s="15" t="s">
        <v>1646</v>
      </c>
      <c r="J643" s="15">
        <v>36380</v>
      </c>
      <c r="K643" s="15">
        <v>36809</v>
      </c>
      <c r="L643" s="18">
        <v>429</v>
      </c>
      <c r="M643" s="19">
        <v>729098</v>
      </c>
      <c r="N643" s="20">
        <v>0</v>
      </c>
      <c r="O643" s="20">
        <v>0</v>
      </c>
      <c r="P643" s="20">
        <v>0</v>
      </c>
      <c r="Q643" s="20">
        <v>0</v>
      </c>
      <c r="R643" s="19">
        <f t="shared" si="86"/>
        <v>729098</v>
      </c>
      <c r="S643" s="19">
        <v>3000</v>
      </c>
      <c r="T643" s="19">
        <f t="shared" si="87"/>
        <v>732098</v>
      </c>
      <c r="U643" s="105"/>
      <c r="X643" s="10">
        <f t="shared" si="78"/>
        <v>729098</v>
      </c>
      <c r="Y643" s="2">
        <f t="shared" si="79"/>
        <v>0</v>
      </c>
      <c r="Z643" s="10">
        <f t="shared" si="88"/>
        <v>0</v>
      </c>
    </row>
    <row r="644" spans="1:26" ht="18" customHeight="1" x14ac:dyDescent="0.25">
      <c r="A644" s="11">
        <v>246</v>
      </c>
      <c r="B644" s="67" t="s">
        <v>1647</v>
      </c>
      <c r="C644" s="14" t="s">
        <v>1648</v>
      </c>
      <c r="D644" s="14" t="s">
        <v>1627</v>
      </c>
      <c r="E644" s="14" t="s">
        <v>1079</v>
      </c>
      <c r="F644" s="15" t="s">
        <v>24</v>
      </c>
      <c r="G644" s="16">
        <v>5500</v>
      </c>
      <c r="H644" s="82" t="s">
        <v>25</v>
      </c>
      <c r="I644" s="15" t="s">
        <v>1649</v>
      </c>
      <c r="J644" s="15">
        <v>53449</v>
      </c>
      <c r="K644" s="15">
        <v>54226</v>
      </c>
      <c r="L644" s="18">
        <v>777</v>
      </c>
      <c r="M644" s="19">
        <v>1320535</v>
      </c>
      <c r="N644" s="20">
        <v>0</v>
      </c>
      <c r="O644" s="20">
        <v>0</v>
      </c>
      <c r="P644" s="20">
        <v>0</v>
      </c>
      <c r="Q644" s="20">
        <v>0</v>
      </c>
      <c r="R644" s="19">
        <f t="shared" si="86"/>
        <v>1320535</v>
      </c>
      <c r="S644" s="19">
        <v>3000</v>
      </c>
      <c r="T644" s="19">
        <f t="shared" si="87"/>
        <v>1323535</v>
      </c>
      <c r="U644" s="105"/>
      <c r="X644" s="10">
        <f t="shared" si="78"/>
        <v>1320535</v>
      </c>
      <c r="Y644" s="2">
        <f t="shared" si="79"/>
        <v>0</v>
      </c>
      <c r="Z644" s="10">
        <f t="shared" si="88"/>
        <v>0</v>
      </c>
    </row>
    <row r="645" spans="1:26" ht="18" customHeight="1" x14ac:dyDescent="0.25">
      <c r="A645" s="11">
        <v>247</v>
      </c>
      <c r="B645" s="67" t="s">
        <v>1650</v>
      </c>
      <c r="C645" s="14" t="s">
        <v>1651</v>
      </c>
      <c r="D645" s="14" t="s">
        <v>22</v>
      </c>
      <c r="E645" s="14" t="s">
        <v>1652</v>
      </c>
      <c r="F645" s="15" t="s">
        <v>24</v>
      </c>
      <c r="G645" s="16">
        <v>2200</v>
      </c>
      <c r="H645" s="82" t="s">
        <v>25</v>
      </c>
      <c r="I645" s="15" t="s">
        <v>1653</v>
      </c>
      <c r="J645" s="15">
        <v>51416</v>
      </c>
      <c r="K645" s="15">
        <v>52502</v>
      </c>
      <c r="L645" s="18">
        <v>1086</v>
      </c>
      <c r="M645" s="19">
        <v>1845690</v>
      </c>
      <c r="N645" s="20">
        <v>0</v>
      </c>
      <c r="O645" s="20">
        <v>0</v>
      </c>
      <c r="P645" s="20">
        <v>0</v>
      </c>
      <c r="Q645" s="20">
        <v>0</v>
      </c>
      <c r="R645" s="19">
        <f t="shared" si="86"/>
        <v>1845690</v>
      </c>
      <c r="S645" s="19">
        <v>3000</v>
      </c>
      <c r="T645" s="19">
        <f t="shared" si="87"/>
        <v>1848690</v>
      </c>
      <c r="U645" s="105"/>
      <c r="X645" s="10">
        <f t="shared" si="78"/>
        <v>1845690</v>
      </c>
      <c r="Y645" s="2">
        <f t="shared" si="79"/>
        <v>0</v>
      </c>
      <c r="Z645" s="10">
        <f t="shared" si="88"/>
        <v>0</v>
      </c>
    </row>
    <row r="646" spans="1:26" ht="18" customHeight="1" x14ac:dyDescent="0.25">
      <c r="A646" s="11">
        <v>248</v>
      </c>
      <c r="B646" s="67" t="s">
        <v>1654</v>
      </c>
      <c r="C646" s="14" t="s">
        <v>1655</v>
      </c>
      <c r="D646" s="14" t="s">
        <v>22</v>
      </c>
      <c r="E646" s="14" t="s">
        <v>1656</v>
      </c>
      <c r="F646" s="15" t="s">
        <v>24</v>
      </c>
      <c r="G646" s="16">
        <v>2200</v>
      </c>
      <c r="H646" s="82" t="s">
        <v>25</v>
      </c>
      <c r="I646" s="15" t="s">
        <v>1657</v>
      </c>
      <c r="J646" s="15">
        <v>58063</v>
      </c>
      <c r="K646" s="15">
        <v>58690</v>
      </c>
      <c r="L646" s="18">
        <v>627</v>
      </c>
      <c r="M646" s="19">
        <v>1065605</v>
      </c>
      <c r="N646" s="20">
        <v>0</v>
      </c>
      <c r="O646" s="20">
        <v>0</v>
      </c>
      <c r="P646" s="20">
        <v>0</v>
      </c>
      <c r="Q646" s="20">
        <v>0</v>
      </c>
      <c r="R646" s="19">
        <f t="shared" si="86"/>
        <v>1065605</v>
      </c>
      <c r="S646" s="19">
        <v>3000</v>
      </c>
      <c r="T646" s="19">
        <f t="shared" si="87"/>
        <v>1068605</v>
      </c>
      <c r="U646" s="105"/>
      <c r="X646" s="10">
        <f t="shared" si="78"/>
        <v>1065605</v>
      </c>
      <c r="Y646" s="2">
        <f t="shared" si="79"/>
        <v>0</v>
      </c>
      <c r="Z646" s="10">
        <f t="shared" si="88"/>
        <v>0</v>
      </c>
    </row>
    <row r="647" spans="1:26" ht="18" customHeight="1" x14ac:dyDescent="0.25">
      <c r="A647" s="11">
        <v>249</v>
      </c>
      <c r="B647" s="67" t="s">
        <v>1658</v>
      </c>
      <c r="C647" s="14" t="s">
        <v>1659</v>
      </c>
      <c r="D647" s="14" t="s">
        <v>22</v>
      </c>
      <c r="E647" s="14" t="s">
        <v>985</v>
      </c>
      <c r="F647" s="15" t="s">
        <v>24</v>
      </c>
      <c r="G647" s="16">
        <v>2200</v>
      </c>
      <c r="H647" s="82" t="s">
        <v>25</v>
      </c>
      <c r="I647" s="15" t="s">
        <v>1660</v>
      </c>
      <c r="J647" s="15">
        <v>59138</v>
      </c>
      <c r="K647" s="15">
        <v>59910</v>
      </c>
      <c r="L647" s="18">
        <v>772</v>
      </c>
      <c r="M647" s="19">
        <v>1312037</v>
      </c>
      <c r="N647" s="20">
        <v>0</v>
      </c>
      <c r="O647" s="20">
        <v>0</v>
      </c>
      <c r="P647" s="20">
        <v>0</v>
      </c>
      <c r="Q647" s="20">
        <v>0</v>
      </c>
      <c r="R647" s="19">
        <f t="shared" si="86"/>
        <v>1312037</v>
      </c>
      <c r="S647" s="19">
        <v>3000</v>
      </c>
      <c r="T647" s="19">
        <f t="shared" si="87"/>
        <v>1315037</v>
      </c>
      <c r="U647" s="105"/>
      <c r="X647" s="10">
        <f t="shared" si="78"/>
        <v>1312037</v>
      </c>
      <c r="Y647" s="2">
        <f t="shared" si="79"/>
        <v>0</v>
      </c>
      <c r="Z647" s="10">
        <f t="shared" si="88"/>
        <v>0</v>
      </c>
    </row>
    <row r="648" spans="1:26" ht="18" customHeight="1" x14ac:dyDescent="0.25">
      <c r="A648" s="11">
        <v>250</v>
      </c>
      <c r="B648" s="67" t="s">
        <v>1661</v>
      </c>
      <c r="C648" s="14" t="s">
        <v>1662</v>
      </c>
      <c r="D648" s="14" t="s">
        <v>22</v>
      </c>
      <c r="E648" s="14" t="s">
        <v>1663</v>
      </c>
      <c r="F648" s="15" t="s">
        <v>24</v>
      </c>
      <c r="G648" s="16">
        <v>2200</v>
      </c>
      <c r="H648" s="82" t="s">
        <v>25</v>
      </c>
      <c r="I648" s="15" t="s">
        <v>1664</v>
      </c>
      <c r="J648" s="15">
        <v>40071</v>
      </c>
      <c r="K648" s="15">
        <v>40261</v>
      </c>
      <c r="L648" s="18">
        <v>190</v>
      </c>
      <c r="M648" s="19">
        <v>322911</v>
      </c>
      <c r="N648" s="20">
        <v>0</v>
      </c>
      <c r="O648" s="20">
        <v>0</v>
      </c>
      <c r="P648" s="20">
        <v>0</v>
      </c>
      <c r="Q648" s="20">
        <v>0</v>
      </c>
      <c r="R648" s="19">
        <f t="shared" si="86"/>
        <v>322911</v>
      </c>
      <c r="S648" s="19">
        <v>3000</v>
      </c>
      <c r="T648" s="19">
        <f t="shared" si="87"/>
        <v>325911</v>
      </c>
      <c r="U648" s="105"/>
      <c r="X648" s="10">
        <f t="shared" si="78"/>
        <v>322911</v>
      </c>
      <c r="Y648" s="2">
        <f t="shared" si="79"/>
        <v>0</v>
      </c>
      <c r="Z648" s="10">
        <f t="shared" si="88"/>
        <v>0</v>
      </c>
    </row>
    <row r="649" spans="1:26" ht="18" customHeight="1" x14ac:dyDescent="0.25">
      <c r="A649" s="11">
        <v>251</v>
      </c>
      <c r="B649" s="67" t="s">
        <v>1665</v>
      </c>
      <c r="C649" s="14" t="s">
        <v>1639</v>
      </c>
      <c r="D649" s="14" t="s">
        <v>22</v>
      </c>
      <c r="E649" s="14" t="s">
        <v>985</v>
      </c>
      <c r="F649" s="15" t="s">
        <v>24</v>
      </c>
      <c r="G649" s="16">
        <v>2200</v>
      </c>
      <c r="H649" s="82" t="s">
        <v>25</v>
      </c>
      <c r="I649" s="15" t="s">
        <v>1666</v>
      </c>
      <c r="J649" s="15">
        <v>40744</v>
      </c>
      <c r="K649" s="15">
        <v>41373</v>
      </c>
      <c r="L649" s="18">
        <v>629</v>
      </c>
      <c r="M649" s="19">
        <v>1069004</v>
      </c>
      <c r="N649" s="20">
        <v>0</v>
      </c>
      <c r="O649" s="20">
        <v>0</v>
      </c>
      <c r="P649" s="20">
        <v>0</v>
      </c>
      <c r="Q649" s="20">
        <v>0</v>
      </c>
      <c r="R649" s="19">
        <f t="shared" si="86"/>
        <v>1069004</v>
      </c>
      <c r="S649" s="19">
        <v>3000</v>
      </c>
      <c r="T649" s="19">
        <f t="shared" si="87"/>
        <v>1072004</v>
      </c>
      <c r="U649" s="105"/>
      <c r="X649" s="10">
        <f t="shared" ref="X649:X712" si="89">M649+N649+O649+P649</f>
        <v>1069004</v>
      </c>
      <c r="Y649" s="2">
        <f t="shared" ref="Y649:Y712" si="90">IF(X649&gt;5000000,10000,IF(V649&lt;5000000,0,IF(V649=5000000,10000)))</f>
        <v>0</v>
      </c>
      <c r="Z649" s="10">
        <f t="shared" si="88"/>
        <v>0</v>
      </c>
    </row>
    <row r="650" spans="1:26" ht="18" customHeight="1" x14ac:dyDescent="0.25">
      <c r="A650" s="11">
        <v>252</v>
      </c>
      <c r="B650" s="67" t="s">
        <v>1667</v>
      </c>
      <c r="C650" s="14" t="s">
        <v>1668</v>
      </c>
      <c r="D650" s="14" t="s">
        <v>22</v>
      </c>
      <c r="E650" s="14" t="s">
        <v>1669</v>
      </c>
      <c r="F650" s="15" t="s">
        <v>24</v>
      </c>
      <c r="G650" s="16">
        <v>2200</v>
      </c>
      <c r="H650" s="82" t="s">
        <v>25</v>
      </c>
      <c r="I650" s="15" t="s">
        <v>1670</v>
      </c>
      <c r="J650" s="15">
        <v>71725</v>
      </c>
      <c r="K650" s="15">
        <v>72663</v>
      </c>
      <c r="L650" s="18">
        <v>938</v>
      </c>
      <c r="M650" s="19">
        <v>1594159</v>
      </c>
      <c r="N650" s="20">
        <v>0</v>
      </c>
      <c r="O650" s="20">
        <v>0</v>
      </c>
      <c r="P650" s="20">
        <v>0</v>
      </c>
      <c r="Q650" s="20">
        <v>0</v>
      </c>
      <c r="R650" s="19">
        <f t="shared" si="86"/>
        <v>1594159</v>
      </c>
      <c r="S650" s="19">
        <v>3000</v>
      </c>
      <c r="T650" s="19">
        <f t="shared" si="87"/>
        <v>1597159</v>
      </c>
      <c r="U650" s="105"/>
      <c r="X650" s="10">
        <f t="shared" si="89"/>
        <v>1594159</v>
      </c>
      <c r="Y650" s="2">
        <f t="shared" si="90"/>
        <v>0</v>
      </c>
      <c r="Z650" s="10">
        <f t="shared" si="88"/>
        <v>0</v>
      </c>
    </row>
    <row r="651" spans="1:26" ht="18" customHeight="1" x14ac:dyDescent="0.25">
      <c r="A651" s="11">
        <v>253</v>
      </c>
      <c r="B651" s="67" t="s">
        <v>1671</v>
      </c>
      <c r="C651" s="14" t="s">
        <v>1672</v>
      </c>
      <c r="D651" s="14" t="s">
        <v>22</v>
      </c>
      <c r="E651" s="14" t="s">
        <v>1673</v>
      </c>
      <c r="F651" s="15" t="s">
        <v>24</v>
      </c>
      <c r="G651" s="16">
        <v>3500</v>
      </c>
      <c r="H651" s="82" t="s">
        <v>25</v>
      </c>
      <c r="I651" s="15" t="s">
        <v>1674</v>
      </c>
      <c r="J651" s="15">
        <v>31374</v>
      </c>
      <c r="K651" s="15">
        <v>33856</v>
      </c>
      <c r="L651" s="18">
        <v>2482</v>
      </c>
      <c r="M651" s="19">
        <v>4218233</v>
      </c>
      <c r="N651" s="20">
        <v>0</v>
      </c>
      <c r="O651" s="20">
        <v>0</v>
      </c>
      <c r="P651" s="20">
        <v>0</v>
      </c>
      <c r="Q651" s="20">
        <v>0</v>
      </c>
      <c r="R651" s="19">
        <f t="shared" si="86"/>
        <v>4218233</v>
      </c>
      <c r="S651" s="19">
        <v>3000</v>
      </c>
      <c r="T651" s="19">
        <f t="shared" si="87"/>
        <v>4221233</v>
      </c>
      <c r="U651" s="105"/>
      <c r="X651" s="10">
        <f t="shared" si="89"/>
        <v>4218233</v>
      </c>
      <c r="Y651" s="2">
        <f t="shared" si="90"/>
        <v>0</v>
      </c>
      <c r="Z651" s="10">
        <f t="shared" si="88"/>
        <v>0</v>
      </c>
    </row>
    <row r="652" spans="1:26" ht="18" customHeight="1" x14ac:dyDescent="0.25">
      <c r="A652" s="11">
        <v>254</v>
      </c>
      <c r="B652" s="67" t="s">
        <v>1675</v>
      </c>
      <c r="C652" s="14" t="s">
        <v>1676</v>
      </c>
      <c r="D652" s="14" t="s">
        <v>22</v>
      </c>
      <c r="E652" s="14" t="s">
        <v>1677</v>
      </c>
      <c r="F652" s="15" t="s">
        <v>24</v>
      </c>
      <c r="G652" s="16">
        <v>3500</v>
      </c>
      <c r="H652" s="82" t="s">
        <v>25</v>
      </c>
      <c r="I652" s="15" t="s">
        <v>1678</v>
      </c>
      <c r="J652" s="15">
        <v>56179</v>
      </c>
      <c r="K652" s="15">
        <v>56826</v>
      </c>
      <c r="L652" s="18">
        <v>647</v>
      </c>
      <c r="M652" s="19">
        <v>1099596</v>
      </c>
      <c r="N652" s="20">
        <v>0</v>
      </c>
      <c r="O652" s="20">
        <v>0</v>
      </c>
      <c r="P652" s="20">
        <v>0</v>
      </c>
      <c r="Q652" s="20">
        <v>0</v>
      </c>
      <c r="R652" s="19">
        <f t="shared" si="86"/>
        <v>1099596</v>
      </c>
      <c r="S652" s="19">
        <v>3000</v>
      </c>
      <c r="T652" s="19">
        <f t="shared" si="87"/>
        <v>1102596</v>
      </c>
      <c r="U652" s="105"/>
      <c r="X652" s="10">
        <f t="shared" si="89"/>
        <v>1099596</v>
      </c>
      <c r="Y652" s="2">
        <f t="shared" si="90"/>
        <v>0</v>
      </c>
      <c r="Z652" s="10">
        <f t="shared" si="88"/>
        <v>0</v>
      </c>
    </row>
    <row r="653" spans="1:26" ht="18" customHeight="1" x14ac:dyDescent="0.25">
      <c r="A653" s="11">
        <v>255</v>
      </c>
      <c r="B653" s="67" t="s">
        <v>1679</v>
      </c>
      <c r="C653" s="14" t="s">
        <v>1680</v>
      </c>
      <c r="D653" s="14" t="s">
        <v>22</v>
      </c>
      <c r="E653" s="14" t="s">
        <v>1125</v>
      </c>
      <c r="F653" s="15" t="s">
        <v>24</v>
      </c>
      <c r="G653" s="16">
        <v>3500</v>
      </c>
      <c r="H653" s="82" t="s">
        <v>25</v>
      </c>
      <c r="I653" s="15" t="s">
        <v>1681</v>
      </c>
      <c r="J653" s="15">
        <v>3100</v>
      </c>
      <c r="K653" s="15">
        <v>4488</v>
      </c>
      <c r="L653" s="18">
        <v>1388</v>
      </c>
      <c r="M653" s="19">
        <v>2358948</v>
      </c>
      <c r="N653" s="20">
        <v>0</v>
      </c>
      <c r="O653" s="20">
        <v>0</v>
      </c>
      <c r="P653" s="20">
        <v>0</v>
      </c>
      <c r="Q653" s="20">
        <v>0</v>
      </c>
      <c r="R653" s="19">
        <f t="shared" si="86"/>
        <v>2358948</v>
      </c>
      <c r="S653" s="19">
        <v>3000</v>
      </c>
      <c r="T653" s="19">
        <f t="shared" si="87"/>
        <v>2361948</v>
      </c>
      <c r="U653" s="105"/>
      <c r="X653" s="10">
        <f t="shared" si="89"/>
        <v>2358948</v>
      </c>
      <c r="Y653" s="2">
        <f t="shared" si="90"/>
        <v>0</v>
      </c>
      <c r="Z653" s="10">
        <f t="shared" si="88"/>
        <v>0</v>
      </c>
    </row>
    <row r="654" spans="1:26" ht="18" customHeight="1" x14ac:dyDescent="0.25">
      <c r="A654" s="11">
        <v>256</v>
      </c>
      <c r="B654" s="67" t="s">
        <v>1682</v>
      </c>
      <c r="C654" s="14" t="s">
        <v>1683</v>
      </c>
      <c r="D654" s="14" t="s">
        <v>22</v>
      </c>
      <c r="E654" s="14" t="s">
        <v>1684</v>
      </c>
      <c r="F654" s="15" t="s">
        <v>24</v>
      </c>
      <c r="G654" s="16">
        <v>3500</v>
      </c>
      <c r="H654" s="82" t="s">
        <v>25</v>
      </c>
      <c r="I654" s="15" t="s">
        <v>1685</v>
      </c>
      <c r="J654" s="15">
        <v>39048</v>
      </c>
      <c r="K654" s="15">
        <v>39458</v>
      </c>
      <c r="L654" s="18">
        <v>410</v>
      </c>
      <c r="M654" s="19">
        <v>696807</v>
      </c>
      <c r="N654" s="20">
        <v>0</v>
      </c>
      <c r="O654" s="20">
        <v>0</v>
      </c>
      <c r="P654" s="20">
        <v>0</v>
      </c>
      <c r="Q654" s="20">
        <v>0</v>
      </c>
      <c r="R654" s="19">
        <f t="shared" si="86"/>
        <v>696807</v>
      </c>
      <c r="S654" s="19">
        <v>3000</v>
      </c>
      <c r="T654" s="19">
        <f t="shared" si="87"/>
        <v>699807</v>
      </c>
      <c r="U654" s="105"/>
      <c r="X654" s="10">
        <f t="shared" si="89"/>
        <v>696807</v>
      </c>
      <c r="Y654" s="2">
        <f t="shared" si="90"/>
        <v>0</v>
      </c>
      <c r="Z654" s="10">
        <f t="shared" si="88"/>
        <v>0</v>
      </c>
    </row>
    <row r="655" spans="1:26" ht="18" customHeight="1" x14ac:dyDescent="0.25">
      <c r="A655" s="11">
        <v>257</v>
      </c>
      <c r="B655" s="67" t="s">
        <v>1686</v>
      </c>
      <c r="C655" s="14" t="s">
        <v>1687</v>
      </c>
      <c r="D655" s="14" t="s">
        <v>22</v>
      </c>
      <c r="E655" s="14" t="s">
        <v>1688</v>
      </c>
      <c r="F655" s="15" t="s">
        <v>24</v>
      </c>
      <c r="G655" s="16">
        <v>3500</v>
      </c>
      <c r="H655" s="82" t="s">
        <v>25</v>
      </c>
      <c r="I655" s="15" t="s">
        <v>1689</v>
      </c>
      <c r="J655" s="15">
        <v>62448</v>
      </c>
      <c r="K655" s="15">
        <v>63428</v>
      </c>
      <c r="L655" s="18">
        <v>980</v>
      </c>
      <c r="M655" s="19">
        <v>1665539</v>
      </c>
      <c r="N655" s="20">
        <v>0</v>
      </c>
      <c r="O655" s="20">
        <v>0</v>
      </c>
      <c r="P655" s="20">
        <v>0</v>
      </c>
      <c r="Q655" s="20">
        <v>0</v>
      </c>
      <c r="R655" s="19">
        <f t="shared" si="86"/>
        <v>1665539</v>
      </c>
      <c r="S655" s="19">
        <v>3000</v>
      </c>
      <c r="T655" s="19">
        <f t="shared" si="87"/>
        <v>1668539</v>
      </c>
      <c r="U655" s="105"/>
      <c r="X655" s="10">
        <f t="shared" si="89"/>
        <v>1665539</v>
      </c>
      <c r="Y655" s="2">
        <f t="shared" si="90"/>
        <v>0</v>
      </c>
      <c r="Z655" s="10">
        <f t="shared" si="88"/>
        <v>0</v>
      </c>
    </row>
    <row r="656" spans="1:26" ht="18" customHeight="1" x14ac:dyDescent="0.25">
      <c r="A656" s="11">
        <v>258</v>
      </c>
      <c r="B656" s="67" t="s">
        <v>1690</v>
      </c>
      <c r="C656" s="14" t="s">
        <v>1691</v>
      </c>
      <c r="D656" s="14" t="s">
        <v>22</v>
      </c>
      <c r="E656" s="14" t="s">
        <v>1692</v>
      </c>
      <c r="F656" s="15" t="s">
        <v>24</v>
      </c>
      <c r="G656" s="16">
        <v>3500</v>
      </c>
      <c r="H656" s="82" t="s">
        <v>25</v>
      </c>
      <c r="I656" s="15" t="s">
        <v>1693</v>
      </c>
      <c r="J656" s="15">
        <v>86626</v>
      </c>
      <c r="K656" s="15">
        <v>88237</v>
      </c>
      <c r="L656" s="18">
        <v>1611</v>
      </c>
      <c r="M656" s="19">
        <v>2737943</v>
      </c>
      <c r="N656" s="20">
        <v>0</v>
      </c>
      <c r="O656" s="20">
        <v>0</v>
      </c>
      <c r="P656" s="20">
        <v>0</v>
      </c>
      <c r="Q656" s="20">
        <v>0</v>
      </c>
      <c r="R656" s="19">
        <f t="shared" si="86"/>
        <v>2737943</v>
      </c>
      <c r="S656" s="19">
        <v>3000</v>
      </c>
      <c r="T656" s="19">
        <f t="shared" si="87"/>
        <v>2740943</v>
      </c>
      <c r="U656" s="105"/>
      <c r="X656" s="10">
        <f t="shared" si="89"/>
        <v>2737943</v>
      </c>
      <c r="Y656" s="2">
        <f t="shared" si="90"/>
        <v>0</v>
      </c>
      <c r="Z656" s="10">
        <f t="shared" si="88"/>
        <v>0</v>
      </c>
    </row>
    <row r="657" spans="1:26" ht="18" customHeight="1" x14ac:dyDescent="0.25">
      <c r="A657" s="11">
        <v>259</v>
      </c>
      <c r="B657" s="67" t="s">
        <v>1694</v>
      </c>
      <c r="C657" s="14" t="s">
        <v>1695</v>
      </c>
      <c r="D657" s="14" t="s">
        <v>22</v>
      </c>
      <c r="E657" s="14" t="s">
        <v>1302</v>
      </c>
      <c r="F657" s="15" t="s">
        <v>24</v>
      </c>
      <c r="G657" s="16">
        <v>3500</v>
      </c>
      <c r="H657" s="82" t="s">
        <v>25</v>
      </c>
      <c r="I657" s="15" t="s">
        <v>1696</v>
      </c>
      <c r="J657" s="15">
        <v>68053</v>
      </c>
      <c r="K657" s="15">
        <v>69986</v>
      </c>
      <c r="L657" s="18">
        <v>1933</v>
      </c>
      <c r="M657" s="19">
        <v>3285191</v>
      </c>
      <c r="N657" s="20">
        <v>0</v>
      </c>
      <c r="O657" s="20">
        <v>0</v>
      </c>
      <c r="P657" s="20">
        <v>0</v>
      </c>
      <c r="Q657" s="20">
        <v>0</v>
      </c>
      <c r="R657" s="19">
        <f t="shared" si="86"/>
        <v>3285191</v>
      </c>
      <c r="S657" s="19">
        <v>3000</v>
      </c>
      <c r="T657" s="19">
        <f t="shared" si="87"/>
        <v>3288191</v>
      </c>
      <c r="U657" s="105"/>
      <c r="X657" s="10">
        <f t="shared" si="89"/>
        <v>3285191</v>
      </c>
      <c r="Y657" s="2">
        <f t="shared" si="90"/>
        <v>0</v>
      </c>
      <c r="Z657" s="10">
        <f t="shared" si="88"/>
        <v>0</v>
      </c>
    </row>
    <row r="658" spans="1:26" ht="18" customHeight="1" x14ac:dyDescent="0.25">
      <c r="A658" s="11">
        <v>260</v>
      </c>
      <c r="B658" s="67" t="s">
        <v>1697</v>
      </c>
      <c r="C658" s="14" t="s">
        <v>1698</v>
      </c>
      <c r="D658" s="14" t="s">
        <v>22</v>
      </c>
      <c r="E658" s="14" t="s">
        <v>1699</v>
      </c>
      <c r="F658" s="15" t="s">
        <v>24</v>
      </c>
      <c r="G658" s="16">
        <v>3500</v>
      </c>
      <c r="H658" s="82" t="s">
        <v>25</v>
      </c>
      <c r="I658" s="15" t="s">
        <v>1700</v>
      </c>
      <c r="J658" s="15">
        <v>10732</v>
      </c>
      <c r="K658" s="15">
        <v>12845</v>
      </c>
      <c r="L658" s="18">
        <v>2113</v>
      </c>
      <c r="M658" s="19">
        <v>3591107</v>
      </c>
      <c r="N658" s="20">
        <v>0</v>
      </c>
      <c r="O658" s="20">
        <v>0</v>
      </c>
      <c r="P658" s="20">
        <v>0</v>
      </c>
      <c r="Q658" s="20">
        <v>0</v>
      </c>
      <c r="R658" s="19">
        <f t="shared" si="86"/>
        <v>3591107</v>
      </c>
      <c r="S658" s="19">
        <v>3000</v>
      </c>
      <c r="T658" s="19">
        <f t="shared" si="87"/>
        <v>3594107</v>
      </c>
      <c r="U658" s="105"/>
      <c r="X658" s="10">
        <f t="shared" si="89"/>
        <v>3591107</v>
      </c>
      <c r="Y658" s="2">
        <f t="shared" si="90"/>
        <v>0</v>
      </c>
      <c r="Z658" s="10">
        <f t="shared" si="88"/>
        <v>0</v>
      </c>
    </row>
    <row r="659" spans="1:26" ht="18" customHeight="1" x14ac:dyDescent="0.25">
      <c r="A659" s="11">
        <v>261</v>
      </c>
      <c r="B659" s="67" t="s">
        <v>1701</v>
      </c>
      <c r="C659" s="14" t="s">
        <v>1702</v>
      </c>
      <c r="D659" s="14" t="s">
        <v>22</v>
      </c>
      <c r="E659" s="14" t="s">
        <v>1703</v>
      </c>
      <c r="F659" s="15" t="s">
        <v>24</v>
      </c>
      <c r="G659" s="16">
        <v>3500</v>
      </c>
      <c r="H659" s="82" t="s">
        <v>25</v>
      </c>
      <c r="I659" s="15" t="s">
        <v>1704</v>
      </c>
      <c r="J659" s="15">
        <v>46979</v>
      </c>
      <c r="K659" s="15">
        <v>47853</v>
      </c>
      <c r="L659" s="18">
        <v>874</v>
      </c>
      <c r="M659" s="19">
        <v>1485389</v>
      </c>
      <c r="N659" s="20">
        <v>0</v>
      </c>
      <c r="O659" s="20">
        <v>0</v>
      </c>
      <c r="P659" s="20">
        <v>0</v>
      </c>
      <c r="Q659" s="20">
        <v>0</v>
      </c>
      <c r="R659" s="19">
        <f t="shared" si="86"/>
        <v>1485389</v>
      </c>
      <c r="S659" s="19">
        <v>3000</v>
      </c>
      <c r="T659" s="19">
        <f t="shared" si="87"/>
        <v>1488389</v>
      </c>
      <c r="U659" s="105"/>
      <c r="X659" s="10">
        <f t="shared" si="89"/>
        <v>1485389</v>
      </c>
      <c r="Y659" s="2">
        <f t="shared" si="90"/>
        <v>0</v>
      </c>
      <c r="Z659" s="10">
        <f t="shared" si="88"/>
        <v>0</v>
      </c>
    </row>
    <row r="660" spans="1:26" ht="18" customHeight="1" x14ac:dyDescent="0.25">
      <c r="A660" s="11">
        <v>262</v>
      </c>
      <c r="B660" s="67" t="s">
        <v>1705</v>
      </c>
      <c r="C660" s="14" t="s">
        <v>1706</v>
      </c>
      <c r="D660" s="14" t="s">
        <v>22</v>
      </c>
      <c r="E660" s="14" t="s">
        <v>1707</v>
      </c>
      <c r="F660" s="15" t="s">
        <v>24</v>
      </c>
      <c r="G660" s="16">
        <v>3500</v>
      </c>
      <c r="H660" s="82" t="s">
        <v>25</v>
      </c>
      <c r="I660" s="15" t="s">
        <v>1708</v>
      </c>
      <c r="J660" s="15">
        <v>41089</v>
      </c>
      <c r="K660" s="15">
        <v>41428</v>
      </c>
      <c r="L660" s="18">
        <v>339</v>
      </c>
      <c r="M660" s="19">
        <v>576141</v>
      </c>
      <c r="N660" s="20">
        <v>0</v>
      </c>
      <c r="O660" s="20">
        <v>0</v>
      </c>
      <c r="P660" s="20">
        <v>0</v>
      </c>
      <c r="Q660" s="20">
        <v>0</v>
      </c>
      <c r="R660" s="19">
        <f t="shared" si="86"/>
        <v>576141</v>
      </c>
      <c r="S660" s="19">
        <v>3000</v>
      </c>
      <c r="T660" s="19">
        <f t="shared" si="87"/>
        <v>579141</v>
      </c>
      <c r="U660" s="105"/>
      <c r="X660" s="10">
        <f t="shared" si="89"/>
        <v>576141</v>
      </c>
      <c r="Y660" s="2">
        <f t="shared" si="90"/>
        <v>0</v>
      </c>
      <c r="Z660" s="10">
        <f t="shared" si="88"/>
        <v>0</v>
      </c>
    </row>
    <row r="661" spans="1:26" ht="18" customHeight="1" x14ac:dyDescent="0.25">
      <c r="A661" s="11">
        <v>263</v>
      </c>
      <c r="B661" s="67" t="s">
        <v>1709</v>
      </c>
      <c r="C661" s="14" t="s">
        <v>1710</v>
      </c>
      <c r="D661" s="14" t="s">
        <v>22</v>
      </c>
      <c r="E661" s="14" t="s">
        <v>1711</v>
      </c>
      <c r="F661" s="15" t="s">
        <v>24</v>
      </c>
      <c r="G661" s="16">
        <v>3500</v>
      </c>
      <c r="H661" s="82" t="s">
        <v>25</v>
      </c>
      <c r="I661" s="15" t="s">
        <v>1712</v>
      </c>
      <c r="J661" s="15">
        <v>58818</v>
      </c>
      <c r="K661" s="15">
        <v>59480</v>
      </c>
      <c r="L661" s="18">
        <v>662</v>
      </c>
      <c r="M661" s="19">
        <v>1125089</v>
      </c>
      <c r="N661" s="20">
        <v>0</v>
      </c>
      <c r="O661" s="20">
        <v>0</v>
      </c>
      <c r="P661" s="20">
        <v>0</v>
      </c>
      <c r="Q661" s="20">
        <v>0</v>
      </c>
      <c r="R661" s="19">
        <f t="shared" si="86"/>
        <v>1125089</v>
      </c>
      <c r="S661" s="19">
        <v>3000</v>
      </c>
      <c r="T661" s="19">
        <f t="shared" si="87"/>
        <v>1128089</v>
      </c>
      <c r="U661" s="105"/>
      <c r="X661" s="10">
        <f t="shared" si="89"/>
        <v>1125089</v>
      </c>
      <c r="Y661" s="2">
        <f t="shared" si="90"/>
        <v>0</v>
      </c>
      <c r="Z661" s="10">
        <f t="shared" si="88"/>
        <v>0</v>
      </c>
    </row>
    <row r="662" spans="1:26" ht="18" customHeight="1" x14ac:dyDescent="0.25">
      <c r="A662" s="11">
        <v>264</v>
      </c>
      <c r="B662" s="67" t="s">
        <v>1713</v>
      </c>
      <c r="C662" s="14" t="s">
        <v>1714</v>
      </c>
      <c r="D662" s="14" t="s">
        <v>22</v>
      </c>
      <c r="E662" s="14" t="s">
        <v>1715</v>
      </c>
      <c r="F662" s="15" t="s">
        <v>24</v>
      </c>
      <c r="G662" s="16">
        <v>3500</v>
      </c>
      <c r="H662" s="82" t="s">
        <v>25</v>
      </c>
      <c r="I662" s="15" t="s">
        <v>1716</v>
      </c>
      <c r="J662" s="15">
        <v>703</v>
      </c>
      <c r="K662" s="15">
        <v>717</v>
      </c>
      <c r="L662" s="18">
        <v>140</v>
      </c>
      <c r="M662" s="19">
        <v>237934</v>
      </c>
      <c r="N662" s="20">
        <v>0</v>
      </c>
      <c r="O662" s="20">
        <v>0</v>
      </c>
      <c r="P662" s="20">
        <v>0</v>
      </c>
      <c r="Q662" s="20">
        <v>0</v>
      </c>
      <c r="R662" s="19">
        <f t="shared" si="86"/>
        <v>237934</v>
      </c>
      <c r="S662" s="19">
        <v>3000</v>
      </c>
      <c r="T662" s="19">
        <f t="shared" si="87"/>
        <v>240934</v>
      </c>
      <c r="U662" s="105"/>
      <c r="X662" s="10">
        <f t="shared" si="89"/>
        <v>237934</v>
      </c>
      <c r="Y662" s="2">
        <f t="shared" si="90"/>
        <v>0</v>
      </c>
      <c r="Z662" s="10">
        <f t="shared" si="88"/>
        <v>0</v>
      </c>
    </row>
    <row r="663" spans="1:26" ht="18" customHeight="1" x14ac:dyDescent="0.25">
      <c r="A663" s="11">
        <v>265</v>
      </c>
      <c r="B663" s="67" t="s">
        <v>1717</v>
      </c>
      <c r="C663" s="14" t="s">
        <v>1718</v>
      </c>
      <c r="D663" s="14" t="s">
        <v>22</v>
      </c>
      <c r="E663" s="14" t="s">
        <v>945</v>
      </c>
      <c r="F663" s="15" t="s">
        <v>24</v>
      </c>
      <c r="G663" s="16">
        <v>3500</v>
      </c>
      <c r="H663" s="82" t="s">
        <v>25</v>
      </c>
      <c r="I663" s="15" t="s">
        <v>1719</v>
      </c>
      <c r="J663" s="15">
        <v>32572</v>
      </c>
      <c r="K663" s="15">
        <v>32967</v>
      </c>
      <c r="L663" s="18">
        <v>395</v>
      </c>
      <c r="M663" s="19">
        <v>671314</v>
      </c>
      <c r="N663" s="20">
        <v>0</v>
      </c>
      <c r="O663" s="20">
        <v>0</v>
      </c>
      <c r="P663" s="20">
        <v>0</v>
      </c>
      <c r="Q663" s="20">
        <v>0</v>
      </c>
      <c r="R663" s="19">
        <f t="shared" si="86"/>
        <v>671314</v>
      </c>
      <c r="S663" s="19">
        <v>3000</v>
      </c>
      <c r="T663" s="19">
        <f t="shared" si="87"/>
        <v>674314</v>
      </c>
      <c r="U663" s="105"/>
      <c r="X663" s="10">
        <f t="shared" si="89"/>
        <v>671314</v>
      </c>
      <c r="Y663" s="2">
        <f t="shared" si="90"/>
        <v>0</v>
      </c>
      <c r="Z663" s="10">
        <f t="shared" si="88"/>
        <v>0</v>
      </c>
    </row>
    <row r="664" spans="1:26" ht="18" customHeight="1" x14ac:dyDescent="0.25">
      <c r="A664" s="11">
        <v>266</v>
      </c>
      <c r="B664" s="67" t="s">
        <v>1720</v>
      </c>
      <c r="C664" s="14" t="s">
        <v>1721</v>
      </c>
      <c r="D664" s="14" t="s">
        <v>22</v>
      </c>
      <c r="E664" s="14" t="s">
        <v>1125</v>
      </c>
      <c r="F664" s="15" t="s">
        <v>24</v>
      </c>
      <c r="G664" s="16">
        <v>3500</v>
      </c>
      <c r="H664" s="82" t="s">
        <v>25</v>
      </c>
      <c r="I664" s="15" t="s">
        <v>1722</v>
      </c>
      <c r="J664" s="15">
        <v>642</v>
      </c>
      <c r="K664" s="15">
        <v>1707</v>
      </c>
      <c r="L664" s="18">
        <v>1065</v>
      </c>
      <c r="M664" s="19">
        <v>1809999</v>
      </c>
      <c r="N664" s="20">
        <v>0</v>
      </c>
      <c r="O664" s="20">
        <v>0</v>
      </c>
      <c r="P664" s="20">
        <v>0</v>
      </c>
      <c r="Q664" s="20">
        <v>0</v>
      </c>
      <c r="R664" s="19">
        <f t="shared" si="86"/>
        <v>1809999</v>
      </c>
      <c r="S664" s="19">
        <v>3000</v>
      </c>
      <c r="T664" s="19">
        <f t="shared" si="87"/>
        <v>1812999</v>
      </c>
      <c r="U664" s="105"/>
      <c r="X664" s="10">
        <f t="shared" si="89"/>
        <v>1809999</v>
      </c>
      <c r="Y664" s="2">
        <f t="shared" si="90"/>
        <v>0</v>
      </c>
      <c r="Z664" s="10">
        <f t="shared" si="88"/>
        <v>0</v>
      </c>
    </row>
    <row r="665" spans="1:26" ht="18" customHeight="1" x14ac:dyDescent="0.25">
      <c r="A665" s="11">
        <v>267</v>
      </c>
      <c r="B665" s="67" t="s">
        <v>1723</v>
      </c>
      <c r="C665" s="14" t="s">
        <v>1724</v>
      </c>
      <c r="D665" s="14" t="s">
        <v>22</v>
      </c>
      <c r="E665" s="14" t="s">
        <v>1725</v>
      </c>
      <c r="F665" s="15" t="s">
        <v>24</v>
      </c>
      <c r="G665" s="16">
        <v>3500</v>
      </c>
      <c r="H665" s="82" t="s">
        <v>25</v>
      </c>
      <c r="I665" s="15" t="s">
        <v>1726</v>
      </c>
      <c r="J665" s="15">
        <v>1529</v>
      </c>
      <c r="K665" s="15">
        <v>3029</v>
      </c>
      <c r="L665" s="18">
        <v>1500</v>
      </c>
      <c r="M665" s="19">
        <v>2549295</v>
      </c>
      <c r="N665" s="20">
        <v>0</v>
      </c>
      <c r="O665" s="20">
        <v>0</v>
      </c>
      <c r="P665" s="20">
        <v>0</v>
      </c>
      <c r="Q665" s="20">
        <v>0</v>
      </c>
      <c r="R665" s="19">
        <f t="shared" si="86"/>
        <v>2549295</v>
      </c>
      <c r="S665" s="19">
        <v>3000</v>
      </c>
      <c r="T665" s="19">
        <f t="shared" si="87"/>
        <v>2552295</v>
      </c>
      <c r="U665" s="105"/>
      <c r="X665" s="10">
        <f t="shared" si="89"/>
        <v>2549295</v>
      </c>
      <c r="Y665" s="2">
        <f t="shared" si="90"/>
        <v>0</v>
      </c>
      <c r="Z665" s="10">
        <f t="shared" si="88"/>
        <v>0</v>
      </c>
    </row>
    <row r="666" spans="1:26" ht="18" customHeight="1" x14ac:dyDescent="0.25">
      <c r="A666" s="11">
        <v>268</v>
      </c>
      <c r="B666" s="67" t="s">
        <v>1727</v>
      </c>
      <c r="C666" s="14" t="s">
        <v>1728</v>
      </c>
      <c r="D666" s="14" t="s">
        <v>22</v>
      </c>
      <c r="E666" s="14" t="s">
        <v>1067</v>
      </c>
      <c r="F666" s="15" t="s">
        <v>24</v>
      </c>
      <c r="G666" s="16">
        <v>3500</v>
      </c>
      <c r="H666" s="82" t="s">
        <v>25</v>
      </c>
      <c r="I666" s="15" t="s">
        <v>1729</v>
      </c>
      <c r="J666" s="15">
        <v>14477</v>
      </c>
      <c r="K666" s="15">
        <v>14773</v>
      </c>
      <c r="L666" s="18">
        <v>296</v>
      </c>
      <c r="M666" s="19">
        <v>503061</v>
      </c>
      <c r="N666" s="20">
        <v>0</v>
      </c>
      <c r="O666" s="20">
        <v>0</v>
      </c>
      <c r="P666" s="20">
        <v>0</v>
      </c>
      <c r="Q666" s="20">
        <v>0</v>
      </c>
      <c r="R666" s="19">
        <f t="shared" si="86"/>
        <v>503061</v>
      </c>
      <c r="S666" s="19">
        <v>3000</v>
      </c>
      <c r="T666" s="19">
        <f t="shared" si="87"/>
        <v>506061</v>
      </c>
      <c r="U666" s="105"/>
      <c r="X666" s="10">
        <f t="shared" si="89"/>
        <v>503061</v>
      </c>
      <c r="Y666" s="2">
        <f t="shared" si="90"/>
        <v>0</v>
      </c>
      <c r="Z666" s="10">
        <f t="shared" si="88"/>
        <v>0</v>
      </c>
    </row>
    <row r="667" spans="1:26" ht="18" customHeight="1" x14ac:dyDescent="0.25">
      <c r="A667" s="11">
        <v>269</v>
      </c>
      <c r="B667" s="67" t="s">
        <v>1730</v>
      </c>
      <c r="C667" s="14" t="s">
        <v>1731</v>
      </c>
      <c r="D667" s="14" t="s">
        <v>22</v>
      </c>
      <c r="E667" s="14" t="s">
        <v>1656</v>
      </c>
      <c r="F667" s="15" t="s">
        <v>24</v>
      </c>
      <c r="G667" s="16">
        <v>3500</v>
      </c>
      <c r="H667" s="82" t="s">
        <v>25</v>
      </c>
      <c r="I667" s="15" t="s">
        <v>1732</v>
      </c>
      <c r="J667" s="15">
        <v>66121</v>
      </c>
      <c r="K667" s="15">
        <v>66925</v>
      </c>
      <c r="L667" s="18">
        <v>804</v>
      </c>
      <c r="M667" s="19">
        <v>1366422</v>
      </c>
      <c r="N667" s="20">
        <v>0</v>
      </c>
      <c r="O667" s="20">
        <v>0</v>
      </c>
      <c r="P667" s="20">
        <v>0</v>
      </c>
      <c r="Q667" s="20">
        <v>0</v>
      </c>
      <c r="R667" s="19">
        <f t="shared" si="86"/>
        <v>1366422</v>
      </c>
      <c r="S667" s="19">
        <v>3000</v>
      </c>
      <c r="T667" s="19">
        <f t="shared" si="87"/>
        <v>1369422</v>
      </c>
      <c r="U667" s="105"/>
      <c r="X667" s="10">
        <f t="shared" si="89"/>
        <v>1366422</v>
      </c>
      <c r="Y667" s="2">
        <f t="shared" si="90"/>
        <v>0</v>
      </c>
      <c r="Z667" s="10">
        <f t="shared" si="88"/>
        <v>0</v>
      </c>
    </row>
    <row r="668" spans="1:26" ht="18" customHeight="1" x14ac:dyDescent="0.25">
      <c r="A668" s="11">
        <v>270</v>
      </c>
      <c r="B668" s="67" t="s">
        <v>1733</v>
      </c>
      <c r="C668" s="14" t="s">
        <v>1734</v>
      </c>
      <c r="D668" s="14" t="s">
        <v>22</v>
      </c>
      <c r="E668" s="14" t="s">
        <v>1735</v>
      </c>
      <c r="F668" s="15" t="s">
        <v>24</v>
      </c>
      <c r="G668" s="16">
        <v>2200</v>
      </c>
      <c r="H668" s="82" t="s">
        <v>25</v>
      </c>
      <c r="I668" s="15" t="s">
        <v>1736</v>
      </c>
      <c r="J668" s="15">
        <v>10152</v>
      </c>
      <c r="K668" s="15">
        <v>10405</v>
      </c>
      <c r="L668" s="18">
        <v>253</v>
      </c>
      <c r="M668" s="19">
        <v>429981</v>
      </c>
      <c r="N668" s="20">
        <v>0</v>
      </c>
      <c r="O668" s="20">
        <v>0</v>
      </c>
      <c r="P668" s="20">
        <v>0</v>
      </c>
      <c r="Q668" s="20">
        <v>0</v>
      </c>
      <c r="R668" s="19">
        <f t="shared" si="86"/>
        <v>429981</v>
      </c>
      <c r="S668" s="19">
        <v>3000</v>
      </c>
      <c r="T668" s="19">
        <f t="shared" si="87"/>
        <v>432981</v>
      </c>
      <c r="U668" s="105"/>
      <c r="X668" s="10">
        <f t="shared" si="89"/>
        <v>429981</v>
      </c>
      <c r="Y668" s="2">
        <f t="shared" si="90"/>
        <v>0</v>
      </c>
      <c r="Z668" s="10">
        <f t="shared" si="88"/>
        <v>0</v>
      </c>
    </row>
    <row r="669" spans="1:26" ht="18" customHeight="1" x14ac:dyDescent="0.25">
      <c r="A669" s="11">
        <v>271</v>
      </c>
      <c r="B669" s="67" t="s">
        <v>1737</v>
      </c>
      <c r="C669" s="14" t="s">
        <v>1738</v>
      </c>
      <c r="D669" s="14" t="s">
        <v>22</v>
      </c>
      <c r="E669" s="14" t="s">
        <v>1699</v>
      </c>
      <c r="F669" s="15" t="s">
        <v>24</v>
      </c>
      <c r="G669" s="16">
        <v>3500</v>
      </c>
      <c r="H669" s="82" t="s">
        <v>25</v>
      </c>
      <c r="I669" s="15" t="s">
        <v>1739</v>
      </c>
      <c r="J669" s="15">
        <v>33238</v>
      </c>
      <c r="K669" s="15">
        <v>33690</v>
      </c>
      <c r="L669" s="18">
        <v>452</v>
      </c>
      <c r="M669" s="19">
        <v>768188</v>
      </c>
      <c r="N669" s="20">
        <v>0</v>
      </c>
      <c r="O669" s="20">
        <v>0</v>
      </c>
      <c r="P669" s="20">
        <v>0</v>
      </c>
      <c r="Q669" s="20">
        <v>0</v>
      </c>
      <c r="R669" s="19">
        <f t="shared" si="86"/>
        <v>768188</v>
      </c>
      <c r="S669" s="19">
        <v>3000</v>
      </c>
      <c r="T669" s="19">
        <f t="shared" si="87"/>
        <v>771188</v>
      </c>
      <c r="U669" s="105"/>
      <c r="X669" s="10">
        <f t="shared" si="89"/>
        <v>768188</v>
      </c>
      <c r="Y669" s="2">
        <f t="shared" si="90"/>
        <v>0</v>
      </c>
      <c r="Z669" s="10">
        <f t="shared" si="88"/>
        <v>0</v>
      </c>
    </row>
    <row r="670" spans="1:26" ht="18" customHeight="1" x14ac:dyDescent="0.25">
      <c r="A670" s="11">
        <v>272</v>
      </c>
      <c r="B670" s="67" t="s">
        <v>1740</v>
      </c>
      <c r="C670" s="14" t="s">
        <v>1741</v>
      </c>
      <c r="D670" s="14" t="s">
        <v>22</v>
      </c>
      <c r="E670" s="14" t="s">
        <v>1699</v>
      </c>
      <c r="F670" s="15" t="s">
        <v>24</v>
      </c>
      <c r="G670" s="16">
        <v>3500</v>
      </c>
      <c r="H670" s="82" t="s">
        <v>25</v>
      </c>
      <c r="I670" s="15" t="s">
        <v>1742</v>
      </c>
      <c r="J670" s="15">
        <v>84471</v>
      </c>
      <c r="K670" s="15">
        <v>85577</v>
      </c>
      <c r="L670" s="18">
        <v>1106</v>
      </c>
      <c r="M670" s="19">
        <v>1879680</v>
      </c>
      <c r="N670" s="20">
        <v>0</v>
      </c>
      <c r="O670" s="20">
        <v>0</v>
      </c>
      <c r="P670" s="20">
        <v>0</v>
      </c>
      <c r="Q670" s="20">
        <v>0</v>
      </c>
      <c r="R670" s="19">
        <f t="shared" si="86"/>
        <v>1879680</v>
      </c>
      <c r="S670" s="19">
        <v>3000</v>
      </c>
      <c r="T670" s="19">
        <f t="shared" si="87"/>
        <v>1882680</v>
      </c>
      <c r="U670" s="105"/>
      <c r="X670" s="10">
        <f t="shared" si="89"/>
        <v>1879680</v>
      </c>
      <c r="Y670" s="2">
        <f t="shared" si="90"/>
        <v>0</v>
      </c>
      <c r="Z670" s="10">
        <f t="shared" si="88"/>
        <v>0</v>
      </c>
    </row>
    <row r="671" spans="1:26" ht="18" customHeight="1" x14ac:dyDescent="0.25">
      <c r="A671" s="11">
        <v>273</v>
      </c>
      <c r="B671" s="67" t="s">
        <v>1743</v>
      </c>
      <c r="C671" s="14" t="s">
        <v>830</v>
      </c>
      <c r="D671" s="14" t="s">
        <v>22</v>
      </c>
      <c r="E671" s="14" t="s">
        <v>1744</v>
      </c>
      <c r="F671" s="15" t="s">
        <v>24</v>
      </c>
      <c r="G671" s="16">
        <v>3500</v>
      </c>
      <c r="H671" s="82" t="s">
        <v>25</v>
      </c>
      <c r="I671" s="15" t="s">
        <v>1745</v>
      </c>
      <c r="J671" s="15">
        <v>73976</v>
      </c>
      <c r="K671" s="15">
        <v>74953</v>
      </c>
      <c r="L671" s="18">
        <v>977</v>
      </c>
      <c r="M671" s="19">
        <v>1660441</v>
      </c>
      <c r="N671" s="20">
        <v>0</v>
      </c>
      <c r="O671" s="20">
        <v>0</v>
      </c>
      <c r="P671" s="20">
        <v>0</v>
      </c>
      <c r="Q671" s="20">
        <v>0</v>
      </c>
      <c r="R671" s="19">
        <f t="shared" si="86"/>
        <v>1660441</v>
      </c>
      <c r="S671" s="19">
        <v>3000</v>
      </c>
      <c r="T671" s="19">
        <f t="shared" si="87"/>
        <v>1663441</v>
      </c>
      <c r="U671" s="105"/>
      <c r="X671" s="10">
        <f t="shared" si="89"/>
        <v>1660441</v>
      </c>
      <c r="Y671" s="2">
        <f t="shared" si="90"/>
        <v>0</v>
      </c>
      <c r="Z671" s="10">
        <f t="shared" si="88"/>
        <v>0</v>
      </c>
    </row>
    <row r="672" spans="1:26" ht="18" customHeight="1" x14ac:dyDescent="0.25">
      <c r="A672" s="11">
        <v>274</v>
      </c>
      <c r="B672" s="67" t="s">
        <v>1746</v>
      </c>
      <c r="C672" s="14" t="s">
        <v>1747</v>
      </c>
      <c r="D672" s="14" t="s">
        <v>22</v>
      </c>
      <c r="E672" s="14" t="s">
        <v>1748</v>
      </c>
      <c r="F672" s="15" t="s">
        <v>24</v>
      </c>
      <c r="G672" s="16">
        <v>3500</v>
      </c>
      <c r="H672" s="82" t="s">
        <v>25</v>
      </c>
      <c r="I672" s="15" t="s">
        <v>1749</v>
      </c>
      <c r="J672" s="15">
        <v>42867</v>
      </c>
      <c r="K672" s="15">
        <v>43651</v>
      </c>
      <c r="L672" s="18">
        <v>784</v>
      </c>
      <c r="M672" s="19">
        <v>1332432</v>
      </c>
      <c r="N672" s="20">
        <v>0</v>
      </c>
      <c r="O672" s="20">
        <v>0</v>
      </c>
      <c r="P672" s="20">
        <v>0</v>
      </c>
      <c r="Q672" s="20">
        <v>0</v>
      </c>
      <c r="R672" s="19">
        <f t="shared" si="86"/>
        <v>1332432</v>
      </c>
      <c r="S672" s="19">
        <v>3000</v>
      </c>
      <c r="T672" s="19">
        <f t="shared" si="87"/>
        <v>1335432</v>
      </c>
      <c r="U672" s="105"/>
      <c r="X672" s="10">
        <f t="shared" si="89"/>
        <v>1332432</v>
      </c>
      <c r="Y672" s="2">
        <f t="shared" si="90"/>
        <v>0</v>
      </c>
      <c r="Z672" s="10">
        <f t="shared" si="88"/>
        <v>0</v>
      </c>
    </row>
    <row r="673" spans="1:26" ht="18" customHeight="1" x14ac:dyDescent="0.25">
      <c r="A673" s="11">
        <v>275</v>
      </c>
      <c r="B673" s="67" t="s">
        <v>1750</v>
      </c>
      <c r="C673" s="14" t="s">
        <v>1751</v>
      </c>
      <c r="D673" s="14" t="s">
        <v>22</v>
      </c>
      <c r="E673" s="14" t="s">
        <v>1752</v>
      </c>
      <c r="F673" s="15" t="s">
        <v>24</v>
      </c>
      <c r="G673" s="16">
        <v>3500</v>
      </c>
      <c r="H673" s="82" t="s">
        <v>25</v>
      </c>
      <c r="I673" s="15" t="s">
        <v>1753</v>
      </c>
      <c r="J673" s="15">
        <v>8086</v>
      </c>
      <c r="K673" s="15">
        <v>9451</v>
      </c>
      <c r="L673" s="18">
        <v>1365</v>
      </c>
      <c r="M673" s="19">
        <v>2319858</v>
      </c>
      <c r="N673" s="20">
        <v>0</v>
      </c>
      <c r="O673" s="20">
        <v>0</v>
      </c>
      <c r="P673" s="20">
        <v>0</v>
      </c>
      <c r="Q673" s="20">
        <v>0</v>
      </c>
      <c r="R673" s="19">
        <f t="shared" si="86"/>
        <v>2319858</v>
      </c>
      <c r="S673" s="19">
        <v>3000</v>
      </c>
      <c r="T673" s="19">
        <f t="shared" si="87"/>
        <v>2322858</v>
      </c>
      <c r="U673" s="105"/>
      <c r="X673" s="10">
        <f t="shared" si="89"/>
        <v>2319858</v>
      </c>
      <c r="Y673" s="2">
        <f t="shared" si="90"/>
        <v>0</v>
      </c>
      <c r="Z673" s="10">
        <f t="shared" si="88"/>
        <v>0</v>
      </c>
    </row>
    <row r="674" spans="1:26" ht="18" customHeight="1" x14ac:dyDescent="0.25">
      <c r="A674" s="11">
        <v>276</v>
      </c>
      <c r="B674" s="67" t="s">
        <v>1754</v>
      </c>
      <c r="C674" s="14" t="s">
        <v>1755</v>
      </c>
      <c r="D674" s="14" t="s">
        <v>22</v>
      </c>
      <c r="E674" s="14" t="s">
        <v>1756</v>
      </c>
      <c r="F674" s="15" t="s">
        <v>24</v>
      </c>
      <c r="G674" s="16">
        <v>4400</v>
      </c>
      <c r="H674" s="82" t="s">
        <v>25</v>
      </c>
      <c r="I674" s="15" t="s">
        <v>1757</v>
      </c>
      <c r="J674" s="15">
        <v>76352</v>
      </c>
      <c r="K674" s="15">
        <v>77543</v>
      </c>
      <c r="L674" s="18">
        <v>1191</v>
      </c>
      <c r="M674" s="19">
        <v>2024140</v>
      </c>
      <c r="N674" s="20">
        <v>0</v>
      </c>
      <c r="O674" s="20">
        <v>0</v>
      </c>
      <c r="P674" s="20">
        <v>0</v>
      </c>
      <c r="Q674" s="20">
        <v>0</v>
      </c>
      <c r="R674" s="19">
        <f t="shared" si="86"/>
        <v>2024140</v>
      </c>
      <c r="S674" s="19">
        <v>3000</v>
      </c>
      <c r="T674" s="19">
        <f t="shared" si="87"/>
        <v>2027140</v>
      </c>
      <c r="U674" s="105"/>
      <c r="X674" s="10">
        <f t="shared" si="89"/>
        <v>2024140</v>
      </c>
      <c r="Y674" s="2">
        <f t="shared" si="90"/>
        <v>0</v>
      </c>
      <c r="Z674" s="10">
        <f t="shared" si="88"/>
        <v>0</v>
      </c>
    </row>
    <row r="675" spans="1:26" ht="18" customHeight="1" x14ac:dyDescent="0.25">
      <c r="A675" s="11">
        <v>277</v>
      </c>
      <c r="B675" s="67" t="s">
        <v>1758</v>
      </c>
      <c r="C675" s="14" t="s">
        <v>1759</v>
      </c>
      <c r="D675" s="14" t="s">
        <v>22</v>
      </c>
      <c r="E675" s="14" t="s">
        <v>1699</v>
      </c>
      <c r="F675" s="15" t="s">
        <v>24</v>
      </c>
      <c r="G675" s="16">
        <v>4400</v>
      </c>
      <c r="H675" s="82" t="s">
        <v>25</v>
      </c>
      <c r="I675" s="15" t="s">
        <v>1760</v>
      </c>
      <c r="J675" s="15">
        <v>22017</v>
      </c>
      <c r="K675" s="15">
        <v>23729</v>
      </c>
      <c r="L675" s="18">
        <v>1712</v>
      </c>
      <c r="M675" s="19">
        <v>2909595</v>
      </c>
      <c r="N675" s="20">
        <v>0</v>
      </c>
      <c r="O675" s="20">
        <v>0</v>
      </c>
      <c r="P675" s="20">
        <v>0</v>
      </c>
      <c r="Q675" s="20">
        <v>0</v>
      </c>
      <c r="R675" s="19">
        <f t="shared" si="86"/>
        <v>2909595</v>
      </c>
      <c r="S675" s="19">
        <v>3000</v>
      </c>
      <c r="T675" s="19">
        <f t="shared" si="87"/>
        <v>2912595</v>
      </c>
      <c r="U675" s="105"/>
      <c r="X675" s="10">
        <f t="shared" si="89"/>
        <v>2909595</v>
      </c>
      <c r="Y675" s="2">
        <f t="shared" si="90"/>
        <v>0</v>
      </c>
      <c r="Z675" s="10">
        <f t="shared" si="88"/>
        <v>0</v>
      </c>
    </row>
    <row r="676" spans="1:26" ht="18" customHeight="1" x14ac:dyDescent="0.25">
      <c r="A676" s="11">
        <v>278</v>
      </c>
      <c r="B676" s="67" t="s">
        <v>1761</v>
      </c>
      <c r="C676" s="14" t="s">
        <v>1762</v>
      </c>
      <c r="D676" s="14" t="s">
        <v>22</v>
      </c>
      <c r="E676" s="14" t="s">
        <v>1688</v>
      </c>
      <c r="F676" s="15" t="s">
        <v>24</v>
      </c>
      <c r="G676" s="16">
        <v>4400</v>
      </c>
      <c r="H676" s="82" t="s">
        <v>25</v>
      </c>
      <c r="I676" s="15" t="s">
        <v>1763</v>
      </c>
      <c r="J676" s="15">
        <v>89291</v>
      </c>
      <c r="K676" s="15">
        <v>90891</v>
      </c>
      <c r="L676" s="18">
        <v>1600</v>
      </c>
      <c r="M676" s="19">
        <v>2719248</v>
      </c>
      <c r="N676" s="20">
        <v>0</v>
      </c>
      <c r="O676" s="20">
        <v>0</v>
      </c>
      <c r="P676" s="20">
        <v>0</v>
      </c>
      <c r="Q676" s="20">
        <v>0</v>
      </c>
      <c r="R676" s="19">
        <f t="shared" si="86"/>
        <v>2719248</v>
      </c>
      <c r="S676" s="19">
        <v>3000</v>
      </c>
      <c r="T676" s="19">
        <f t="shared" si="87"/>
        <v>2722248</v>
      </c>
      <c r="U676" s="105"/>
      <c r="X676" s="10">
        <f t="shared" si="89"/>
        <v>2719248</v>
      </c>
      <c r="Y676" s="2">
        <f t="shared" si="90"/>
        <v>0</v>
      </c>
      <c r="Z676" s="10">
        <f t="shared" si="88"/>
        <v>0</v>
      </c>
    </row>
    <row r="677" spans="1:26" ht="18" customHeight="1" x14ac:dyDescent="0.25">
      <c r="A677" s="11">
        <v>279</v>
      </c>
      <c r="B677" s="67" t="s">
        <v>1764</v>
      </c>
      <c r="C677" s="14" t="s">
        <v>1765</v>
      </c>
      <c r="D677" s="14" t="s">
        <v>22</v>
      </c>
      <c r="E677" s="14" t="s">
        <v>1051</v>
      </c>
      <c r="F677" s="15" t="s">
        <v>24</v>
      </c>
      <c r="G677" s="16">
        <v>3500</v>
      </c>
      <c r="H677" s="82" t="s">
        <v>25</v>
      </c>
      <c r="I677" s="15" t="s">
        <v>1766</v>
      </c>
      <c r="J677" s="15">
        <v>38115</v>
      </c>
      <c r="K677" s="15">
        <v>38902</v>
      </c>
      <c r="L677" s="18">
        <v>787</v>
      </c>
      <c r="M677" s="19">
        <v>1337530</v>
      </c>
      <c r="N677" s="20">
        <v>0</v>
      </c>
      <c r="O677" s="20">
        <v>0</v>
      </c>
      <c r="P677" s="20">
        <v>0</v>
      </c>
      <c r="Q677" s="20">
        <v>0</v>
      </c>
      <c r="R677" s="19">
        <f t="shared" si="86"/>
        <v>1337530</v>
      </c>
      <c r="S677" s="19">
        <v>3000</v>
      </c>
      <c r="T677" s="19">
        <f t="shared" si="87"/>
        <v>1340530</v>
      </c>
      <c r="U677" s="105"/>
      <c r="X677" s="10">
        <f t="shared" si="89"/>
        <v>1337530</v>
      </c>
      <c r="Y677" s="2">
        <f t="shared" si="90"/>
        <v>0</v>
      </c>
      <c r="Z677" s="10">
        <f t="shared" si="88"/>
        <v>0</v>
      </c>
    </row>
    <row r="678" spans="1:26" ht="18" customHeight="1" x14ac:dyDescent="0.25">
      <c r="A678" s="11">
        <v>280</v>
      </c>
      <c r="B678" s="67" t="s">
        <v>1767</v>
      </c>
      <c r="C678" s="14" t="s">
        <v>1768</v>
      </c>
      <c r="D678" s="14" t="s">
        <v>22</v>
      </c>
      <c r="E678" s="14" t="s">
        <v>1055</v>
      </c>
      <c r="F678" s="15" t="s">
        <v>24</v>
      </c>
      <c r="G678" s="16">
        <v>3500</v>
      </c>
      <c r="H678" s="82" t="s">
        <v>25</v>
      </c>
      <c r="I678" s="15" t="s">
        <v>1769</v>
      </c>
      <c r="J678" s="15">
        <v>81487</v>
      </c>
      <c r="K678" s="15">
        <v>82510</v>
      </c>
      <c r="L678" s="18">
        <v>1023</v>
      </c>
      <c r="M678" s="19">
        <v>1738619</v>
      </c>
      <c r="N678" s="20">
        <v>0</v>
      </c>
      <c r="O678" s="20">
        <v>0</v>
      </c>
      <c r="P678" s="20">
        <v>0</v>
      </c>
      <c r="Q678" s="20">
        <v>0</v>
      </c>
      <c r="R678" s="19">
        <f t="shared" si="86"/>
        <v>1738619</v>
      </c>
      <c r="S678" s="19">
        <v>3000</v>
      </c>
      <c r="T678" s="19">
        <f t="shared" si="87"/>
        <v>1741619</v>
      </c>
      <c r="U678" s="105"/>
      <c r="X678" s="10">
        <f t="shared" si="89"/>
        <v>1738619</v>
      </c>
      <c r="Y678" s="2">
        <f t="shared" si="90"/>
        <v>0</v>
      </c>
      <c r="Z678" s="10">
        <f t="shared" si="88"/>
        <v>0</v>
      </c>
    </row>
    <row r="679" spans="1:26" s="25" customFormat="1" ht="18" customHeight="1" x14ac:dyDescent="0.25">
      <c r="A679" s="11"/>
      <c r="B679" s="12"/>
      <c r="C679" s="13"/>
      <c r="D679" s="13"/>
      <c r="E679" s="13"/>
      <c r="F679" s="12"/>
      <c r="G679" s="12"/>
      <c r="H679" s="17"/>
      <c r="I679" s="15"/>
      <c r="J679" s="15"/>
      <c r="K679" s="15"/>
      <c r="L679" s="18"/>
      <c r="M679" s="19"/>
      <c r="N679" s="38"/>
      <c r="O679" s="38"/>
      <c r="P679" s="38"/>
      <c r="Q679" s="38"/>
      <c r="R679" s="37"/>
      <c r="S679" s="37"/>
      <c r="T679" s="37"/>
      <c r="U679" s="147"/>
      <c r="X679" s="10">
        <f t="shared" si="89"/>
        <v>0</v>
      </c>
      <c r="Y679" s="2">
        <f t="shared" si="90"/>
        <v>0</v>
      </c>
      <c r="Z679" s="10"/>
    </row>
    <row r="680" spans="1:26" ht="33" customHeight="1" x14ac:dyDescent="0.25">
      <c r="A680" s="34" t="s">
        <v>139</v>
      </c>
      <c r="B680" s="9"/>
      <c r="C680" s="9"/>
      <c r="D680" s="9"/>
      <c r="E680" s="9"/>
      <c r="F680" s="9"/>
      <c r="G680" s="22">
        <f>SUM(G638:G679)</f>
        <v>1205100</v>
      </c>
      <c r="H680" s="22">
        <f t="shared" ref="H680:R680" si="91">SUM(H638:H679)</f>
        <v>0</v>
      </c>
      <c r="I680" s="22">
        <f t="shared" si="91"/>
        <v>0</v>
      </c>
      <c r="J680" s="22"/>
      <c r="K680" s="22"/>
      <c r="L680" s="22">
        <f t="shared" si="91"/>
        <v>259601</v>
      </c>
      <c r="M680" s="22">
        <f t="shared" si="91"/>
        <v>441199686</v>
      </c>
      <c r="N680" s="22">
        <f t="shared" si="91"/>
        <v>0</v>
      </c>
      <c r="O680" s="22">
        <f t="shared" si="91"/>
        <v>0</v>
      </c>
      <c r="P680" s="22">
        <f t="shared" si="91"/>
        <v>0</v>
      </c>
      <c r="Q680" s="22">
        <f t="shared" si="91"/>
        <v>10000</v>
      </c>
      <c r="R680" s="22">
        <f t="shared" si="91"/>
        <v>441209686</v>
      </c>
      <c r="S680" s="22">
        <f>SUM(S638:S679)</f>
        <v>840000</v>
      </c>
      <c r="T680" s="22">
        <f>SUM(T638:T679)</f>
        <v>442049686</v>
      </c>
      <c r="U680" s="27"/>
      <c r="W680" s="62"/>
      <c r="X680" s="10">
        <f t="shared" si="89"/>
        <v>441199686</v>
      </c>
      <c r="Y680" s="2">
        <f t="shared" si="90"/>
        <v>10000</v>
      </c>
      <c r="Z680" s="10"/>
    </row>
    <row r="681" spans="1:26" ht="18" customHeight="1" x14ac:dyDescent="0.25">
      <c r="A681" s="87"/>
      <c r="B681" s="84"/>
      <c r="C681" s="85"/>
      <c r="D681" s="85"/>
      <c r="E681" s="85"/>
      <c r="F681" s="84"/>
      <c r="G681" s="84"/>
      <c r="H681" s="86"/>
      <c r="L681" s="31"/>
      <c r="X681" s="10">
        <f t="shared" si="89"/>
        <v>0</v>
      </c>
      <c r="Y681" s="2">
        <f t="shared" si="90"/>
        <v>0</v>
      </c>
      <c r="Z681" s="10"/>
    </row>
    <row r="682" spans="1:26" ht="18" customHeight="1" x14ac:dyDescent="0.25">
      <c r="A682" s="87"/>
      <c r="B682" s="84"/>
      <c r="C682" s="85"/>
      <c r="D682" s="85"/>
      <c r="E682" s="85"/>
      <c r="F682" s="84"/>
      <c r="G682" s="84"/>
      <c r="L682" s="31"/>
      <c r="X682" s="10">
        <f t="shared" si="89"/>
        <v>0</v>
      </c>
      <c r="Y682" s="2">
        <f t="shared" si="90"/>
        <v>0</v>
      </c>
      <c r="Z682" s="10"/>
    </row>
    <row r="683" spans="1:26" s="84" customFormat="1" ht="39" customHeight="1" x14ac:dyDescent="0.25">
      <c r="A683" s="9" t="s">
        <v>4</v>
      </c>
      <c r="B683" s="21" t="s">
        <v>5</v>
      </c>
      <c r="C683" s="21" t="s">
        <v>6</v>
      </c>
      <c r="D683" s="12"/>
      <c r="E683" s="9" t="s">
        <v>7</v>
      </c>
      <c r="F683" s="21" t="s">
        <v>8</v>
      </c>
      <c r="G683" s="21" t="s">
        <v>9</v>
      </c>
      <c r="H683" s="21" t="s">
        <v>10</v>
      </c>
      <c r="I683" s="21" t="s">
        <v>11</v>
      </c>
      <c r="J683" s="21" t="s">
        <v>12</v>
      </c>
      <c r="K683" s="21" t="s">
        <v>13</v>
      </c>
      <c r="L683" s="21" t="s">
        <v>14</v>
      </c>
      <c r="M683" s="143" t="s">
        <v>15</v>
      </c>
      <c r="N683" s="144" t="s">
        <v>16</v>
      </c>
      <c r="O683" s="144" t="s">
        <v>17</v>
      </c>
      <c r="P683" s="144" t="s">
        <v>18</v>
      </c>
      <c r="Q683" s="144" t="s">
        <v>19</v>
      </c>
      <c r="R683" s="143" t="s">
        <v>20</v>
      </c>
      <c r="S683" s="143" t="s">
        <v>3471</v>
      </c>
      <c r="T683" s="143" t="s">
        <v>3472</v>
      </c>
      <c r="U683" s="145"/>
      <c r="V683" s="145"/>
      <c r="W683" s="145"/>
      <c r="X683" s="145"/>
    </row>
    <row r="684" spans="1:26" ht="18" customHeight="1" x14ac:dyDescent="0.25">
      <c r="A684" s="11"/>
      <c r="B684" s="12"/>
      <c r="C684" s="13"/>
      <c r="D684" s="13"/>
      <c r="E684" s="13"/>
      <c r="F684" s="12"/>
      <c r="G684" s="12"/>
      <c r="H684" s="17"/>
      <c r="I684" s="15"/>
      <c r="J684" s="15"/>
      <c r="K684" s="15"/>
      <c r="L684" s="18"/>
      <c r="M684" s="19"/>
      <c r="N684" s="20"/>
      <c r="O684" s="20"/>
      <c r="P684" s="20"/>
      <c r="Q684" s="20"/>
      <c r="R684" s="19"/>
      <c r="S684" s="19"/>
      <c r="T684" s="19"/>
      <c r="U684" s="105"/>
      <c r="X684" s="10">
        <f t="shared" si="89"/>
        <v>0</v>
      </c>
      <c r="Y684" s="2">
        <f t="shared" si="90"/>
        <v>0</v>
      </c>
      <c r="Z684" s="10"/>
    </row>
    <row r="685" spans="1:26" ht="18" customHeight="1" x14ac:dyDescent="0.25">
      <c r="A685" s="11"/>
      <c r="B685" s="12"/>
      <c r="C685" s="13"/>
      <c r="D685" s="13"/>
      <c r="E685" s="35" t="s">
        <v>141</v>
      </c>
      <c r="F685" s="12"/>
      <c r="G685" s="22">
        <f t="shared" ref="G685:R685" si="92">G680</f>
        <v>1205100</v>
      </c>
      <c r="H685" s="22">
        <f t="shared" si="92"/>
        <v>0</v>
      </c>
      <c r="I685" s="22">
        <f t="shared" si="92"/>
        <v>0</v>
      </c>
      <c r="J685" s="22"/>
      <c r="K685" s="22"/>
      <c r="L685" s="22">
        <f t="shared" si="92"/>
        <v>259601</v>
      </c>
      <c r="M685" s="23">
        <f t="shared" si="92"/>
        <v>441199686</v>
      </c>
      <c r="N685" s="24">
        <f t="shared" si="92"/>
        <v>0</v>
      </c>
      <c r="O685" s="24">
        <f t="shared" si="92"/>
        <v>0</v>
      </c>
      <c r="P685" s="24">
        <f t="shared" si="92"/>
        <v>0</v>
      </c>
      <c r="Q685" s="24">
        <f t="shared" si="92"/>
        <v>10000</v>
      </c>
      <c r="R685" s="23">
        <f t="shared" si="92"/>
        <v>441209686</v>
      </c>
      <c r="S685" s="23">
        <f>S680</f>
        <v>840000</v>
      </c>
      <c r="T685" s="23">
        <f>T680</f>
        <v>442049686</v>
      </c>
      <c r="U685" s="146"/>
      <c r="X685" s="10">
        <f t="shared" si="89"/>
        <v>441199686</v>
      </c>
      <c r="Y685" s="2">
        <f t="shared" si="90"/>
        <v>10000</v>
      </c>
      <c r="Z685" s="10"/>
    </row>
    <row r="686" spans="1:26" ht="18" customHeight="1" x14ac:dyDescent="0.25">
      <c r="A686" s="11">
        <v>281</v>
      </c>
      <c r="B686" s="67" t="s">
        <v>1770</v>
      </c>
      <c r="C686" s="14" t="s">
        <v>1771</v>
      </c>
      <c r="D686" s="14" t="s">
        <v>22</v>
      </c>
      <c r="E686" s="14" t="s">
        <v>1051</v>
      </c>
      <c r="F686" s="15" t="s">
        <v>24</v>
      </c>
      <c r="G686" s="16">
        <v>3500</v>
      </c>
      <c r="H686" s="82" t="s">
        <v>25</v>
      </c>
      <c r="I686" s="15" t="s">
        <v>1772</v>
      </c>
      <c r="J686" s="15">
        <v>83477</v>
      </c>
      <c r="K686" s="15">
        <v>84904</v>
      </c>
      <c r="L686" s="18">
        <v>1427</v>
      </c>
      <c r="M686" s="19">
        <v>2425229</v>
      </c>
      <c r="N686" s="20">
        <v>0</v>
      </c>
      <c r="O686" s="20">
        <v>0</v>
      </c>
      <c r="P686" s="20">
        <v>0</v>
      </c>
      <c r="Q686" s="20">
        <v>0</v>
      </c>
      <c r="R686" s="19">
        <f t="shared" ref="R686:R725" si="93">M686+N686+O686+P686+Q686</f>
        <v>2425229</v>
      </c>
      <c r="S686" s="19">
        <v>3000</v>
      </c>
      <c r="T686" s="19">
        <f t="shared" ref="T686:T725" si="94">R686+S686</f>
        <v>2428229</v>
      </c>
      <c r="U686" s="105"/>
      <c r="X686" s="10">
        <f t="shared" si="89"/>
        <v>2425229</v>
      </c>
      <c r="Y686" s="2">
        <f t="shared" si="90"/>
        <v>0</v>
      </c>
      <c r="Z686" s="10">
        <f t="shared" ref="Z686:Z725" si="95">Q686-Y686</f>
        <v>0</v>
      </c>
    </row>
    <row r="687" spans="1:26" ht="18" customHeight="1" x14ac:dyDescent="0.25">
      <c r="A687" s="11">
        <v>282</v>
      </c>
      <c r="B687" s="67" t="s">
        <v>1773</v>
      </c>
      <c r="C687" s="14" t="s">
        <v>1774</v>
      </c>
      <c r="D687" s="14" t="s">
        <v>22</v>
      </c>
      <c r="E687" s="14" t="s">
        <v>1055</v>
      </c>
      <c r="F687" s="15" t="s">
        <v>24</v>
      </c>
      <c r="G687" s="16">
        <v>3500</v>
      </c>
      <c r="H687" s="82" t="s">
        <v>25</v>
      </c>
      <c r="I687" s="15" t="s">
        <v>1775</v>
      </c>
      <c r="J687" s="15">
        <v>77368</v>
      </c>
      <c r="K687" s="15">
        <v>78240</v>
      </c>
      <c r="L687" s="18">
        <v>872</v>
      </c>
      <c r="M687" s="19">
        <v>1481990</v>
      </c>
      <c r="N687" s="20">
        <v>0</v>
      </c>
      <c r="O687" s="20">
        <v>0</v>
      </c>
      <c r="P687" s="20">
        <v>0</v>
      </c>
      <c r="Q687" s="20">
        <v>0</v>
      </c>
      <c r="R687" s="19">
        <f t="shared" si="93"/>
        <v>1481990</v>
      </c>
      <c r="S687" s="19">
        <v>3000</v>
      </c>
      <c r="T687" s="19">
        <f t="shared" si="94"/>
        <v>1484990</v>
      </c>
      <c r="U687" s="105"/>
      <c r="X687" s="10">
        <f t="shared" si="89"/>
        <v>1481990</v>
      </c>
      <c r="Y687" s="2">
        <f t="shared" si="90"/>
        <v>0</v>
      </c>
      <c r="Z687" s="10">
        <f t="shared" si="95"/>
        <v>0</v>
      </c>
    </row>
    <row r="688" spans="1:26" ht="18" customHeight="1" x14ac:dyDescent="0.25">
      <c r="A688" s="11">
        <v>283</v>
      </c>
      <c r="B688" s="67" t="s">
        <v>1776</v>
      </c>
      <c r="C688" s="14" t="s">
        <v>1777</v>
      </c>
      <c r="D688" s="14" t="s">
        <v>22</v>
      </c>
      <c r="E688" s="14" t="s">
        <v>819</v>
      </c>
      <c r="F688" s="15" t="s">
        <v>24</v>
      </c>
      <c r="G688" s="16">
        <v>4400</v>
      </c>
      <c r="H688" s="82" t="s">
        <v>25</v>
      </c>
      <c r="I688" s="15" t="s">
        <v>1778</v>
      </c>
      <c r="J688" s="15">
        <v>86488</v>
      </c>
      <c r="K688" s="15">
        <v>87763</v>
      </c>
      <c r="L688" s="18">
        <v>1275</v>
      </c>
      <c r="M688" s="19">
        <v>2166901</v>
      </c>
      <c r="N688" s="20">
        <v>0</v>
      </c>
      <c r="O688" s="20">
        <v>0</v>
      </c>
      <c r="P688" s="20">
        <v>0</v>
      </c>
      <c r="Q688" s="20">
        <v>0</v>
      </c>
      <c r="R688" s="19">
        <f t="shared" si="93"/>
        <v>2166901</v>
      </c>
      <c r="S688" s="19">
        <v>3000</v>
      </c>
      <c r="T688" s="19">
        <f t="shared" si="94"/>
        <v>2169901</v>
      </c>
      <c r="U688" s="105"/>
      <c r="X688" s="10">
        <f t="shared" si="89"/>
        <v>2166901</v>
      </c>
      <c r="Y688" s="2">
        <f t="shared" si="90"/>
        <v>0</v>
      </c>
      <c r="Z688" s="10">
        <f t="shared" si="95"/>
        <v>0</v>
      </c>
    </row>
    <row r="689" spans="1:26" ht="18" customHeight="1" x14ac:dyDescent="0.25">
      <c r="A689" s="11">
        <v>284</v>
      </c>
      <c r="B689" s="67" t="s">
        <v>1779</v>
      </c>
      <c r="C689" s="14" t="s">
        <v>1780</v>
      </c>
      <c r="D689" s="14" t="s">
        <v>22</v>
      </c>
      <c r="E689" s="14" t="s">
        <v>1055</v>
      </c>
      <c r="F689" s="15" t="s">
        <v>24</v>
      </c>
      <c r="G689" s="16">
        <v>3500</v>
      </c>
      <c r="H689" s="82" t="s">
        <v>25</v>
      </c>
      <c r="I689" s="15" t="s">
        <v>1781</v>
      </c>
      <c r="J689" s="15">
        <v>17605</v>
      </c>
      <c r="K689" s="15">
        <v>18441</v>
      </c>
      <c r="L689" s="18">
        <v>836</v>
      </c>
      <c r="M689" s="19">
        <v>1420807</v>
      </c>
      <c r="N689" s="20">
        <v>0</v>
      </c>
      <c r="O689" s="20">
        <v>0</v>
      </c>
      <c r="P689" s="20">
        <v>0</v>
      </c>
      <c r="Q689" s="20">
        <v>0</v>
      </c>
      <c r="R689" s="19">
        <f t="shared" si="93"/>
        <v>1420807</v>
      </c>
      <c r="S689" s="19">
        <v>3000</v>
      </c>
      <c r="T689" s="19">
        <f t="shared" si="94"/>
        <v>1423807</v>
      </c>
      <c r="U689" s="105"/>
      <c r="X689" s="10">
        <f t="shared" si="89"/>
        <v>1420807</v>
      </c>
      <c r="Y689" s="2">
        <f t="shared" si="90"/>
        <v>0</v>
      </c>
      <c r="Z689" s="10">
        <f t="shared" si="95"/>
        <v>0</v>
      </c>
    </row>
    <row r="690" spans="1:26" ht="18" customHeight="1" x14ac:dyDescent="0.25">
      <c r="A690" s="11">
        <v>285</v>
      </c>
      <c r="B690" s="67" t="s">
        <v>1782</v>
      </c>
      <c r="C690" s="14" t="s">
        <v>1687</v>
      </c>
      <c r="D690" s="14" t="s">
        <v>22</v>
      </c>
      <c r="E690" s="14" t="s">
        <v>1688</v>
      </c>
      <c r="F690" s="15" t="s">
        <v>24</v>
      </c>
      <c r="G690" s="16">
        <v>4400</v>
      </c>
      <c r="H690" s="82" t="s">
        <v>25</v>
      </c>
      <c r="I690" s="15" t="s">
        <v>1783</v>
      </c>
      <c r="J690" s="15">
        <v>95523</v>
      </c>
      <c r="K690" s="15">
        <v>98308</v>
      </c>
      <c r="L690" s="18">
        <v>2785</v>
      </c>
      <c r="M690" s="19">
        <v>4733191</v>
      </c>
      <c r="N690" s="20">
        <v>0</v>
      </c>
      <c r="O690" s="20">
        <v>0</v>
      </c>
      <c r="P690" s="20">
        <v>0</v>
      </c>
      <c r="Q690" s="20">
        <v>0</v>
      </c>
      <c r="R690" s="19">
        <f t="shared" si="93"/>
        <v>4733191</v>
      </c>
      <c r="S690" s="19">
        <v>3000</v>
      </c>
      <c r="T690" s="19">
        <f t="shared" si="94"/>
        <v>4736191</v>
      </c>
      <c r="U690" s="105"/>
      <c r="X690" s="10">
        <f t="shared" si="89"/>
        <v>4733191</v>
      </c>
      <c r="Y690" s="2">
        <f t="shared" si="90"/>
        <v>0</v>
      </c>
      <c r="Z690" s="10">
        <f t="shared" si="95"/>
        <v>0</v>
      </c>
    </row>
    <row r="691" spans="1:26" ht="18" customHeight="1" x14ac:dyDescent="0.25">
      <c r="A691" s="11">
        <v>286</v>
      </c>
      <c r="B691" s="67" t="s">
        <v>1784</v>
      </c>
      <c r="C691" s="14" t="s">
        <v>1785</v>
      </c>
      <c r="D691" s="14" t="s">
        <v>22</v>
      </c>
      <c r="E691" s="14" t="s">
        <v>1786</v>
      </c>
      <c r="F691" s="15" t="s">
        <v>24</v>
      </c>
      <c r="G691" s="16">
        <v>4400</v>
      </c>
      <c r="H691" s="82" t="s">
        <v>25</v>
      </c>
      <c r="I691" s="15" t="s">
        <v>1787</v>
      </c>
      <c r="J691" s="15">
        <v>76408</v>
      </c>
      <c r="K691" s="15">
        <v>77780</v>
      </c>
      <c r="L691" s="18">
        <v>1372</v>
      </c>
      <c r="M691" s="19">
        <v>2331755</v>
      </c>
      <c r="N691" s="20">
        <v>0</v>
      </c>
      <c r="O691" s="20">
        <v>0</v>
      </c>
      <c r="P691" s="20">
        <v>0</v>
      </c>
      <c r="Q691" s="20">
        <v>0</v>
      </c>
      <c r="R691" s="19">
        <f t="shared" si="93"/>
        <v>2331755</v>
      </c>
      <c r="S691" s="19">
        <v>3000</v>
      </c>
      <c r="T691" s="19">
        <f t="shared" si="94"/>
        <v>2334755</v>
      </c>
      <c r="U691" s="105"/>
      <c r="X691" s="10">
        <f t="shared" si="89"/>
        <v>2331755</v>
      </c>
      <c r="Y691" s="2">
        <f t="shared" si="90"/>
        <v>0</v>
      </c>
      <c r="Z691" s="10">
        <f t="shared" si="95"/>
        <v>0</v>
      </c>
    </row>
    <row r="692" spans="1:26" ht="18" customHeight="1" x14ac:dyDescent="0.25">
      <c r="A692" s="11">
        <v>287</v>
      </c>
      <c r="B692" s="67" t="s">
        <v>1788</v>
      </c>
      <c r="C692" s="14" t="s">
        <v>1789</v>
      </c>
      <c r="D692" s="14" t="s">
        <v>22</v>
      </c>
      <c r="E692" s="14" t="s">
        <v>1290</v>
      </c>
      <c r="F692" s="15" t="s">
        <v>24</v>
      </c>
      <c r="G692" s="16">
        <v>3500</v>
      </c>
      <c r="H692" s="82" t="s">
        <v>25</v>
      </c>
      <c r="I692" s="15" t="s">
        <v>1790</v>
      </c>
      <c r="J692" s="15">
        <v>56387</v>
      </c>
      <c r="K692" s="15">
        <v>57045</v>
      </c>
      <c r="L692" s="18">
        <v>658</v>
      </c>
      <c r="M692" s="19">
        <v>1118291</v>
      </c>
      <c r="N692" s="20">
        <v>0</v>
      </c>
      <c r="O692" s="20">
        <v>0</v>
      </c>
      <c r="P692" s="20">
        <v>0</v>
      </c>
      <c r="Q692" s="20">
        <v>0</v>
      </c>
      <c r="R692" s="19">
        <f t="shared" si="93"/>
        <v>1118291</v>
      </c>
      <c r="S692" s="19">
        <v>3000</v>
      </c>
      <c r="T692" s="19">
        <f t="shared" si="94"/>
        <v>1121291</v>
      </c>
      <c r="U692" s="105"/>
      <c r="X692" s="10">
        <f t="shared" si="89"/>
        <v>1118291</v>
      </c>
      <c r="Y692" s="2">
        <f t="shared" si="90"/>
        <v>0</v>
      </c>
      <c r="Z692" s="10">
        <f t="shared" si="95"/>
        <v>0</v>
      </c>
    </row>
    <row r="693" spans="1:26" ht="18" customHeight="1" x14ac:dyDescent="0.25">
      <c r="A693" s="11">
        <v>288</v>
      </c>
      <c r="B693" s="67" t="s">
        <v>1791</v>
      </c>
      <c r="C693" s="14" t="s">
        <v>1792</v>
      </c>
      <c r="D693" s="14" t="s">
        <v>22</v>
      </c>
      <c r="E693" s="14" t="s">
        <v>1793</v>
      </c>
      <c r="F693" s="15" t="s">
        <v>24</v>
      </c>
      <c r="G693" s="16">
        <v>3500</v>
      </c>
      <c r="H693" s="82" t="s">
        <v>25</v>
      </c>
      <c r="I693" s="15" t="s">
        <v>1794</v>
      </c>
      <c r="J693" s="15">
        <v>62509</v>
      </c>
      <c r="K693" s="15">
        <v>63191</v>
      </c>
      <c r="L693" s="18">
        <v>682</v>
      </c>
      <c r="M693" s="19">
        <v>1159079</v>
      </c>
      <c r="N693" s="20">
        <v>0</v>
      </c>
      <c r="O693" s="20">
        <v>0</v>
      </c>
      <c r="P693" s="20">
        <v>0</v>
      </c>
      <c r="Q693" s="20">
        <v>0</v>
      </c>
      <c r="R693" s="19">
        <f t="shared" si="93"/>
        <v>1159079</v>
      </c>
      <c r="S693" s="19">
        <v>3000</v>
      </c>
      <c r="T693" s="19">
        <f t="shared" si="94"/>
        <v>1162079</v>
      </c>
      <c r="U693" s="105"/>
      <c r="X693" s="10">
        <f t="shared" si="89"/>
        <v>1159079</v>
      </c>
      <c r="Y693" s="2">
        <f t="shared" si="90"/>
        <v>0</v>
      </c>
      <c r="Z693" s="10">
        <f t="shared" si="95"/>
        <v>0</v>
      </c>
    </row>
    <row r="694" spans="1:26" ht="18" customHeight="1" x14ac:dyDescent="0.25">
      <c r="A694" s="11">
        <v>289</v>
      </c>
      <c r="B694" s="67" t="s">
        <v>1795</v>
      </c>
      <c r="C694" s="14" t="s">
        <v>1796</v>
      </c>
      <c r="D694" s="14" t="s">
        <v>22</v>
      </c>
      <c r="E694" s="14" t="s">
        <v>1236</v>
      </c>
      <c r="F694" s="15" t="s">
        <v>24</v>
      </c>
      <c r="G694" s="16">
        <v>4400</v>
      </c>
      <c r="H694" s="82" t="s">
        <v>25</v>
      </c>
      <c r="I694" s="15" t="s">
        <v>1797</v>
      </c>
      <c r="J694" s="15">
        <v>20983</v>
      </c>
      <c r="K694" s="15">
        <v>22565</v>
      </c>
      <c r="L694" s="18">
        <v>1582</v>
      </c>
      <c r="M694" s="19">
        <v>2688656</v>
      </c>
      <c r="N694" s="20">
        <v>0</v>
      </c>
      <c r="O694" s="20">
        <v>0</v>
      </c>
      <c r="P694" s="20">
        <v>0</v>
      </c>
      <c r="Q694" s="20">
        <v>0</v>
      </c>
      <c r="R694" s="19">
        <f t="shared" si="93"/>
        <v>2688656</v>
      </c>
      <c r="S694" s="19">
        <v>3000</v>
      </c>
      <c r="T694" s="19">
        <f t="shared" si="94"/>
        <v>2691656</v>
      </c>
      <c r="U694" s="105"/>
      <c r="X694" s="10">
        <f t="shared" si="89"/>
        <v>2688656</v>
      </c>
      <c r="Y694" s="2">
        <f t="shared" si="90"/>
        <v>0</v>
      </c>
      <c r="Z694" s="10">
        <f t="shared" si="95"/>
        <v>0</v>
      </c>
    </row>
    <row r="695" spans="1:26" ht="18" customHeight="1" x14ac:dyDescent="0.25">
      <c r="A695" s="11">
        <v>290</v>
      </c>
      <c r="B695" s="67" t="s">
        <v>1798</v>
      </c>
      <c r="C695" s="14" t="s">
        <v>1799</v>
      </c>
      <c r="D695" s="14" t="s">
        <v>22</v>
      </c>
      <c r="E695" s="14" t="s">
        <v>1800</v>
      </c>
      <c r="F695" s="15" t="s">
        <v>24</v>
      </c>
      <c r="G695" s="16">
        <v>5500</v>
      </c>
      <c r="H695" s="82" t="s">
        <v>25</v>
      </c>
      <c r="I695" s="15" t="s">
        <v>1801</v>
      </c>
      <c r="J695" s="15">
        <v>17954</v>
      </c>
      <c r="K695" s="15">
        <v>19148</v>
      </c>
      <c r="L695" s="18">
        <v>1194</v>
      </c>
      <c r="M695" s="19">
        <v>2029239</v>
      </c>
      <c r="N695" s="20">
        <v>0</v>
      </c>
      <c r="O695" s="20">
        <v>0</v>
      </c>
      <c r="P695" s="20">
        <v>0</v>
      </c>
      <c r="Q695" s="20">
        <v>0</v>
      </c>
      <c r="R695" s="19">
        <f t="shared" si="93"/>
        <v>2029239</v>
      </c>
      <c r="S695" s="19">
        <v>3000</v>
      </c>
      <c r="T695" s="19">
        <f t="shared" si="94"/>
        <v>2032239</v>
      </c>
      <c r="U695" s="105"/>
      <c r="X695" s="10">
        <f t="shared" si="89"/>
        <v>2029239</v>
      </c>
      <c r="Y695" s="2">
        <f t="shared" si="90"/>
        <v>0</v>
      </c>
      <c r="Z695" s="10">
        <f t="shared" si="95"/>
        <v>0</v>
      </c>
    </row>
    <row r="696" spans="1:26" ht="18" customHeight="1" x14ac:dyDescent="0.25">
      <c r="A696" s="11">
        <v>291</v>
      </c>
      <c r="B696" s="67" t="s">
        <v>1802</v>
      </c>
      <c r="C696" s="14" t="s">
        <v>1803</v>
      </c>
      <c r="D696" s="14" t="s">
        <v>22</v>
      </c>
      <c r="E696" s="14" t="s">
        <v>1804</v>
      </c>
      <c r="F696" s="15" t="s">
        <v>24</v>
      </c>
      <c r="G696" s="16">
        <v>5500</v>
      </c>
      <c r="H696" s="82" t="s">
        <v>25</v>
      </c>
      <c r="I696" s="15" t="s">
        <v>1805</v>
      </c>
      <c r="J696" s="15">
        <v>17053</v>
      </c>
      <c r="K696" s="15">
        <v>19443</v>
      </c>
      <c r="L696" s="18">
        <v>2390</v>
      </c>
      <c r="M696" s="19">
        <v>4061877</v>
      </c>
      <c r="N696" s="20">
        <v>0</v>
      </c>
      <c r="O696" s="20">
        <v>0</v>
      </c>
      <c r="P696" s="20">
        <v>0</v>
      </c>
      <c r="Q696" s="20">
        <v>0</v>
      </c>
      <c r="R696" s="19">
        <f t="shared" si="93"/>
        <v>4061877</v>
      </c>
      <c r="S696" s="19">
        <v>3000</v>
      </c>
      <c r="T696" s="19">
        <f t="shared" si="94"/>
        <v>4064877</v>
      </c>
      <c r="U696" s="105"/>
      <c r="X696" s="10">
        <f t="shared" si="89"/>
        <v>4061877</v>
      </c>
      <c r="Y696" s="2">
        <f t="shared" si="90"/>
        <v>0</v>
      </c>
      <c r="Z696" s="10">
        <f t="shared" si="95"/>
        <v>0</v>
      </c>
    </row>
    <row r="697" spans="1:26" ht="18" customHeight="1" x14ac:dyDescent="0.25">
      <c r="A697" s="11">
        <v>292</v>
      </c>
      <c r="B697" s="67" t="s">
        <v>1806</v>
      </c>
      <c r="C697" s="14" t="s">
        <v>1807</v>
      </c>
      <c r="D697" s="14" t="s">
        <v>22</v>
      </c>
      <c r="E697" s="14" t="s">
        <v>1808</v>
      </c>
      <c r="F697" s="15" t="s">
        <v>24</v>
      </c>
      <c r="G697" s="16">
        <v>5500</v>
      </c>
      <c r="H697" s="82" t="s">
        <v>25</v>
      </c>
      <c r="I697" s="15" t="s">
        <v>1809</v>
      </c>
      <c r="J697" s="15">
        <v>20878</v>
      </c>
      <c r="K697" s="15">
        <v>22615</v>
      </c>
      <c r="L697" s="18">
        <v>1737</v>
      </c>
      <c r="M697" s="19">
        <v>2952084</v>
      </c>
      <c r="N697" s="20">
        <v>0</v>
      </c>
      <c r="O697" s="20">
        <v>0</v>
      </c>
      <c r="P697" s="20">
        <v>0</v>
      </c>
      <c r="Q697" s="20">
        <v>0</v>
      </c>
      <c r="R697" s="19">
        <f t="shared" si="93"/>
        <v>2952084</v>
      </c>
      <c r="S697" s="19">
        <v>3000</v>
      </c>
      <c r="T697" s="19">
        <f t="shared" si="94"/>
        <v>2955084</v>
      </c>
      <c r="U697" s="105"/>
      <c r="X697" s="10">
        <f t="shared" si="89"/>
        <v>2952084</v>
      </c>
      <c r="Y697" s="2">
        <f t="shared" si="90"/>
        <v>0</v>
      </c>
      <c r="Z697" s="10">
        <f t="shared" si="95"/>
        <v>0</v>
      </c>
    </row>
    <row r="698" spans="1:26" ht="18" customHeight="1" x14ac:dyDescent="0.25">
      <c r="A698" s="11">
        <v>293</v>
      </c>
      <c r="B698" s="67" t="s">
        <v>1810</v>
      </c>
      <c r="C698" s="14" t="s">
        <v>1811</v>
      </c>
      <c r="D698" s="14" t="s">
        <v>22</v>
      </c>
      <c r="E698" s="14" t="s">
        <v>1812</v>
      </c>
      <c r="F698" s="15" t="s">
        <v>24</v>
      </c>
      <c r="G698" s="16">
        <v>5500</v>
      </c>
      <c r="H698" s="82" t="s">
        <v>25</v>
      </c>
      <c r="I698" s="15" t="s">
        <v>1813</v>
      </c>
      <c r="J698" s="15">
        <v>51173</v>
      </c>
      <c r="K698" s="15">
        <v>53041</v>
      </c>
      <c r="L698" s="18">
        <v>1868</v>
      </c>
      <c r="M698" s="19">
        <v>3174722</v>
      </c>
      <c r="N698" s="20">
        <v>0</v>
      </c>
      <c r="O698" s="20">
        <v>0</v>
      </c>
      <c r="P698" s="20">
        <v>0</v>
      </c>
      <c r="Q698" s="20">
        <v>0</v>
      </c>
      <c r="R698" s="19">
        <f t="shared" si="93"/>
        <v>3174722</v>
      </c>
      <c r="S698" s="19">
        <v>3000</v>
      </c>
      <c r="T698" s="19">
        <f t="shared" si="94"/>
        <v>3177722</v>
      </c>
      <c r="U698" s="105"/>
      <c r="X698" s="10">
        <f t="shared" si="89"/>
        <v>3174722</v>
      </c>
      <c r="Y698" s="2">
        <f t="shared" si="90"/>
        <v>0</v>
      </c>
      <c r="Z698" s="10">
        <f t="shared" si="95"/>
        <v>0</v>
      </c>
    </row>
    <row r="699" spans="1:26" ht="18" customHeight="1" x14ac:dyDescent="0.25">
      <c r="A699" s="11">
        <v>294</v>
      </c>
      <c r="B699" s="67" t="s">
        <v>1814</v>
      </c>
      <c r="C699" s="14" t="s">
        <v>1815</v>
      </c>
      <c r="D699" s="14" t="s">
        <v>22</v>
      </c>
      <c r="E699" s="14" t="s">
        <v>1032</v>
      </c>
      <c r="F699" s="15" t="s">
        <v>24</v>
      </c>
      <c r="G699" s="16">
        <v>4400</v>
      </c>
      <c r="H699" s="82" t="s">
        <v>25</v>
      </c>
      <c r="I699" s="15" t="s">
        <v>1816</v>
      </c>
      <c r="J699" s="15">
        <v>82745</v>
      </c>
      <c r="K699" s="15">
        <v>84150</v>
      </c>
      <c r="L699" s="18">
        <v>1405</v>
      </c>
      <c r="M699" s="19">
        <v>2387840</v>
      </c>
      <c r="N699" s="20">
        <v>0</v>
      </c>
      <c r="O699" s="20">
        <v>0</v>
      </c>
      <c r="P699" s="20">
        <v>0</v>
      </c>
      <c r="Q699" s="20">
        <v>0</v>
      </c>
      <c r="R699" s="19">
        <f t="shared" si="93"/>
        <v>2387840</v>
      </c>
      <c r="S699" s="19">
        <v>3000</v>
      </c>
      <c r="T699" s="19">
        <f t="shared" si="94"/>
        <v>2390840</v>
      </c>
      <c r="U699" s="105"/>
      <c r="X699" s="10">
        <f t="shared" si="89"/>
        <v>2387840</v>
      </c>
      <c r="Y699" s="2">
        <f t="shared" si="90"/>
        <v>0</v>
      </c>
      <c r="Z699" s="10">
        <f t="shared" si="95"/>
        <v>0</v>
      </c>
    </row>
    <row r="700" spans="1:26" ht="18" customHeight="1" x14ac:dyDescent="0.25">
      <c r="A700" s="11">
        <v>295</v>
      </c>
      <c r="B700" s="67" t="s">
        <v>1817</v>
      </c>
      <c r="C700" s="14" t="s">
        <v>1818</v>
      </c>
      <c r="D700" s="14" t="s">
        <v>22</v>
      </c>
      <c r="E700" s="14" t="s">
        <v>1051</v>
      </c>
      <c r="F700" s="15" t="s">
        <v>24</v>
      </c>
      <c r="G700" s="16">
        <v>4400</v>
      </c>
      <c r="H700" s="82" t="s">
        <v>25</v>
      </c>
      <c r="I700" s="15" t="s">
        <v>1819</v>
      </c>
      <c r="J700" s="15">
        <v>74051</v>
      </c>
      <c r="K700" s="15">
        <v>75504</v>
      </c>
      <c r="L700" s="18">
        <v>1453</v>
      </c>
      <c r="M700" s="19">
        <v>2469417</v>
      </c>
      <c r="N700" s="20">
        <v>0</v>
      </c>
      <c r="O700" s="20">
        <v>0</v>
      </c>
      <c r="P700" s="20">
        <v>0</v>
      </c>
      <c r="Q700" s="20">
        <v>0</v>
      </c>
      <c r="R700" s="19">
        <f t="shared" si="93"/>
        <v>2469417</v>
      </c>
      <c r="S700" s="19">
        <v>3000</v>
      </c>
      <c r="T700" s="19">
        <f t="shared" si="94"/>
        <v>2472417</v>
      </c>
      <c r="U700" s="105"/>
      <c r="X700" s="10">
        <f t="shared" si="89"/>
        <v>2469417</v>
      </c>
      <c r="Y700" s="2">
        <f t="shared" si="90"/>
        <v>0</v>
      </c>
      <c r="Z700" s="10">
        <f t="shared" si="95"/>
        <v>0</v>
      </c>
    </row>
    <row r="701" spans="1:26" ht="18" customHeight="1" x14ac:dyDescent="0.25">
      <c r="A701" s="11">
        <v>296</v>
      </c>
      <c r="B701" s="67" t="s">
        <v>1820</v>
      </c>
      <c r="C701" s="14" t="s">
        <v>1821</v>
      </c>
      <c r="D701" s="14" t="s">
        <v>22</v>
      </c>
      <c r="E701" s="14" t="s">
        <v>1270</v>
      </c>
      <c r="F701" s="15" t="s">
        <v>24</v>
      </c>
      <c r="G701" s="16">
        <v>4400</v>
      </c>
      <c r="H701" s="82" t="s">
        <v>25</v>
      </c>
      <c r="I701" s="15" t="s">
        <v>1822</v>
      </c>
      <c r="J701" s="15">
        <v>56456</v>
      </c>
      <c r="K701" s="15">
        <v>58347</v>
      </c>
      <c r="L701" s="18">
        <v>1891</v>
      </c>
      <c r="M701" s="19">
        <v>3213811</v>
      </c>
      <c r="N701" s="20">
        <v>0</v>
      </c>
      <c r="O701" s="20">
        <v>0</v>
      </c>
      <c r="P701" s="20">
        <v>0</v>
      </c>
      <c r="Q701" s="20">
        <v>0</v>
      </c>
      <c r="R701" s="19">
        <f t="shared" si="93"/>
        <v>3213811</v>
      </c>
      <c r="S701" s="19">
        <v>3000</v>
      </c>
      <c r="T701" s="19">
        <f t="shared" si="94"/>
        <v>3216811</v>
      </c>
      <c r="U701" s="105"/>
      <c r="X701" s="10">
        <f t="shared" si="89"/>
        <v>3213811</v>
      </c>
      <c r="Y701" s="2">
        <f t="shared" si="90"/>
        <v>0</v>
      </c>
      <c r="Z701" s="10">
        <f t="shared" si="95"/>
        <v>0</v>
      </c>
    </row>
    <row r="702" spans="1:26" ht="18" customHeight="1" x14ac:dyDescent="0.25">
      <c r="A702" s="11">
        <v>297</v>
      </c>
      <c r="B702" s="67" t="s">
        <v>1823</v>
      </c>
      <c r="C702" s="14" t="s">
        <v>1824</v>
      </c>
      <c r="D702" s="14" t="s">
        <v>22</v>
      </c>
      <c r="E702" s="14" t="s">
        <v>1825</v>
      </c>
      <c r="F702" s="15" t="s">
        <v>24</v>
      </c>
      <c r="G702" s="16">
        <v>5500</v>
      </c>
      <c r="H702" s="82" t="s">
        <v>25</v>
      </c>
      <c r="I702" s="15" t="s">
        <v>1826</v>
      </c>
      <c r="J702" s="15">
        <v>89079</v>
      </c>
      <c r="K702" s="15">
        <v>90280</v>
      </c>
      <c r="L702" s="18">
        <v>1201</v>
      </c>
      <c r="M702" s="19">
        <v>2041136</v>
      </c>
      <c r="N702" s="20">
        <v>0</v>
      </c>
      <c r="O702" s="20">
        <v>0</v>
      </c>
      <c r="P702" s="20">
        <v>0</v>
      </c>
      <c r="Q702" s="20">
        <v>0</v>
      </c>
      <c r="R702" s="19">
        <f t="shared" si="93"/>
        <v>2041136</v>
      </c>
      <c r="S702" s="19">
        <v>3000</v>
      </c>
      <c r="T702" s="19">
        <f t="shared" si="94"/>
        <v>2044136</v>
      </c>
      <c r="U702" s="105"/>
      <c r="X702" s="10">
        <f t="shared" si="89"/>
        <v>2041136</v>
      </c>
      <c r="Y702" s="2">
        <f t="shared" si="90"/>
        <v>0</v>
      </c>
      <c r="Z702" s="10">
        <f t="shared" si="95"/>
        <v>0</v>
      </c>
    </row>
    <row r="703" spans="1:26" ht="18" customHeight="1" x14ac:dyDescent="0.25">
      <c r="A703" s="11">
        <v>298</v>
      </c>
      <c r="B703" s="67" t="s">
        <v>1827</v>
      </c>
      <c r="C703" s="14" t="s">
        <v>1828</v>
      </c>
      <c r="D703" s="14" t="s">
        <v>22</v>
      </c>
      <c r="E703" s="14" t="s">
        <v>1290</v>
      </c>
      <c r="F703" s="15" t="s">
        <v>24</v>
      </c>
      <c r="G703" s="16">
        <v>4400</v>
      </c>
      <c r="H703" s="82" t="s">
        <v>25</v>
      </c>
      <c r="I703" s="15" t="s">
        <v>1829</v>
      </c>
      <c r="J703" s="15">
        <v>32811</v>
      </c>
      <c r="K703" s="15">
        <v>34281</v>
      </c>
      <c r="L703" s="18">
        <v>1470</v>
      </c>
      <c r="M703" s="19">
        <v>2498309</v>
      </c>
      <c r="N703" s="20">
        <v>0</v>
      </c>
      <c r="O703" s="20">
        <v>0</v>
      </c>
      <c r="P703" s="20">
        <v>0</v>
      </c>
      <c r="Q703" s="20">
        <v>0</v>
      </c>
      <c r="R703" s="19">
        <f t="shared" si="93"/>
        <v>2498309</v>
      </c>
      <c r="S703" s="19">
        <v>3000</v>
      </c>
      <c r="T703" s="19">
        <f t="shared" si="94"/>
        <v>2501309</v>
      </c>
      <c r="U703" s="105"/>
      <c r="X703" s="10">
        <f t="shared" si="89"/>
        <v>2498309</v>
      </c>
      <c r="Y703" s="2">
        <f t="shared" si="90"/>
        <v>0</v>
      </c>
      <c r="Z703" s="10">
        <f t="shared" si="95"/>
        <v>0</v>
      </c>
    </row>
    <row r="704" spans="1:26" ht="18" customHeight="1" x14ac:dyDescent="0.25">
      <c r="A704" s="11">
        <v>299</v>
      </c>
      <c r="B704" s="67" t="s">
        <v>1830</v>
      </c>
      <c r="C704" s="14" t="s">
        <v>1831</v>
      </c>
      <c r="D704" s="14" t="s">
        <v>22</v>
      </c>
      <c r="E704" s="14" t="s">
        <v>1236</v>
      </c>
      <c r="F704" s="15" t="s">
        <v>24</v>
      </c>
      <c r="G704" s="16">
        <v>4400</v>
      </c>
      <c r="H704" s="82" t="s">
        <v>25</v>
      </c>
      <c r="I704" s="15" t="s">
        <v>1832</v>
      </c>
      <c r="J704" s="15">
        <v>30386</v>
      </c>
      <c r="K704" s="15">
        <v>30575</v>
      </c>
      <c r="L704" s="18">
        <v>189</v>
      </c>
      <c r="M704" s="19">
        <v>321211</v>
      </c>
      <c r="N704" s="20">
        <v>0</v>
      </c>
      <c r="O704" s="20">
        <v>0</v>
      </c>
      <c r="P704" s="20">
        <v>0</v>
      </c>
      <c r="Q704" s="20">
        <v>0</v>
      </c>
      <c r="R704" s="19">
        <f t="shared" si="93"/>
        <v>321211</v>
      </c>
      <c r="S704" s="19">
        <v>3000</v>
      </c>
      <c r="T704" s="19">
        <f t="shared" si="94"/>
        <v>324211</v>
      </c>
      <c r="U704" s="105"/>
      <c r="X704" s="10">
        <f t="shared" si="89"/>
        <v>321211</v>
      </c>
      <c r="Y704" s="2">
        <f t="shared" si="90"/>
        <v>0</v>
      </c>
      <c r="Z704" s="10">
        <f t="shared" si="95"/>
        <v>0</v>
      </c>
    </row>
    <row r="705" spans="1:26" ht="18" customHeight="1" x14ac:dyDescent="0.25">
      <c r="A705" s="11">
        <v>300</v>
      </c>
      <c r="B705" s="67" t="s">
        <v>1833</v>
      </c>
      <c r="C705" s="14" t="s">
        <v>1834</v>
      </c>
      <c r="D705" s="14" t="s">
        <v>22</v>
      </c>
      <c r="E705" s="14" t="s">
        <v>1835</v>
      </c>
      <c r="F705" s="15" t="s">
        <v>24</v>
      </c>
      <c r="G705" s="16">
        <v>4400</v>
      </c>
      <c r="H705" s="82" t="s">
        <v>25</v>
      </c>
      <c r="I705" s="15" t="s">
        <v>1836</v>
      </c>
      <c r="J705" s="15">
        <v>76953</v>
      </c>
      <c r="K705" s="15">
        <v>77921</v>
      </c>
      <c r="L705" s="18">
        <v>968</v>
      </c>
      <c r="M705" s="19">
        <v>1645145</v>
      </c>
      <c r="N705" s="20">
        <v>0</v>
      </c>
      <c r="O705" s="20">
        <v>0</v>
      </c>
      <c r="P705" s="20">
        <v>0</v>
      </c>
      <c r="Q705" s="20">
        <v>0</v>
      </c>
      <c r="R705" s="19">
        <f t="shared" si="93"/>
        <v>1645145</v>
      </c>
      <c r="S705" s="19">
        <v>3000</v>
      </c>
      <c r="T705" s="19">
        <f t="shared" si="94"/>
        <v>1648145</v>
      </c>
      <c r="U705" s="105"/>
      <c r="X705" s="10">
        <f t="shared" si="89"/>
        <v>1645145</v>
      </c>
      <c r="Y705" s="2">
        <f t="shared" si="90"/>
        <v>0</v>
      </c>
      <c r="Z705" s="10">
        <f t="shared" si="95"/>
        <v>0</v>
      </c>
    </row>
    <row r="706" spans="1:26" ht="18" customHeight="1" x14ac:dyDescent="0.25">
      <c r="A706" s="11">
        <v>301</v>
      </c>
      <c r="B706" s="67" t="s">
        <v>1837</v>
      </c>
      <c r="C706" s="14" t="s">
        <v>1838</v>
      </c>
      <c r="D706" s="14" t="s">
        <v>22</v>
      </c>
      <c r="E706" s="14" t="s">
        <v>1839</v>
      </c>
      <c r="F706" s="15" t="s">
        <v>24</v>
      </c>
      <c r="G706" s="16">
        <v>5500</v>
      </c>
      <c r="H706" s="82" t="s">
        <v>25</v>
      </c>
      <c r="I706" s="15" t="s">
        <v>1840</v>
      </c>
      <c r="J706" s="15">
        <v>13412</v>
      </c>
      <c r="K706" s="15">
        <v>14783</v>
      </c>
      <c r="L706" s="18">
        <v>1371</v>
      </c>
      <c r="M706" s="19">
        <v>2330056</v>
      </c>
      <c r="N706" s="20">
        <v>0</v>
      </c>
      <c r="O706" s="20">
        <v>0</v>
      </c>
      <c r="P706" s="20">
        <v>0</v>
      </c>
      <c r="Q706" s="20">
        <v>0</v>
      </c>
      <c r="R706" s="19">
        <f t="shared" si="93"/>
        <v>2330056</v>
      </c>
      <c r="S706" s="19">
        <v>3000</v>
      </c>
      <c r="T706" s="19">
        <f t="shared" si="94"/>
        <v>2333056</v>
      </c>
      <c r="U706" s="105"/>
      <c r="X706" s="10">
        <f t="shared" si="89"/>
        <v>2330056</v>
      </c>
      <c r="Y706" s="2">
        <f t="shared" si="90"/>
        <v>0</v>
      </c>
      <c r="Z706" s="10">
        <f t="shared" si="95"/>
        <v>0</v>
      </c>
    </row>
    <row r="707" spans="1:26" ht="18" customHeight="1" x14ac:dyDescent="0.25">
      <c r="A707" s="11">
        <v>302</v>
      </c>
      <c r="B707" s="67" t="s">
        <v>1841</v>
      </c>
      <c r="C707" s="14" t="s">
        <v>1842</v>
      </c>
      <c r="D707" s="14" t="s">
        <v>22</v>
      </c>
      <c r="E707" s="14" t="s">
        <v>1835</v>
      </c>
      <c r="F707" s="15" t="s">
        <v>24</v>
      </c>
      <c r="G707" s="16">
        <v>4400</v>
      </c>
      <c r="H707" s="82" t="s">
        <v>25</v>
      </c>
      <c r="I707" s="15" t="s">
        <v>1843</v>
      </c>
      <c r="J707" s="15">
        <v>75149</v>
      </c>
      <c r="K707" s="15">
        <v>76335</v>
      </c>
      <c r="L707" s="18">
        <v>1186</v>
      </c>
      <c r="M707" s="19">
        <v>2015643</v>
      </c>
      <c r="N707" s="20">
        <v>0</v>
      </c>
      <c r="O707" s="20">
        <v>0</v>
      </c>
      <c r="P707" s="20">
        <v>0</v>
      </c>
      <c r="Q707" s="20">
        <v>0</v>
      </c>
      <c r="R707" s="19">
        <f t="shared" si="93"/>
        <v>2015643</v>
      </c>
      <c r="S707" s="19">
        <v>3000</v>
      </c>
      <c r="T707" s="19">
        <f t="shared" si="94"/>
        <v>2018643</v>
      </c>
      <c r="U707" s="105"/>
      <c r="X707" s="10">
        <f t="shared" si="89"/>
        <v>2015643</v>
      </c>
      <c r="Y707" s="2">
        <f t="shared" si="90"/>
        <v>0</v>
      </c>
      <c r="Z707" s="10">
        <f t="shared" si="95"/>
        <v>0</v>
      </c>
    </row>
    <row r="708" spans="1:26" ht="18" customHeight="1" x14ac:dyDescent="0.25">
      <c r="A708" s="11">
        <v>303</v>
      </c>
      <c r="B708" s="67" t="s">
        <v>1844</v>
      </c>
      <c r="C708" s="14" t="s">
        <v>1845</v>
      </c>
      <c r="D708" s="14" t="s">
        <v>22</v>
      </c>
      <c r="E708" s="14" t="s">
        <v>1846</v>
      </c>
      <c r="F708" s="15" t="s">
        <v>24</v>
      </c>
      <c r="G708" s="16">
        <v>4400</v>
      </c>
      <c r="H708" s="82" t="s">
        <v>25</v>
      </c>
      <c r="I708" s="15" t="s">
        <v>1847</v>
      </c>
      <c r="J708" s="15">
        <v>88676</v>
      </c>
      <c r="K708" s="15">
        <v>90032</v>
      </c>
      <c r="L708" s="18">
        <v>1356</v>
      </c>
      <c r="M708" s="19">
        <v>2304563</v>
      </c>
      <c r="N708" s="20">
        <v>0</v>
      </c>
      <c r="O708" s="20">
        <v>0</v>
      </c>
      <c r="P708" s="20">
        <v>0</v>
      </c>
      <c r="Q708" s="20">
        <v>0</v>
      </c>
      <c r="R708" s="19">
        <f t="shared" si="93"/>
        <v>2304563</v>
      </c>
      <c r="S708" s="19">
        <v>3000</v>
      </c>
      <c r="T708" s="19">
        <f t="shared" si="94"/>
        <v>2307563</v>
      </c>
      <c r="U708" s="105"/>
      <c r="X708" s="10">
        <f t="shared" si="89"/>
        <v>2304563</v>
      </c>
      <c r="Y708" s="2">
        <f t="shared" si="90"/>
        <v>0</v>
      </c>
      <c r="Z708" s="10">
        <f t="shared" si="95"/>
        <v>0</v>
      </c>
    </row>
    <row r="709" spans="1:26" ht="18" customHeight="1" x14ac:dyDescent="0.25">
      <c r="A709" s="11">
        <v>304</v>
      </c>
      <c r="B709" s="67" t="s">
        <v>1848</v>
      </c>
      <c r="C709" s="14" t="s">
        <v>1849</v>
      </c>
      <c r="D709" s="14" t="s">
        <v>22</v>
      </c>
      <c r="E709" s="14" t="s">
        <v>1850</v>
      </c>
      <c r="F709" s="15" t="s">
        <v>24</v>
      </c>
      <c r="G709" s="16">
        <v>5500</v>
      </c>
      <c r="H709" s="82" t="s">
        <v>25</v>
      </c>
      <c r="I709" s="15" t="s">
        <v>1851</v>
      </c>
      <c r="J709" s="15">
        <v>59927</v>
      </c>
      <c r="K709" s="15">
        <v>60020</v>
      </c>
      <c r="L709" s="18">
        <v>220</v>
      </c>
      <c r="M709" s="19">
        <v>373897</v>
      </c>
      <c r="N709" s="20">
        <v>0</v>
      </c>
      <c r="O709" s="20">
        <v>0</v>
      </c>
      <c r="P709" s="20">
        <v>0</v>
      </c>
      <c r="Q709" s="20">
        <v>0</v>
      </c>
      <c r="R709" s="19">
        <f t="shared" si="93"/>
        <v>373897</v>
      </c>
      <c r="S709" s="19">
        <v>3000</v>
      </c>
      <c r="T709" s="19">
        <f t="shared" si="94"/>
        <v>376897</v>
      </c>
      <c r="U709" s="105"/>
      <c r="X709" s="10">
        <f t="shared" si="89"/>
        <v>373897</v>
      </c>
      <c r="Y709" s="2">
        <f t="shared" si="90"/>
        <v>0</v>
      </c>
      <c r="Z709" s="10">
        <f t="shared" si="95"/>
        <v>0</v>
      </c>
    </row>
    <row r="710" spans="1:26" ht="18" customHeight="1" x14ac:dyDescent="0.25">
      <c r="A710" s="11">
        <v>305</v>
      </c>
      <c r="B710" s="67" t="s">
        <v>1852</v>
      </c>
      <c r="C710" s="14" t="s">
        <v>966</v>
      </c>
      <c r="D710" s="14" t="s">
        <v>22</v>
      </c>
      <c r="E710" s="14" t="s">
        <v>1853</v>
      </c>
      <c r="F710" s="15" t="s">
        <v>24</v>
      </c>
      <c r="G710" s="16">
        <v>5500</v>
      </c>
      <c r="H710" s="82" t="s">
        <v>25</v>
      </c>
      <c r="I710" s="15" t="s">
        <v>1854</v>
      </c>
      <c r="J710" s="15">
        <v>8441</v>
      </c>
      <c r="K710" s="15">
        <v>10501</v>
      </c>
      <c r="L710" s="18">
        <v>2060</v>
      </c>
      <c r="M710" s="19">
        <v>3501032</v>
      </c>
      <c r="N710" s="20">
        <v>0</v>
      </c>
      <c r="O710" s="20">
        <v>0</v>
      </c>
      <c r="P710" s="20">
        <v>0</v>
      </c>
      <c r="Q710" s="20">
        <v>0</v>
      </c>
      <c r="R710" s="19">
        <f t="shared" si="93"/>
        <v>3501032</v>
      </c>
      <c r="S710" s="19">
        <v>3000</v>
      </c>
      <c r="T710" s="19">
        <f t="shared" si="94"/>
        <v>3504032</v>
      </c>
      <c r="U710" s="105"/>
      <c r="X710" s="10">
        <f t="shared" si="89"/>
        <v>3501032</v>
      </c>
      <c r="Y710" s="2">
        <f t="shared" si="90"/>
        <v>0</v>
      </c>
      <c r="Z710" s="10">
        <f t="shared" si="95"/>
        <v>0</v>
      </c>
    </row>
    <row r="711" spans="1:26" ht="18" customHeight="1" x14ac:dyDescent="0.25">
      <c r="A711" s="11">
        <v>306</v>
      </c>
      <c r="B711" s="67" t="s">
        <v>1855</v>
      </c>
      <c r="C711" s="14" t="s">
        <v>1856</v>
      </c>
      <c r="D711" s="14" t="s">
        <v>240</v>
      </c>
      <c r="E711" s="14" t="s">
        <v>1857</v>
      </c>
      <c r="F711" s="15" t="s">
        <v>24</v>
      </c>
      <c r="G711" s="16">
        <v>2200</v>
      </c>
      <c r="H711" s="82" t="s">
        <v>25</v>
      </c>
      <c r="I711" s="15" t="s">
        <v>1858</v>
      </c>
      <c r="J711" s="15">
        <v>1854</v>
      </c>
      <c r="K711" s="15">
        <v>1923</v>
      </c>
      <c r="L711" s="18">
        <v>88</v>
      </c>
      <c r="M711" s="19">
        <v>149559</v>
      </c>
      <c r="N711" s="20">
        <v>0</v>
      </c>
      <c r="O711" s="20">
        <v>0</v>
      </c>
      <c r="P711" s="20">
        <v>0</v>
      </c>
      <c r="Q711" s="20">
        <v>0</v>
      </c>
      <c r="R711" s="19">
        <f t="shared" si="93"/>
        <v>149559</v>
      </c>
      <c r="S711" s="19">
        <v>3000</v>
      </c>
      <c r="T711" s="19">
        <f t="shared" si="94"/>
        <v>152559</v>
      </c>
      <c r="U711" s="105"/>
      <c r="X711" s="10">
        <f t="shared" si="89"/>
        <v>149559</v>
      </c>
      <c r="Y711" s="2">
        <f t="shared" si="90"/>
        <v>0</v>
      </c>
      <c r="Z711" s="10">
        <f t="shared" si="95"/>
        <v>0</v>
      </c>
    </row>
    <row r="712" spans="1:26" ht="18" customHeight="1" x14ac:dyDescent="0.25">
      <c r="A712" s="11">
        <v>307</v>
      </c>
      <c r="B712" s="67" t="s">
        <v>1859</v>
      </c>
      <c r="C712" s="14" t="s">
        <v>1860</v>
      </c>
      <c r="D712" s="14" t="s">
        <v>28</v>
      </c>
      <c r="E712" s="14" t="s">
        <v>1861</v>
      </c>
      <c r="F712" s="15" t="s">
        <v>24</v>
      </c>
      <c r="G712" s="16">
        <v>3500</v>
      </c>
      <c r="H712" s="82" t="s">
        <v>25</v>
      </c>
      <c r="I712" s="15" t="s">
        <v>1862</v>
      </c>
      <c r="J712" s="15">
        <v>23665</v>
      </c>
      <c r="K712" s="15">
        <v>24405</v>
      </c>
      <c r="L712" s="18">
        <v>740</v>
      </c>
      <c r="M712" s="19">
        <v>1257652</v>
      </c>
      <c r="N712" s="20">
        <v>0</v>
      </c>
      <c r="O712" s="20">
        <v>0</v>
      </c>
      <c r="P712" s="20">
        <v>0</v>
      </c>
      <c r="Q712" s="20">
        <v>0</v>
      </c>
      <c r="R712" s="19">
        <f t="shared" si="93"/>
        <v>1257652</v>
      </c>
      <c r="S712" s="19">
        <v>3000</v>
      </c>
      <c r="T712" s="19">
        <f t="shared" si="94"/>
        <v>1260652</v>
      </c>
      <c r="U712" s="105"/>
      <c r="X712" s="10">
        <f t="shared" si="89"/>
        <v>1257652</v>
      </c>
      <c r="Y712" s="2">
        <f t="shared" si="90"/>
        <v>0</v>
      </c>
      <c r="Z712" s="10">
        <f t="shared" si="95"/>
        <v>0</v>
      </c>
    </row>
    <row r="713" spans="1:26" ht="18" customHeight="1" x14ac:dyDescent="0.25">
      <c r="A713" s="11">
        <v>308</v>
      </c>
      <c r="B713" s="67" t="s">
        <v>1863</v>
      </c>
      <c r="C713" s="14" t="s">
        <v>1864</v>
      </c>
      <c r="D713" s="14" t="s">
        <v>28</v>
      </c>
      <c r="E713" s="14" t="s">
        <v>1865</v>
      </c>
      <c r="F713" s="15" t="s">
        <v>24</v>
      </c>
      <c r="G713" s="16">
        <v>3500</v>
      </c>
      <c r="H713" s="82" t="s">
        <v>25</v>
      </c>
      <c r="I713" s="15" t="s">
        <v>1866</v>
      </c>
      <c r="J713" s="15">
        <v>25184</v>
      </c>
      <c r="K713" s="15">
        <v>26171</v>
      </c>
      <c r="L713" s="18">
        <v>987</v>
      </c>
      <c r="M713" s="19">
        <v>1677436</v>
      </c>
      <c r="N713" s="20">
        <v>0</v>
      </c>
      <c r="O713" s="20">
        <v>0</v>
      </c>
      <c r="P713" s="20">
        <v>0</v>
      </c>
      <c r="Q713" s="20">
        <v>0</v>
      </c>
      <c r="R713" s="19">
        <f t="shared" si="93"/>
        <v>1677436</v>
      </c>
      <c r="S713" s="19">
        <v>3000</v>
      </c>
      <c r="T713" s="19">
        <f t="shared" si="94"/>
        <v>1680436</v>
      </c>
      <c r="U713" s="105"/>
      <c r="X713" s="10">
        <f t="shared" ref="X713:X776" si="96">M713+N713+O713+P713</f>
        <v>1677436</v>
      </c>
      <c r="Y713" s="2">
        <f t="shared" ref="Y713:Y776" si="97">IF(X713&gt;5000000,10000,IF(V713&lt;5000000,0,IF(V713=5000000,10000)))</f>
        <v>0</v>
      </c>
      <c r="Z713" s="10">
        <f t="shared" si="95"/>
        <v>0</v>
      </c>
    </row>
    <row r="714" spans="1:26" ht="18" customHeight="1" x14ac:dyDescent="0.25">
      <c r="A714" s="11">
        <v>309</v>
      </c>
      <c r="B714" s="67" t="s">
        <v>1867</v>
      </c>
      <c r="C714" s="14" t="s">
        <v>1868</v>
      </c>
      <c r="D714" s="14" t="s">
        <v>240</v>
      </c>
      <c r="E714" s="14" t="s">
        <v>1869</v>
      </c>
      <c r="F714" s="15" t="s">
        <v>24</v>
      </c>
      <c r="G714" s="16">
        <v>1300</v>
      </c>
      <c r="H714" s="82" t="s">
        <v>25</v>
      </c>
      <c r="I714" s="15" t="s">
        <v>1870</v>
      </c>
      <c r="J714" s="15">
        <v>10709</v>
      </c>
      <c r="K714" s="15">
        <v>10879</v>
      </c>
      <c r="L714" s="18">
        <v>170</v>
      </c>
      <c r="M714" s="19">
        <v>288920</v>
      </c>
      <c r="N714" s="20">
        <v>0</v>
      </c>
      <c r="O714" s="20">
        <v>0</v>
      </c>
      <c r="P714" s="20">
        <v>0</v>
      </c>
      <c r="Q714" s="20">
        <v>0</v>
      </c>
      <c r="R714" s="19">
        <f t="shared" si="93"/>
        <v>288920</v>
      </c>
      <c r="S714" s="19">
        <v>3000</v>
      </c>
      <c r="T714" s="19">
        <f t="shared" si="94"/>
        <v>291920</v>
      </c>
      <c r="U714" s="105"/>
      <c r="X714" s="10">
        <f t="shared" si="96"/>
        <v>288920</v>
      </c>
      <c r="Y714" s="2">
        <f t="shared" si="97"/>
        <v>0</v>
      </c>
      <c r="Z714" s="10">
        <f t="shared" si="95"/>
        <v>0</v>
      </c>
    </row>
    <row r="715" spans="1:26" ht="18" customHeight="1" x14ac:dyDescent="0.25">
      <c r="A715" s="11">
        <v>310</v>
      </c>
      <c r="B715" s="67" t="s">
        <v>1871</v>
      </c>
      <c r="C715" s="14" t="s">
        <v>1872</v>
      </c>
      <c r="D715" s="14" t="s">
        <v>28</v>
      </c>
      <c r="E715" s="14" t="s">
        <v>1873</v>
      </c>
      <c r="F715" s="15" t="s">
        <v>24</v>
      </c>
      <c r="G715" s="16">
        <v>3500</v>
      </c>
      <c r="H715" s="82" t="s">
        <v>25</v>
      </c>
      <c r="I715" s="15" t="s">
        <v>1874</v>
      </c>
      <c r="J715" s="15">
        <v>26344</v>
      </c>
      <c r="K715" s="15">
        <v>27542</v>
      </c>
      <c r="L715" s="18">
        <v>1198</v>
      </c>
      <c r="M715" s="19">
        <v>2036037</v>
      </c>
      <c r="N715" s="20">
        <v>0</v>
      </c>
      <c r="O715" s="20">
        <v>0</v>
      </c>
      <c r="P715" s="20">
        <v>0</v>
      </c>
      <c r="Q715" s="20">
        <v>0</v>
      </c>
      <c r="R715" s="19">
        <f t="shared" si="93"/>
        <v>2036037</v>
      </c>
      <c r="S715" s="19">
        <v>3000</v>
      </c>
      <c r="T715" s="19">
        <f t="shared" si="94"/>
        <v>2039037</v>
      </c>
      <c r="U715" s="105"/>
      <c r="X715" s="10">
        <f t="shared" si="96"/>
        <v>2036037</v>
      </c>
      <c r="Y715" s="2">
        <f t="shared" si="97"/>
        <v>0</v>
      </c>
      <c r="Z715" s="10">
        <f t="shared" si="95"/>
        <v>0</v>
      </c>
    </row>
    <row r="716" spans="1:26" ht="18" customHeight="1" x14ac:dyDescent="0.25">
      <c r="A716" s="11">
        <v>311</v>
      </c>
      <c r="B716" s="67" t="s">
        <v>1875</v>
      </c>
      <c r="C716" s="14" t="s">
        <v>1876</v>
      </c>
      <c r="D716" s="14" t="s">
        <v>28</v>
      </c>
      <c r="E716" s="14" t="s">
        <v>1877</v>
      </c>
      <c r="F716" s="15" t="s">
        <v>24</v>
      </c>
      <c r="G716" s="16">
        <v>4400</v>
      </c>
      <c r="H716" s="82" t="s">
        <v>25</v>
      </c>
      <c r="I716" s="15" t="s">
        <v>1878</v>
      </c>
      <c r="J716" s="15">
        <v>23230</v>
      </c>
      <c r="K716" s="15">
        <v>23869</v>
      </c>
      <c r="L716" s="18">
        <v>639</v>
      </c>
      <c r="M716" s="19">
        <v>1086000</v>
      </c>
      <c r="N716" s="20">
        <v>0</v>
      </c>
      <c r="O716" s="20">
        <v>0</v>
      </c>
      <c r="P716" s="20">
        <v>0</v>
      </c>
      <c r="Q716" s="20">
        <v>0</v>
      </c>
      <c r="R716" s="19">
        <f t="shared" si="93"/>
        <v>1086000</v>
      </c>
      <c r="S716" s="19">
        <v>3000</v>
      </c>
      <c r="T716" s="19">
        <f t="shared" si="94"/>
        <v>1089000</v>
      </c>
      <c r="U716" s="105"/>
      <c r="X716" s="10">
        <f t="shared" si="96"/>
        <v>1086000</v>
      </c>
      <c r="Y716" s="2">
        <f t="shared" si="97"/>
        <v>0</v>
      </c>
      <c r="Z716" s="10">
        <f t="shared" si="95"/>
        <v>0</v>
      </c>
    </row>
    <row r="717" spans="1:26" ht="18" customHeight="1" x14ac:dyDescent="0.25">
      <c r="A717" s="11">
        <v>312</v>
      </c>
      <c r="B717" s="67" t="s">
        <v>1879</v>
      </c>
      <c r="C717" s="14" t="s">
        <v>1880</v>
      </c>
      <c r="D717" s="14" t="s">
        <v>240</v>
      </c>
      <c r="E717" s="14" t="s">
        <v>1881</v>
      </c>
      <c r="F717" s="15" t="s">
        <v>24</v>
      </c>
      <c r="G717" s="16">
        <v>1300</v>
      </c>
      <c r="H717" s="82" t="s">
        <v>25</v>
      </c>
      <c r="I717" s="15" t="s">
        <v>1882</v>
      </c>
      <c r="J717" s="15">
        <v>2051</v>
      </c>
      <c r="K717" s="15">
        <v>2140</v>
      </c>
      <c r="L717" s="18">
        <v>89</v>
      </c>
      <c r="M717" s="19">
        <v>151258</v>
      </c>
      <c r="N717" s="20">
        <v>0</v>
      </c>
      <c r="O717" s="20">
        <v>0</v>
      </c>
      <c r="P717" s="20">
        <v>0</v>
      </c>
      <c r="Q717" s="20">
        <v>0</v>
      </c>
      <c r="R717" s="19">
        <f t="shared" si="93"/>
        <v>151258</v>
      </c>
      <c r="S717" s="19">
        <v>3000</v>
      </c>
      <c r="T717" s="19">
        <f t="shared" si="94"/>
        <v>154258</v>
      </c>
      <c r="U717" s="105"/>
      <c r="X717" s="10">
        <f t="shared" si="96"/>
        <v>151258</v>
      </c>
      <c r="Y717" s="2">
        <f t="shared" si="97"/>
        <v>0</v>
      </c>
      <c r="Z717" s="10">
        <f t="shared" si="95"/>
        <v>0</v>
      </c>
    </row>
    <row r="718" spans="1:26" ht="18" customHeight="1" x14ac:dyDescent="0.25">
      <c r="A718" s="11">
        <v>313</v>
      </c>
      <c r="B718" s="67" t="s">
        <v>1883</v>
      </c>
      <c r="C718" s="14" t="s">
        <v>1884</v>
      </c>
      <c r="D718" s="14" t="s">
        <v>240</v>
      </c>
      <c r="E718" s="14" t="s">
        <v>1885</v>
      </c>
      <c r="F718" s="15" t="s">
        <v>24</v>
      </c>
      <c r="G718" s="16">
        <v>1300</v>
      </c>
      <c r="H718" s="82" t="s">
        <v>25</v>
      </c>
      <c r="I718" s="15" t="s">
        <v>1886</v>
      </c>
      <c r="J718" s="15">
        <v>2366</v>
      </c>
      <c r="K718" s="15">
        <v>2550</v>
      </c>
      <c r="L718" s="18">
        <v>184</v>
      </c>
      <c r="M718" s="19">
        <v>312714</v>
      </c>
      <c r="N718" s="20">
        <v>0</v>
      </c>
      <c r="O718" s="20">
        <v>0</v>
      </c>
      <c r="P718" s="20">
        <v>0</v>
      </c>
      <c r="Q718" s="20">
        <v>0</v>
      </c>
      <c r="R718" s="19">
        <f t="shared" si="93"/>
        <v>312714</v>
      </c>
      <c r="S718" s="19">
        <v>3000</v>
      </c>
      <c r="T718" s="19">
        <f t="shared" si="94"/>
        <v>315714</v>
      </c>
      <c r="U718" s="105"/>
      <c r="X718" s="10">
        <f t="shared" si="96"/>
        <v>312714</v>
      </c>
      <c r="Y718" s="2">
        <f t="shared" si="97"/>
        <v>0</v>
      </c>
      <c r="Z718" s="10">
        <f t="shared" si="95"/>
        <v>0</v>
      </c>
    </row>
    <row r="719" spans="1:26" ht="18" customHeight="1" x14ac:dyDescent="0.25">
      <c r="A719" s="11">
        <v>314</v>
      </c>
      <c r="B719" s="67" t="s">
        <v>1887</v>
      </c>
      <c r="C719" s="14" t="s">
        <v>1888</v>
      </c>
      <c r="D719" s="14" t="s">
        <v>28</v>
      </c>
      <c r="E719" s="14" t="s">
        <v>1889</v>
      </c>
      <c r="F719" s="15" t="s">
        <v>24</v>
      </c>
      <c r="G719" s="16">
        <v>3500</v>
      </c>
      <c r="H719" s="82" t="s">
        <v>25</v>
      </c>
      <c r="I719" s="15" t="s">
        <v>1890</v>
      </c>
      <c r="J719" s="15">
        <v>21025</v>
      </c>
      <c r="K719" s="15">
        <v>22394</v>
      </c>
      <c r="L719" s="18">
        <v>1369</v>
      </c>
      <c r="M719" s="19">
        <v>2326657</v>
      </c>
      <c r="N719" s="20">
        <v>0</v>
      </c>
      <c r="O719" s="20">
        <v>0</v>
      </c>
      <c r="P719" s="20">
        <v>0</v>
      </c>
      <c r="Q719" s="20">
        <v>0</v>
      </c>
      <c r="R719" s="19">
        <f t="shared" si="93"/>
        <v>2326657</v>
      </c>
      <c r="S719" s="19">
        <v>3000</v>
      </c>
      <c r="T719" s="19">
        <f t="shared" si="94"/>
        <v>2329657</v>
      </c>
      <c r="U719" s="105"/>
      <c r="X719" s="10">
        <f t="shared" si="96"/>
        <v>2326657</v>
      </c>
      <c r="Y719" s="2">
        <f t="shared" si="97"/>
        <v>0</v>
      </c>
      <c r="Z719" s="10">
        <f t="shared" si="95"/>
        <v>0</v>
      </c>
    </row>
    <row r="720" spans="1:26" ht="18" customHeight="1" x14ac:dyDescent="0.25">
      <c r="A720" s="11">
        <v>315</v>
      </c>
      <c r="B720" s="67" t="s">
        <v>1891</v>
      </c>
      <c r="C720" s="14" t="s">
        <v>1892</v>
      </c>
      <c r="D720" s="14" t="s">
        <v>240</v>
      </c>
      <c r="E720" s="14" t="s">
        <v>1893</v>
      </c>
      <c r="F720" s="15" t="s">
        <v>24</v>
      </c>
      <c r="G720" s="16">
        <v>1300</v>
      </c>
      <c r="H720" s="82" t="s">
        <v>25</v>
      </c>
      <c r="I720" s="15" t="s">
        <v>1894</v>
      </c>
      <c r="J720" s="15">
        <v>2405</v>
      </c>
      <c r="K720" s="15">
        <v>2428</v>
      </c>
      <c r="L720" s="18">
        <v>52</v>
      </c>
      <c r="M720" s="19">
        <v>88376</v>
      </c>
      <c r="N720" s="20">
        <v>0</v>
      </c>
      <c r="O720" s="20">
        <v>0</v>
      </c>
      <c r="P720" s="20">
        <v>0</v>
      </c>
      <c r="Q720" s="20">
        <v>0</v>
      </c>
      <c r="R720" s="19">
        <f t="shared" si="93"/>
        <v>88376</v>
      </c>
      <c r="S720" s="19">
        <v>3000</v>
      </c>
      <c r="T720" s="19">
        <f t="shared" si="94"/>
        <v>91376</v>
      </c>
      <c r="U720" s="105"/>
      <c r="X720" s="10">
        <f t="shared" si="96"/>
        <v>88376</v>
      </c>
      <c r="Y720" s="2">
        <f t="shared" si="97"/>
        <v>0</v>
      </c>
      <c r="Z720" s="10">
        <f t="shared" si="95"/>
        <v>0</v>
      </c>
    </row>
    <row r="721" spans="1:26" ht="18" customHeight="1" x14ac:dyDescent="0.25">
      <c r="A721" s="11">
        <v>316</v>
      </c>
      <c r="B721" s="67" t="s">
        <v>1895</v>
      </c>
      <c r="C721" s="14" t="s">
        <v>1896</v>
      </c>
      <c r="D721" s="14" t="s">
        <v>28</v>
      </c>
      <c r="E721" s="14" t="s">
        <v>1897</v>
      </c>
      <c r="F721" s="15" t="s">
        <v>24</v>
      </c>
      <c r="G721" s="16">
        <v>4400</v>
      </c>
      <c r="H721" s="82" t="s">
        <v>25</v>
      </c>
      <c r="I721" s="15" t="s">
        <v>1898</v>
      </c>
      <c r="J721" s="15">
        <v>1365</v>
      </c>
      <c r="K721" s="15">
        <v>1481</v>
      </c>
      <c r="L721" s="18">
        <v>176</v>
      </c>
      <c r="M721" s="19">
        <v>299117</v>
      </c>
      <c r="N721" s="20">
        <v>0</v>
      </c>
      <c r="O721" s="20">
        <v>0</v>
      </c>
      <c r="P721" s="20">
        <v>0</v>
      </c>
      <c r="Q721" s="20">
        <v>0</v>
      </c>
      <c r="R721" s="19">
        <f t="shared" si="93"/>
        <v>299117</v>
      </c>
      <c r="S721" s="19">
        <v>3000</v>
      </c>
      <c r="T721" s="19">
        <f t="shared" si="94"/>
        <v>302117</v>
      </c>
      <c r="U721" s="105"/>
      <c r="X721" s="10">
        <f t="shared" si="96"/>
        <v>299117</v>
      </c>
      <c r="Y721" s="2">
        <f t="shared" si="97"/>
        <v>0</v>
      </c>
      <c r="Z721" s="10">
        <f t="shared" si="95"/>
        <v>0</v>
      </c>
    </row>
    <row r="722" spans="1:26" ht="18" customHeight="1" x14ac:dyDescent="0.25">
      <c r="A722" s="11">
        <v>317</v>
      </c>
      <c r="B722" s="67" t="s">
        <v>1899</v>
      </c>
      <c r="C722" s="14" t="s">
        <v>1900</v>
      </c>
      <c r="D722" s="14" t="s">
        <v>240</v>
      </c>
      <c r="E722" s="14" t="s">
        <v>1901</v>
      </c>
      <c r="F722" s="15" t="s">
        <v>24</v>
      </c>
      <c r="G722" s="16">
        <v>900</v>
      </c>
      <c r="H722" s="82" t="s">
        <v>25</v>
      </c>
      <c r="I722" s="15" t="s">
        <v>1902</v>
      </c>
      <c r="J722" s="15">
        <v>2171</v>
      </c>
      <c r="K722" s="15">
        <v>2297</v>
      </c>
      <c r="L722" s="18">
        <v>126</v>
      </c>
      <c r="M722" s="19">
        <v>214141</v>
      </c>
      <c r="N722" s="20">
        <v>0</v>
      </c>
      <c r="O722" s="20">
        <v>0</v>
      </c>
      <c r="P722" s="20">
        <v>0</v>
      </c>
      <c r="Q722" s="20">
        <v>0</v>
      </c>
      <c r="R722" s="19">
        <f t="shared" si="93"/>
        <v>214141</v>
      </c>
      <c r="S722" s="19">
        <v>3000</v>
      </c>
      <c r="T722" s="19">
        <f t="shared" si="94"/>
        <v>217141</v>
      </c>
      <c r="U722" s="105"/>
      <c r="X722" s="10">
        <f t="shared" si="96"/>
        <v>214141</v>
      </c>
      <c r="Y722" s="2">
        <f t="shared" si="97"/>
        <v>0</v>
      </c>
      <c r="Z722" s="10">
        <f t="shared" si="95"/>
        <v>0</v>
      </c>
    </row>
    <row r="723" spans="1:26" ht="18" customHeight="1" x14ac:dyDescent="0.25">
      <c r="A723" s="11">
        <v>318</v>
      </c>
      <c r="B723" s="67" t="s">
        <v>1903</v>
      </c>
      <c r="C723" s="14" t="s">
        <v>1904</v>
      </c>
      <c r="D723" s="14" t="s">
        <v>68</v>
      </c>
      <c r="E723" s="14" t="s">
        <v>1905</v>
      </c>
      <c r="F723" s="15" t="s">
        <v>24</v>
      </c>
      <c r="G723" s="16">
        <v>5500</v>
      </c>
      <c r="H723" s="82" t="s">
        <v>25</v>
      </c>
      <c r="I723" s="15" t="s">
        <v>1906</v>
      </c>
      <c r="J723" s="15">
        <v>8265</v>
      </c>
      <c r="K723" s="15">
        <v>9847</v>
      </c>
      <c r="L723" s="18">
        <v>1582</v>
      </c>
      <c r="M723" s="19">
        <v>2688656</v>
      </c>
      <c r="N723" s="20">
        <v>0</v>
      </c>
      <c r="O723" s="20">
        <v>0</v>
      </c>
      <c r="P723" s="20">
        <v>0</v>
      </c>
      <c r="Q723" s="20">
        <v>0</v>
      </c>
      <c r="R723" s="19">
        <f t="shared" si="93"/>
        <v>2688656</v>
      </c>
      <c r="S723" s="19">
        <v>3000</v>
      </c>
      <c r="T723" s="19">
        <f t="shared" si="94"/>
        <v>2691656</v>
      </c>
      <c r="U723" s="105"/>
      <c r="X723" s="10">
        <f t="shared" si="96"/>
        <v>2688656</v>
      </c>
      <c r="Y723" s="2">
        <f t="shared" si="97"/>
        <v>0</v>
      </c>
      <c r="Z723" s="10">
        <f t="shared" si="95"/>
        <v>0</v>
      </c>
    </row>
    <row r="724" spans="1:26" ht="18" customHeight="1" x14ac:dyDescent="0.25">
      <c r="A724" s="11">
        <v>319</v>
      </c>
      <c r="B724" s="67" t="s">
        <v>1907</v>
      </c>
      <c r="C724" s="14" t="s">
        <v>1908</v>
      </c>
      <c r="D724" s="14" t="s">
        <v>68</v>
      </c>
      <c r="E724" s="14" t="s">
        <v>1909</v>
      </c>
      <c r="F724" s="15" t="s">
        <v>24</v>
      </c>
      <c r="G724" s="16">
        <v>2200</v>
      </c>
      <c r="H724" s="82" t="s">
        <v>25</v>
      </c>
      <c r="I724" s="15" t="s">
        <v>1910</v>
      </c>
      <c r="J724" s="15">
        <v>1200</v>
      </c>
      <c r="K724" s="15">
        <v>1292</v>
      </c>
      <c r="L724" s="18">
        <v>92</v>
      </c>
      <c r="M724" s="19">
        <v>156357</v>
      </c>
      <c r="N724" s="20">
        <v>0</v>
      </c>
      <c r="O724" s="20">
        <v>0</v>
      </c>
      <c r="P724" s="20">
        <v>0</v>
      </c>
      <c r="Q724" s="20">
        <v>0</v>
      </c>
      <c r="R724" s="19">
        <f t="shared" si="93"/>
        <v>156357</v>
      </c>
      <c r="S724" s="19">
        <v>3000</v>
      </c>
      <c r="T724" s="19">
        <f t="shared" si="94"/>
        <v>159357</v>
      </c>
      <c r="U724" s="105"/>
      <c r="X724" s="10">
        <f t="shared" si="96"/>
        <v>156357</v>
      </c>
      <c r="Y724" s="2">
        <f t="shared" si="97"/>
        <v>0</v>
      </c>
      <c r="Z724" s="10">
        <f t="shared" si="95"/>
        <v>0</v>
      </c>
    </row>
    <row r="725" spans="1:26" ht="18" customHeight="1" x14ac:dyDescent="0.25">
      <c r="A725" s="11">
        <v>320</v>
      </c>
      <c r="B725" s="67" t="s">
        <v>1911</v>
      </c>
      <c r="C725" s="14" t="s">
        <v>1912</v>
      </c>
      <c r="D725" s="14" t="s">
        <v>68</v>
      </c>
      <c r="E725" s="14" t="s">
        <v>1913</v>
      </c>
      <c r="F725" s="15" t="s">
        <v>24</v>
      </c>
      <c r="G725" s="16">
        <v>3500</v>
      </c>
      <c r="H725" s="82" t="s">
        <v>25</v>
      </c>
      <c r="I725" s="15" t="s">
        <v>1914</v>
      </c>
      <c r="J725" s="15">
        <v>5921</v>
      </c>
      <c r="K725" s="15">
        <v>5921</v>
      </c>
      <c r="L725" s="18">
        <v>140</v>
      </c>
      <c r="M725" s="19">
        <v>237934</v>
      </c>
      <c r="N725" s="20">
        <v>0</v>
      </c>
      <c r="O725" s="20">
        <v>0</v>
      </c>
      <c r="P725" s="20">
        <v>0</v>
      </c>
      <c r="Q725" s="20">
        <v>0</v>
      </c>
      <c r="R725" s="19">
        <f t="shared" si="93"/>
        <v>237934</v>
      </c>
      <c r="S725" s="19">
        <v>3000</v>
      </c>
      <c r="T725" s="19">
        <f t="shared" si="94"/>
        <v>240934</v>
      </c>
      <c r="U725" s="105"/>
      <c r="X725" s="10">
        <f t="shared" si="96"/>
        <v>237934</v>
      </c>
      <c r="Y725" s="2">
        <f t="shared" si="97"/>
        <v>0</v>
      </c>
      <c r="Z725" s="10">
        <f t="shared" si="95"/>
        <v>0</v>
      </c>
    </row>
    <row r="726" spans="1:26" s="25" customFormat="1" ht="18" customHeight="1" x14ac:dyDescent="0.25">
      <c r="A726" s="12"/>
      <c r="B726" s="12"/>
      <c r="C726" s="12"/>
      <c r="D726" s="12"/>
      <c r="E726" s="12"/>
      <c r="F726" s="15"/>
      <c r="G726" s="16"/>
      <c r="H726" s="18"/>
      <c r="I726" s="15"/>
      <c r="J726" s="15"/>
      <c r="K726" s="15"/>
      <c r="L726" s="18"/>
      <c r="M726" s="19"/>
      <c r="N726" s="38"/>
      <c r="O726" s="38"/>
      <c r="P726" s="38"/>
      <c r="Q726" s="38"/>
      <c r="R726" s="37"/>
      <c r="S726" s="37"/>
      <c r="T726" s="37"/>
      <c r="U726" s="147"/>
      <c r="X726" s="10">
        <f t="shared" si="96"/>
        <v>0</v>
      </c>
      <c r="Y726" s="2">
        <f t="shared" si="97"/>
        <v>0</v>
      </c>
      <c r="Z726" s="10"/>
    </row>
    <row r="727" spans="1:26" ht="33.75" customHeight="1" x14ac:dyDescent="0.25">
      <c r="A727" s="34" t="s">
        <v>139</v>
      </c>
      <c r="B727" s="9"/>
      <c r="C727" s="9"/>
      <c r="D727" s="9"/>
      <c r="E727" s="9"/>
      <c r="F727" s="9"/>
      <c r="G727" s="61">
        <f>SUM(G685:G726)</f>
        <v>1361700</v>
      </c>
      <c r="H727" s="61">
        <f t="shared" ref="H727:R727" si="98">SUM(H685:H726)</f>
        <v>0</v>
      </c>
      <c r="I727" s="61">
        <f t="shared" si="98"/>
        <v>0</v>
      </c>
      <c r="J727" s="61"/>
      <c r="K727" s="61"/>
      <c r="L727" s="61">
        <f t="shared" si="98"/>
        <v>300681</v>
      </c>
      <c r="M727" s="61">
        <f t="shared" si="98"/>
        <v>511016381</v>
      </c>
      <c r="N727" s="61">
        <f t="shared" si="98"/>
        <v>0</v>
      </c>
      <c r="O727" s="61">
        <f t="shared" si="98"/>
        <v>0</v>
      </c>
      <c r="P727" s="61">
        <f t="shared" si="98"/>
        <v>0</v>
      </c>
      <c r="Q727" s="61">
        <f t="shared" si="98"/>
        <v>10000</v>
      </c>
      <c r="R727" s="61">
        <f t="shared" si="98"/>
        <v>511026381</v>
      </c>
      <c r="S727" s="61">
        <f>SUM(S685:S726)</f>
        <v>960000</v>
      </c>
      <c r="T727" s="61">
        <f>SUM(T685:T726)</f>
        <v>511986381</v>
      </c>
      <c r="U727" s="28"/>
      <c r="V727" s="2">
        <v>782714669</v>
      </c>
      <c r="W727" s="62">
        <f>R727-V727</f>
        <v>-271688288</v>
      </c>
      <c r="X727" s="10">
        <f t="shared" si="96"/>
        <v>511016381</v>
      </c>
      <c r="Y727" s="2">
        <f t="shared" si="97"/>
        <v>10000</v>
      </c>
      <c r="Z727" s="10"/>
    </row>
    <row r="728" spans="1:26" ht="18" customHeight="1" x14ac:dyDescent="0.25">
      <c r="A728" s="87"/>
      <c r="B728" s="88"/>
      <c r="C728" s="4"/>
      <c r="G728" s="28"/>
      <c r="H728" s="28"/>
      <c r="L728" s="31"/>
      <c r="X728" s="10">
        <f t="shared" si="96"/>
        <v>0</v>
      </c>
      <c r="Y728" s="2">
        <f t="shared" si="97"/>
        <v>0</v>
      </c>
      <c r="Z728" s="10"/>
    </row>
    <row r="729" spans="1:26" ht="18" customHeight="1" x14ac:dyDescent="0.25">
      <c r="A729" s="87"/>
      <c r="B729" s="84"/>
      <c r="C729" s="85"/>
      <c r="D729" s="85"/>
      <c r="E729" s="85"/>
      <c r="F729" s="84"/>
      <c r="G729" s="84"/>
      <c r="L729" s="31"/>
      <c r="X729" s="10">
        <f t="shared" si="96"/>
        <v>0</v>
      </c>
      <c r="Y729" s="2">
        <f t="shared" si="97"/>
        <v>0</v>
      </c>
      <c r="Z729" s="10"/>
    </row>
    <row r="730" spans="1:26" s="84" customFormat="1" ht="39" customHeight="1" x14ac:dyDescent="0.25">
      <c r="A730" s="9" t="s">
        <v>4</v>
      </c>
      <c r="B730" s="21" t="s">
        <v>5</v>
      </c>
      <c r="C730" s="21" t="s">
        <v>6</v>
      </c>
      <c r="D730" s="12"/>
      <c r="E730" s="9" t="s">
        <v>7</v>
      </c>
      <c r="F730" s="21" t="s">
        <v>8</v>
      </c>
      <c r="G730" s="21" t="s">
        <v>9</v>
      </c>
      <c r="H730" s="21" t="s">
        <v>10</v>
      </c>
      <c r="I730" s="21" t="s">
        <v>11</v>
      </c>
      <c r="J730" s="21" t="s">
        <v>12</v>
      </c>
      <c r="K730" s="21" t="s">
        <v>13</v>
      </c>
      <c r="L730" s="21" t="s">
        <v>14</v>
      </c>
      <c r="M730" s="143" t="s">
        <v>15</v>
      </c>
      <c r="N730" s="144" t="s">
        <v>16</v>
      </c>
      <c r="O730" s="144" t="s">
        <v>17</v>
      </c>
      <c r="P730" s="144" t="s">
        <v>18</v>
      </c>
      <c r="Q730" s="144" t="s">
        <v>19</v>
      </c>
      <c r="R730" s="143" t="s">
        <v>20</v>
      </c>
      <c r="S730" s="143" t="s">
        <v>3471</v>
      </c>
      <c r="T730" s="143" t="s">
        <v>3472</v>
      </c>
      <c r="U730" s="145"/>
      <c r="V730" s="145"/>
      <c r="W730" s="145"/>
      <c r="X730" s="145"/>
    </row>
    <row r="731" spans="1:26" ht="18" customHeight="1" x14ac:dyDescent="0.25">
      <c r="A731" s="11"/>
      <c r="B731" s="12"/>
      <c r="C731" s="13"/>
      <c r="D731" s="13"/>
      <c r="E731" s="13"/>
      <c r="F731" s="12"/>
      <c r="G731" s="12"/>
      <c r="H731" s="17"/>
      <c r="I731" s="15"/>
      <c r="J731" s="15"/>
      <c r="K731" s="15"/>
      <c r="L731" s="18"/>
      <c r="M731" s="19"/>
      <c r="N731" s="20"/>
      <c r="O731" s="20"/>
      <c r="P731" s="20"/>
      <c r="Q731" s="20"/>
      <c r="R731" s="19"/>
      <c r="S731" s="19"/>
      <c r="T731" s="19"/>
      <c r="U731" s="105"/>
      <c r="X731" s="10">
        <f t="shared" si="96"/>
        <v>0</v>
      </c>
      <c r="Y731" s="2">
        <f t="shared" si="97"/>
        <v>0</v>
      </c>
      <c r="Z731" s="10"/>
    </row>
    <row r="732" spans="1:26" ht="18" customHeight="1" x14ac:dyDescent="0.25">
      <c r="A732" s="11"/>
      <c r="B732" s="12"/>
      <c r="C732" s="13"/>
      <c r="D732" s="13"/>
      <c r="E732" s="35" t="s">
        <v>141</v>
      </c>
      <c r="F732" s="12"/>
      <c r="G732" s="22">
        <f>G727</f>
        <v>1361700</v>
      </c>
      <c r="H732" s="22">
        <f t="shared" ref="H732:R732" si="99">H727</f>
        <v>0</v>
      </c>
      <c r="I732" s="22">
        <f t="shared" si="99"/>
        <v>0</v>
      </c>
      <c r="J732" s="22"/>
      <c r="K732" s="22"/>
      <c r="L732" s="22">
        <f t="shared" si="99"/>
        <v>300681</v>
      </c>
      <c r="M732" s="22">
        <f t="shared" si="99"/>
        <v>511016381</v>
      </c>
      <c r="N732" s="22">
        <f t="shared" si="99"/>
        <v>0</v>
      </c>
      <c r="O732" s="22">
        <f t="shared" si="99"/>
        <v>0</v>
      </c>
      <c r="P732" s="22">
        <f t="shared" si="99"/>
        <v>0</v>
      </c>
      <c r="Q732" s="22">
        <f t="shared" si="99"/>
        <v>10000</v>
      </c>
      <c r="R732" s="22">
        <f t="shared" si="99"/>
        <v>511026381</v>
      </c>
      <c r="S732" s="22">
        <f>S727</f>
        <v>960000</v>
      </c>
      <c r="T732" s="22">
        <f>T727</f>
        <v>511986381</v>
      </c>
      <c r="U732" s="27"/>
      <c r="X732" s="10">
        <f t="shared" si="96"/>
        <v>511016381</v>
      </c>
      <c r="Y732" s="2">
        <f t="shared" si="97"/>
        <v>10000</v>
      </c>
      <c r="Z732" s="10"/>
    </row>
    <row r="733" spans="1:26" ht="18" customHeight="1" x14ac:dyDescent="0.25">
      <c r="A733" s="11">
        <v>321</v>
      </c>
      <c r="B733" s="12" t="s">
        <v>1915</v>
      </c>
      <c r="C733" s="13" t="s">
        <v>1916</v>
      </c>
      <c r="D733" s="14" t="s">
        <v>68</v>
      </c>
      <c r="E733" s="35" t="s">
        <v>1247</v>
      </c>
      <c r="F733" s="12" t="s">
        <v>24</v>
      </c>
      <c r="G733" s="17">
        <v>1300</v>
      </c>
      <c r="H733" s="17" t="s">
        <v>25</v>
      </c>
      <c r="I733" s="17" t="s">
        <v>1917</v>
      </c>
      <c r="J733" s="17">
        <v>7366</v>
      </c>
      <c r="K733" s="17">
        <v>7471</v>
      </c>
      <c r="L733" s="17">
        <v>105</v>
      </c>
      <c r="M733" s="89">
        <v>178451</v>
      </c>
      <c r="N733" s="90">
        <v>0</v>
      </c>
      <c r="O733" s="90">
        <v>0</v>
      </c>
      <c r="P733" s="90">
        <v>0</v>
      </c>
      <c r="Q733" s="90">
        <v>0</v>
      </c>
      <c r="R733" s="89">
        <f t="shared" ref="R733:R772" si="100">M733+N733+O733+P733+Q733</f>
        <v>178451</v>
      </c>
      <c r="S733" s="19">
        <v>3000</v>
      </c>
      <c r="T733" s="19">
        <f t="shared" ref="T733:T772" si="101">R733+S733</f>
        <v>181451</v>
      </c>
      <c r="U733" s="150"/>
      <c r="X733" s="10"/>
      <c r="Z733" s="10"/>
    </row>
    <row r="734" spans="1:26" ht="18" customHeight="1" x14ac:dyDescent="0.25">
      <c r="A734" s="11">
        <v>322</v>
      </c>
      <c r="B734" s="12" t="s">
        <v>1918</v>
      </c>
      <c r="C734" s="13" t="s">
        <v>1919</v>
      </c>
      <c r="D734" s="14" t="s">
        <v>68</v>
      </c>
      <c r="E734" s="35" t="s">
        <v>1920</v>
      </c>
      <c r="F734" s="12" t="s">
        <v>24</v>
      </c>
      <c r="G734" s="17">
        <v>1300</v>
      </c>
      <c r="H734" s="17" t="s">
        <v>25</v>
      </c>
      <c r="I734" s="17" t="s">
        <v>1921</v>
      </c>
      <c r="J734" s="17">
        <v>1946</v>
      </c>
      <c r="K734" s="17">
        <v>1982</v>
      </c>
      <c r="L734" s="17">
        <v>52</v>
      </c>
      <c r="M734" s="89">
        <v>88376</v>
      </c>
      <c r="N734" s="90">
        <v>0</v>
      </c>
      <c r="O734" s="90">
        <v>0</v>
      </c>
      <c r="P734" s="90">
        <v>0</v>
      </c>
      <c r="Q734" s="90">
        <v>0</v>
      </c>
      <c r="R734" s="89">
        <f t="shared" si="100"/>
        <v>88376</v>
      </c>
      <c r="S734" s="19">
        <v>3000</v>
      </c>
      <c r="T734" s="19">
        <f t="shared" si="101"/>
        <v>91376</v>
      </c>
      <c r="U734" s="150"/>
      <c r="X734" s="10"/>
      <c r="Z734" s="10"/>
    </row>
    <row r="735" spans="1:26" ht="18" customHeight="1" x14ac:dyDescent="0.25">
      <c r="A735" s="11">
        <v>323</v>
      </c>
      <c r="B735" s="12" t="s">
        <v>1922</v>
      </c>
      <c r="C735" s="14" t="s">
        <v>1923</v>
      </c>
      <c r="D735" s="14" t="s">
        <v>68</v>
      </c>
      <c r="E735" s="35" t="s">
        <v>1924</v>
      </c>
      <c r="F735" s="12" t="s">
        <v>24</v>
      </c>
      <c r="G735" s="17">
        <v>3500</v>
      </c>
      <c r="H735" s="17" t="s">
        <v>25</v>
      </c>
      <c r="I735" s="17" t="s">
        <v>1925</v>
      </c>
      <c r="J735" s="17">
        <v>2825</v>
      </c>
      <c r="K735" s="17">
        <v>3033</v>
      </c>
      <c r="L735" s="17">
        <v>208</v>
      </c>
      <c r="M735" s="89">
        <v>353502</v>
      </c>
      <c r="N735" s="90">
        <v>0</v>
      </c>
      <c r="O735" s="90">
        <v>0</v>
      </c>
      <c r="P735" s="90">
        <v>0</v>
      </c>
      <c r="Q735" s="90">
        <v>0</v>
      </c>
      <c r="R735" s="89">
        <f t="shared" si="100"/>
        <v>353502</v>
      </c>
      <c r="S735" s="19">
        <v>3000</v>
      </c>
      <c r="T735" s="19">
        <f t="shared" si="101"/>
        <v>356502</v>
      </c>
      <c r="U735" s="150"/>
      <c r="X735" s="10"/>
      <c r="Z735" s="10"/>
    </row>
    <row r="736" spans="1:26" ht="18" customHeight="1" x14ac:dyDescent="0.25">
      <c r="A736" s="11">
        <v>324</v>
      </c>
      <c r="B736" s="12" t="s">
        <v>1926</v>
      </c>
      <c r="C736" s="13" t="s">
        <v>1927</v>
      </c>
      <c r="D736" s="14" t="s">
        <v>68</v>
      </c>
      <c r="E736" s="35" t="s">
        <v>1928</v>
      </c>
      <c r="F736" s="12" t="s">
        <v>24</v>
      </c>
      <c r="G736" s="17">
        <v>4400</v>
      </c>
      <c r="H736" s="17" t="s">
        <v>25</v>
      </c>
      <c r="I736" s="17" t="s">
        <v>1929</v>
      </c>
      <c r="J736" s="17">
        <v>1807</v>
      </c>
      <c r="K736" s="17">
        <v>2125</v>
      </c>
      <c r="L736" s="17">
        <v>318</v>
      </c>
      <c r="M736" s="89">
        <v>540451</v>
      </c>
      <c r="N736" s="90">
        <v>0</v>
      </c>
      <c r="O736" s="90">
        <v>0</v>
      </c>
      <c r="P736" s="90">
        <v>0</v>
      </c>
      <c r="Q736" s="90">
        <v>0</v>
      </c>
      <c r="R736" s="89">
        <f t="shared" si="100"/>
        <v>540451</v>
      </c>
      <c r="S736" s="19">
        <v>3000</v>
      </c>
      <c r="T736" s="19">
        <f t="shared" si="101"/>
        <v>543451</v>
      </c>
      <c r="U736" s="150"/>
      <c r="X736" s="10"/>
      <c r="Z736" s="10"/>
    </row>
    <row r="737" spans="1:26" ht="18" customHeight="1" x14ac:dyDescent="0.25">
      <c r="A737" s="11">
        <v>325</v>
      </c>
      <c r="B737" s="67" t="s">
        <v>1930</v>
      </c>
      <c r="C737" s="14" t="s">
        <v>1931</v>
      </c>
      <c r="D737" s="14" t="s">
        <v>28</v>
      </c>
      <c r="E737" s="14" t="s">
        <v>1932</v>
      </c>
      <c r="F737" s="15" t="s">
        <v>24</v>
      </c>
      <c r="G737" s="16">
        <v>9120</v>
      </c>
      <c r="H737" s="82" t="s">
        <v>25</v>
      </c>
      <c r="I737" s="15" t="s">
        <v>1933</v>
      </c>
      <c r="J737" s="15">
        <v>3108</v>
      </c>
      <c r="K737" s="15">
        <v>3108</v>
      </c>
      <c r="L737" s="18">
        <v>3420</v>
      </c>
      <c r="M737" s="19">
        <v>5812393</v>
      </c>
      <c r="N737" s="20">
        <v>0</v>
      </c>
      <c r="O737" s="20">
        <v>0</v>
      </c>
      <c r="P737" s="20">
        <v>0</v>
      </c>
      <c r="Q737" s="20">
        <v>10000</v>
      </c>
      <c r="R737" s="19">
        <f t="shared" si="100"/>
        <v>5822393</v>
      </c>
      <c r="S737" s="19">
        <v>3000</v>
      </c>
      <c r="T737" s="19">
        <f t="shared" si="101"/>
        <v>5825393</v>
      </c>
      <c r="U737" s="105"/>
      <c r="X737" s="10">
        <f t="shared" si="96"/>
        <v>5812393</v>
      </c>
      <c r="Y737" s="2">
        <f t="shared" si="97"/>
        <v>10000</v>
      </c>
      <c r="Z737" s="10">
        <f t="shared" ref="Z737:Z772" si="102">Q737-Y737</f>
        <v>0</v>
      </c>
    </row>
    <row r="738" spans="1:26" ht="18" customHeight="1" x14ac:dyDescent="0.25">
      <c r="A738" s="11">
        <v>326</v>
      </c>
      <c r="B738" s="67" t="s">
        <v>1934</v>
      </c>
      <c r="C738" s="14" t="s">
        <v>1935</v>
      </c>
      <c r="D738" s="14" t="s">
        <v>22</v>
      </c>
      <c r="E738" s="14" t="s">
        <v>1157</v>
      </c>
      <c r="F738" s="15" t="s">
        <v>24</v>
      </c>
      <c r="G738" s="16">
        <v>6510</v>
      </c>
      <c r="H738" s="82" t="s">
        <v>25</v>
      </c>
      <c r="I738" s="15" t="s">
        <v>1936</v>
      </c>
      <c r="J738" s="15">
        <v>2212</v>
      </c>
      <c r="K738" s="15">
        <v>2212</v>
      </c>
      <c r="L738" s="18">
        <v>2441</v>
      </c>
      <c r="M738" s="19">
        <v>4148553</v>
      </c>
      <c r="N738" s="20">
        <v>0</v>
      </c>
      <c r="O738" s="20">
        <v>0</v>
      </c>
      <c r="P738" s="20">
        <v>0</v>
      </c>
      <c r="Q738" s="20">
        <v>0</v>
      </c>
      <c r="R738" s="19">
        <f t="shared" si="100"/>
        <v>4148553</v>
      </c>
      <c r="S738" s="19">
        <v>3000</v>
      </c>
      <c r="T738" s="19">
        <f t="shared" si="101"/>
        <v>4151553</v>
      </c>
      <c r="U738" s="105"/>
      <c r="X738" s="10">
        <f t="shared" si="96"/>
        <v>4148553</v>
      </c>
      <c r="Y738" s="2">
        <f t="shared" si="97"/>
        <v>0</v>
      </c>
      <c r="Z738" s="10">
        <f t="shared" si="102"/>
        <v>0</v>
      </c>
    </row>
    <row r="739" spans="1:26" ht="18" customHeight="1" x14ac:dyDescent="0.25">
      <c r="A739" s="11">
        <v>327</v>
      </c>
      <c r="B739" s="67" t="s">
        <v>1937</v>
      </c>
      <c r="C739" s="14" t="s">
        <v>1938</v>
      </c>
      <c r="D739" s="14" t="s">
        <v>22</v>
      </c>
      <c r="E739" s="14" t="s">
        <v>1707</v>
      </c>
      <c r="F739" s="15" t="s">
        <v>24</v>
      </c>
      <c r="G739" s="16">
        <v>6980</v>
      </c>
      <c r="H739" s="82" t="s">
        <v>25</v>
      </c>
      <c r="I739" s="15" t="s">
        <v>1939</v>
      </c>
      <c r="J739" s="15">
        <v>2380</v>
      </c>
      <c r="K739" s="15">
        <v>2380</v>
      </c>
      <c r="L739" s="18">
        <v>2618</v>
      </c>
      <c r="M739" s="19">
        <v>4449370</v>
      </c>
      <c r="N739" s="20">
        <v>0</v>
      </c>
      <c r="O739" s="20">
        <v>0</v>
      </c>
      <c r="P739" s="20">
        <v>0</v>
      </c>
      <c r="Q739" s="20">
        <v>0</v>
      </c>
      <c r="R739" s="19">
        <f t="shared" si="100"/>
        <v>4449370</v>
      </c>
      <c r="S739" s="19">
        <v>3000</v>
      </c>
      <c r="T739" s="19">
        <f t="shared" si="101"/>
        <v>4452370</v>
      </c>
      <c r="U739" s="105"/>
      <c r="X739" s="10">
        <f t="shared" si="96"/>
        <v>4449370</v>
      </c>
      <c r="Y739" s="2">
        <f t="shared" si="97"/>
        <v>0</v>
      </c>
      <c r="Z739" s="10">
        <f t="shared" si="102"/>
        <v>0</v>
      </c>
    </row>
    <row r="740" spans="1:26" ht="18" customHeight="1" x14ac:dyDescent="0.25">
      <c r="A740" s="11">
        <v>328</v>
      </c>
      <c r="B740" s="67" t="s">
        <v>1940</v>
      </c>
      <c r="C740" s="14" t="s">
        <v>1931</v>
      </c>
      <c r="D740" s="14" t="s">
        <v>22</v>
      </c>
      <c r="E740" s="14" t="s">
        <v>1932</v>
      </c>
      <c r="F740" s="15" t="s">
        <v>24</v>
      </c>
      <c r="G740" s="16">
        <v>5860</v>
      </c>
      <c r="H740" s="82" t="s">
        <v>25</v>
      </c>
      <c r="I740" s="15" t="s">
        <v>1941</v>
      </c>
      <c r="J740" s="15">
        <v>1988</v>
      </c>
      <c r="K740" s="15">
        <v>1988</v>
      </c>
      <c r="L740" s="18">
        <v>2198</v>
      </c>
      <c r="M740" s="19">
        <v>3735567</v>
      </c>
      <c r="N740" s="20">
        <v>0</v>
      </c>
      <c r="O740" s="20">
        <v>0</v>
      </c>
      <c r="P740" s="20">
        <v>0</v>
      </c>
      <c r="Q740" s="20">
        <v>0</v>
      </c>
      <c r="R740" s="19">
        <f t="shared" si="100"/>
        <v>3735567</v>
      </c>
      <c r="S740" s="19">
        <v>3000</v>
      </c>
      <c r="T740" s="19">
        <f t="shared" si="101"/>
        <v>3738567</v>
      </c>
      <c r="U740" s="105"/>
      <c r="X740" s="10">
        <f t="shared" si="96"/>
        <v>3735567</v>
      </c>
      <c r="Y740" s="2">
        <f t="shared" si="97"/>
        <v>0</v>
      </c>
      <c r="Z740" s="10">
        <f t="shared" si="102"/>
        <v>0</v>
      </c>
    </row>
    <row r="741" spans="1:26" ht="18" customHeight="1" x14ac:dyDescent="0.25">
      <c r="A741" s="11">
        <v>329</v>
      </c>
      <c r="B741" s="67" t="s">
        <v>1942</v>
      </c>
      <c r="C741" s="14" t="s">
        <v>1943</v>
      </c>
      <c r="D741" s="14" t="s">
        <v>22</v>
      </c>
      <c r="E741" s="14" t="s">
        <v>1944</v>
      </c>
      <c r="F741" s="15" t="s">
        <v>24</v>
      </c>
      <c r="G741" s="16">
        <v>2400</v>
      </c>
      <c r="H741" s="82" t="s">
        <v>25</v>
      </c>
      <c r="I741" s="15" t="s">
        <v>1945</v>
      </c>
      <c r="J741" s="15">
        <v>840</v>
      </c>
      <c r="K741" s="15">
        <v>840</v>
      </c>
      <c r="L741" s="18">
        <v>900</v>
      </c>
      <c r="M741" s="19">
        <v>1529577</v>
      </c>
      <c r="N741" s="20">
        <v>0</v>
      </c>
      <c r="O741" s="20">
        <v>0</v>
      </c>
      <c r="P741" s="20">
        <v>0</v>
      </c>
      <c r="Q741" s="20">
        <v>0</v>
      </c>
      <c r="R741" s="19">
        <f t="shared" si="100"/>
        <v>1529577</v>
      </c>
      <c r="S741" s="19">
        <v>3000</v>
      </c>
      <c r="T741" s="19">
        <f t="shared" si="101"/>
        <v>1532577</v>
      </c>
      <c r="U741" s="105"/>
      <c r="X741" s="10">
        <f t="shared" si="96"/>
        <v>1529577</v>
      </c>
      <c r="Y741" s="2">
        <f t="shared" si="97"/>
        <v>0</v>
      </c>
      <c r="Z741" s="10">
        <f t="shared" si="102"/>
        <v>0</v>
      </c>
    </row>
    <row r="742" spans="1:26" ht="18" customHeight="1" x14ac:dyDescent="0.25">
      <c r="A742" s="11">
        <v>330</v>
      </c>
      <c r="B742" s="67" t="s">
        <v>1946</v>
      </c>
      <c r="C742" s="14" t="s">
        <v>1947</v>
      </c>
      <c r="D742" s="14" t="s">
        <v>22</v>
      </c>
      <c r="E742" s="14" t="s">
        <v>1948</v>
      </c>
      <c r="F742" s="15" t="s">
        <v>24</v>
      </c>
      <c r="G742" s="16">
        <v>1360</v>
      </c>
      <c r="H742" s="82" t="s">
        <v>25</v>
      </c>
      <c r="I742" s="15" t="s">
        <v>1949</v>
      </c>
      <c r="J742" s="15">
        <v>0</v>
      </c>
      <c r="K742" s="15">
        <v>0</v>
      </c>
      <c r="L742" s="18">
        <v>510</v>
      </c>
      <c r="M742" s="19">
        <v>866760</v>
      </c>
      <c r="N742" s="20">
        <v>0</v>
      </c>
      <c r="O742" s="20">
        <v>0</v>
      </c>
      <c r="P742" s="20">
        <v>0</v>
      </c>
      <c r="Q742" s="20">
        <v>0</v>
      </c>
      <c r="R742" s="19">
        <f t="shared" si="100"/>
        <v>866760</v>
      </c>
      <c r="S742" s="19">
        <v>3000</v>
      </c>
      <c r="T742" s="19">
        <f t="shared" si="101"/>
        <v>869760</v>
      </c>
      <c r="U742" s="105"/>
      <c r="X742" s="10">
        <f t="shared" si="96"/>
        <v>866760</v>
      </c>
      <c r="Y742" s="2">
        <f t="shared" si="97"/>
        <v>0</v>
      </c>
      <c r="Z742" s="10">
        <f t="shared" si="102"/>
        <v>0</v>
      </c>
    </row>
    <row r="743" spans="1:26" ht="18" customHeight="1" x14ac:dyDescent="0.25">
      <c r="A743" s="11">
        <v>331</v>
      </c>
      <c r="B743" s="67" t="s">
        <v>1950</v>
      </c>
      <c r="C743" s="14" t="s">
        <v>1951</v>
      </c>
      <c r="D743" s="14" t="s">
        <v>22</v>
      </c>
      <c r="E743" s="14" t="s">
        <v>1149</v>
      </c>
      <c r="F743" s="15" t="s">
        <v>24</v>
      </c>
      <c r="G743" s="16">
        <v>7300</v>
      </c>
      <c r="H743" s="82" t="s">
        <v>25</v>
      </c>
      <c r="I743" s="15" t="s">
        <v>1952</v>
      </c>
      <c r="J743" s="15">
        <v>2492</v>
      </c>
      <c r="K743" s="15">
        <v>2492</v>
      </c>
      <c r="L743" s="18">
        <v>2738</v>
      </c>
      <c r="M743" s="19">
        <v>4653313</v>
      </c>
      <c r="N743" s="20">
        <v>0</v>
      </c>
      <c r="O743" s="20">
        <v>0</v>
      </c>
      <c r="P743" s="20">
        <v>0</v>
      </c>
      <c r="Q743" s="20">
        <v>0</v>
      </c>
      <c r="R743" s="19">
        <f t="shared" si="100"/>
        <v>4653313</v>
      </c>
      <c r="S743" s="19">
        <v>3000</v>
      </c>
      <c r="T743" s="19">
        <f t="shared" si="101"/>
        <v>4656313</v>
      </c>
      <c r="U743" s="105"/>
      <c r="X743" s="10">
        <f t="shared" si="96"/>
        <v>4653313</v>
      </c>
      <c r="Y743" s="2">
        <f t="shared" si="97"/>
        <v>0</v>
      </c>
      <c r="Z743" s="10">
        <f t="shared" si="102"/>
        <v>0</v>
      </c>
    </row>
    <row r="744" spans="1:26" ht="18" customHeight="1" x14ac:dyDescent="0.25">
      <c r="A744" s="11">
        <v>332</v>
      </c>
      <c r="B744" s="67" t="s">
        <v>1953</v>
      </c>
      <c r="C744" s="14" t="s">
        <v>1954</v>
      </c>
      <c r="D744" s="14" t="s">
        <v>22</v>
      </c>
      <c r="E744" s="14" t="s">
        <v>1955</v>
      </c>
      <c r="F744" s="15" t="s">
        <v>24</v>
      </c>
      <c r="G744" s="16">
        <v>13010</v>
      </c>
      <c r="H744" s="82" t="s">
        <v>25</v>
      </c>
      <c r="I744" s="15" t="s">
        <v>1956</v>
      </c>
      <c r="J744" s="15">
        <v>4424</v>
      </c>
      <c r="K744" s="15">
        <v>4424</v>
      </c>
      <c r="L744" s="18">
        <v>4879</v>
      </c>
      <c r="M744" s="19">
        <v>8292007</v>
      </c>
      <c r="N744" s="20">
        <v>0</v>
      </c>
      <c r="O744" s="20">
        <v>0</v>
      </c>
      <c r="P744" s="20">
        <v>0</v>
      </c>
      <c r="Q744" s="20">
        <v>10000</v>
      </c>
      <c r="R744" s="19">
        <f t="shared" si="100"/>
        <v>8302007</v>
      </c>
      <c r="S744" s="19">
        <v>3000</v>
      </c>
      <c r="T744" s="19">
        <f t="shared" si="101"/>
        <v>8305007</v>
      </c>
      <c r="U744" s="105"/>
      <c r="X744" s="10">
        <f t="shared" si="96"/>
        <v>8292007</v>
      </c>
      <c r="Y744" s="2">
        <f t="shared" si="97"/>
        <v>10000</v>
      </c>
      <c r="Z744" s="10">
        <f t="shared" si="102"/>
        <v>0</v>
      </c>
    </row>
    <row r="745" spans="1:26" ht="18" customHeight="1" x14ac:dyDescent="0.25">
      <c r="A745" s="11">
        <v>333</v>
      </c>
      <c r="B745" s="67" t="s">
        <v>1957</v>
      </c>
      <c r="C745" s="14" t="s">
        <v>1958</v>
      </c>
      <c r="D745" s="14" t="s">
        <v>22</v>
      </c>
      <c r="E745" s="14" t="s">
        <v>957</v>
      </c>
      <c r="F745" s="15" t="s">
        <v>24</v>
      </c>
      <c r="G745" s="16">
        <v>2800</v>
      </c>
      <c r="H745" s="82" t="s">
        <v>25</v>
      </c>
      <c r="I745" s="15" t="s">
        <v>1959</v>
      </c>
      <c r="J745" s="15">
        <v>952</v>
      </c>
      <c r="K745" s="15">
        <v>952</v>
      </c>
      <c r="L745" s="18">
        <v>1050</v>
      </c>
      <c r="M745" s="19">
        <v>1784507</v>
      </c>
      <c r="N745" s="20">
        <v>0</v>
      </c>
      <c r="O745" s="20">
        <v>0</v>
      </c>
      <c r="P745" s="20">
        <v>0</v>
      </c>
      <c r="Q745" s="20">
        <v>0</v>
      </c>
      <c r="R745" s="19">
        <f t="shared" si="100"/>
        <v>1784507</v>
      </c>
      <c r="S745" s="19">
        <v>3000</v>
      </c>
      <c r="T745" s="19">
        <f t="shared" si="101"/>
        <v>1787507</v>
      </c>
      <c r="U745" s="105"/>
      <c r="X745" s="10">
        <f t="shared" si="96"/>
        <v>1784507</v>
      </c>
      <c r="Y745" s="2">
        <f t="shared" si="97"/>
        <v>0</v>
      </c>
      <c r="Z745" s="10">
        <f t="shared" si="102"/>
        <v>0</v>
      </c>
    </row>
    <row r="746" spans="1:26" ht="18" customHeight="1" x14ac:dyDescent="0.25">
      <c r="A746" s="11">
        <v>334</v>
      </c>
      <c r="B746" s="67" t="s">
        <v>1960</v>
      </c>
      <c r="C746" s="14" t="s">
        <v>1961</v>
      </c>
      <c r="D746" s="14" t="s">
        <v>28</v>
      </c>
      <c r="E746" s="14" t="s">
        <v>1962</v>
      </c>
      <c r="F746" s="15" t="s">
        <v>24</v>
      </c>
      <c r="G746" s="16">
        <v>1620</v>
      </c>
      <c r="H746" s="82" t="s">
        <v>25</v>
      </c>
      <c r="I746" s="15" t="s">
        <v>1963</v>
      </c>
      <c r="J746" s="15">
        <v>0</v>
      </c>
      <c r="K746" s="15">
        <v>0</v>
      </c>
      <c r="L746" s="18">
        <v>608</v>
      </c>
      <c r="M746" s="19">
        <v>1033314</v>
      </c>
      <c r="N746" s="20">
        <v>0</v>
      </c>
      <c r="O746" s="20">
        <v>0</v>
      </c>
      <c r="P746" s="20">
        <v>0</v>
      </c>
      <c r="Q746" s="20">
        <v>0</v>
      </c>
      <c r="R746" s="19">
        <f t="shared" si="100"/>
        <v>1033314</v>
      </c>
      <c r="S746" s="19">
        <v>3000</v>
      </c>
      <c r="T746" s="19">
        <f t="shared" si="101"/>
        <v>1036314</v>
      </c>
      <c r="U746" s="105"/>
      <c r="X746" s="10">
        <f t="shared" si="96"/>
        <v>1033314</v>
      </c>
      <c r="Y746" s="2">
        <f t="shared" si="97"/>
        <v>0</v>
      </c>
      <c r="Z746" s="10">
        <f t="shared" si="102"/>
        <v>0</v>
      </c>
    </row>
    <row r="747" spans="1:26" ht="18" customHeight="1" x14ac:dyDescent="0.25">
      <c r="A747" s="11">
        <v>335</v>
      </c>
      <c r="B747" s="67" t="s">
        <v>1964</v>
      </c>
      <c r="C747" s="14" t="s">
        <v>1965</v>
      </c>
      <c r="D747" s="14" t="s">
        <v>22</v>
      </c>
      <c r="E747" s="14" t="s">
        <v>1966</v>
      </c>
      <c r="F747" s="15" t="s">
        <v>24</v>
      </c>
      <c r="G747" s="16">
        <v>6640</v>
      </c>
      <c r="H747" s="82" t="s">
        <v>25</v>
      </c>
      <c r="I747" s="15" t="s">
        <v>1967</v>
      </c>
      <c r="J747" s="15">
        <v>2268</v>
      </c>
      <c r="K747" s="15">
        <v>2268</v>
      </c>
      <c r="L747" s="18">
        <v>2490</v>
      </c>
      <c r="M747" s="19">
        <v>4231830</v>
      </c>
      <c r="N747" s="20">
        <v>0</v>
      </c>
      <c r="O747" s="20">
        <v>0</v>
      </c>
      <c r="P747" s="20">
        <v>0</v>
      </c>
      <c r="Q747" s="20">
        <v>0</v>
      </c>
      <c r="R747" s="19">
        <f t="shared" si="100"/>
        <v>4231830</v>
      </c>
      <c r="S747" s="19">
        <v>3000</v>
      </c>
      <c r="T747" s="19">
        <f t="shared" si="101"/>
        <v>4234830</v>
      </c>
      <c r="U747" s="105"/>
      <c r="X747" s="10">
        <f t="shared" si="96"/>
        <v>4231830</v>
      </c>
      <c r="Y747" s="2">
        <f t="shared" si="97"/>
        <v>0</v>
      </c>
      <c r="Z747" s="10">
        <f t="shared" si="102"/>
        <v>0</v>
      </c>
    </row>
    <row r="748" spans="1:26" ht="18" customHeight="1" x14ac:dyDescent="0.25">
      <c r="A748" s="11">
        <v>336</v>
      </c>
      <c r="B748" s="67" t="s">
        <v>1968</v>
      </c>
      <c r="C748" s="14" t="s">
        <v>1969</v>
      </c>
      <c r="D748" s="14" t="s">
        <v>22</v>
      </c>
      <c r="E748" s="14" t="s">
        <v>1688</v>
      </c>
      <c r="F748" s="15" t="s">
        <v>24</v>
      </c>
      <c r="G748" s="16">
        <v>4840</v>
      </c>
      <c r="H748" s="82" t="s">
        <v>25</v>
      </c>
      <c r="I748" s="15" t="s">
        <v>1970</v>
      </c>
      <c r="J748" s="15">
        <v>1652</v>
      </c>
      <c r="K748" s="15">
        <v>1652</v>
      </c>
      <c r="L748" s="18">
        <v>1815</v>
      </c>
      <c r="M748" s="19">
        <v>3084647</v>
      </c>
      <c r="N748" s="20">
        <v>0</v>
      </c>
      <c r="O748" s="20">
        <v>0</v>
      </c>
      <c r="P748" s="20">
        <v>0</v>
      </c>
      <c r="Q748" s="20">
        <v>0</v>
      </c>
      <c r="R748" s="19">
        <f t="shared" si="100"/>
        <v>3084647</v>
      </c>
      <c r="S748" s="19">
        <v>3000</v>
      </c>
      <c r="T748" s="19">
        <f t="shared" si="101"/>
        <v>3087647</v>
      </c>
      <c r="U748" s="105"/>
      <c r="X748" s="10">
        <f t="shared" si="96"/>
        <v>3084647</v>
      </c>
      <c r="Y748" s="2">
        <f t="shared" si="97"/>
        <v>0</v>
      </c>
      <c r="Z748" s="10">
        <f t="shared" si="102"/>
        <v>0</v>
      </c>
    </row>
    <row r="749" spans="1:26" ht="18" customHeight="1" x14ac:dyDescent="0.25">
      <c r="A749" s="11">
        <v>337</v>
      </c>
      <c r="B749" s="67" t="s">
        <v>1971</v>
      </c>
      <c r="C749" s="14" t="s">
        <v>1972</v>
      </c>
      <c r="D749" s="14" t="s">
        <v>28</v>
      </c>
      <c r="E749" s="14" t="s">
        <v>1973</v>
      </c>
      <c r="F749" s="15" t="s">
        <v>24</v>
      </c>
      <c r="G749" s="16">
        <v>500</v>
      </c>
      <c r="H749" s="82" t="s">
        <v>25</v>
      </c>
      <c r="I749" s="15" t="s">
        <v>1974</v>
      </c>
      <c r="J749" s="15">
        <v>0</v>
      </c>
      <c r="K749" s="15">
        <v>0</v>
      </c>
      <c r="L749" s="18">
        <v>188</v>
      </c>
      <c r="M749" s="19">
        <v>319512</v>
      </c>
      <c r="N749" s="20">
        <v>0</v>
      </c>
      <c r="O749" s="20">
        <v>0</v>
      </c>
      <c r="P749" s="20">
        <v>0</v>
      </c>
      <c r="Q749" s="20">
        <v>0</v>
      </c>
      <c r="R749" s="19">
        <f t="shared" si="100"/>
        <v>319512</v>
      </c>
      <c r="S749" s="19">
        <v>3000</v>
      </c>
      <c r="T749" s="19">
        <f t="shared" si="101"/>
        <v>322512</v>
      </c>
      <c r="U749" s="105"/>
      <c r="X749" s="10">
        <f t="shared" si="96"/>
        <v>319512</v>
      </c>
      <c r="Y749" s="2">
        <f t="shared" si="97"/>
        <v>0</v>
      </c>
      <c r="Z749" s="10">
        <f t="shared" si="102"/>
        <v>0</v>
      </c>
    </row>
    <row r="750" spans="1:26" ht="18" customHeight="1" x14ac:dyDescent="0.25">
      <c r="A750" s="11">
        <v>338</v>
      </c>
      <c r="B750" s="67" t="s">
        <v>1975</v>
      </c>
      <c r="C750" s="14" t="s">
        <v>1976</v>
      </c>
      <c r="D750" s="14" t="s">
        <v>22</v>
      </c>
      <c r="E750" s="14" t="s">
        <v>1977</v>
      </c>
      <c r="F750" s="15" t="s">
        <v>24</v>
      </c>
      <c r="G750" s="16">
        <v>3080</v>
      </c>
      <c r="H750" s="82" t="s">
        <v>25</v>
      </c>
      <c r="I750" s="15" t="s">
        <v>1978</v>
      </c>
      <c r="J750" s="15">
        <v>1064</v>
      </c>
      <c r="K750" s="15">
        <v>1064</v>
      </c>
      <c r="L750" s="18">
        <v>1155</v>
      </c>
      <c r="M750" s="19">
        <v>1962957</v>
      </c>
      <c r="N750" s="20">
        <v>0</v>
      </c>
      <c r="O750" s="20">
        <v>0</v>
      </c>
      <c r="P750" s="20">
        <v>0</v>
      </c>
      <c r="Q750" s="20">
        <v>0</v>
      </c>
      <c r="R750" s="19">
        <f t="shared" si="100"/>
        <v>1962957</v>
      </c>
      <c r="S750" s="19">
        <v>3000</v>
      </c>
      <c r="T750" s="19">
        <f t="shared" si="101"/>
        <v>1965957</v>
      </c>
      <c r="U750" s="105"/>
      <c r="X750" s="10">
        <f t="shared" si="96"/>
        <v>1962957</v>
      </c>
      <c r="Y750" s="2">
        <f t="shared" si="97"/>
        <v>0</v>
      </c>
      <c r="Z750" s="10">
        <f t="shared" si="102"/>
        <v>0</v>
      </c>
    </row>
    <row r="751" spans="1:26" ht="18" customHeight="1" x14ac:dyDescent="0.25">
      <c r="A751" s="11">
        <v>339</v>
      </c>
      <c r="B751" s="67" t="s">
        <v>1979</v>
      </c>
      <c r="C751" s="14" t="s">
        <v>1980</v>
      </c>
      <c r="D751" s="14" t="s">
        <v>22</v>
      </c>
      <c r="E751" s="14" t="s">
        <v>1981</v>
      </c>
      <c r="F751" s="15" t="s">
        <v>24</v>
      </c>
      <c r="G751" s="16">
        <v>3440</v>
      </c>
      <c r="H751" s="82" t="s">
        <v>25</v>
      </c>
      <c r="I751" s="15" t="s">
        <v>1982</v>
      </c>
      <c r="J751" s="15">
        <v>1176</v>
      </c>
      <c r="K751" s="15">
        <v>1176</v>
      </c>
      <c r="L751" s="18">
        <v>1290</v>
      </c>
      <c r="M751" s="19">
        <v>2192394</v>
      </c>
      <c r="N751" s="20">
        <v>0</v>
      </c>
      <c r="O751" s="20">
        <v>0</v>
      </c>
      <c r="P751" s="20">
        <v>0</v>
      </c>
      <c r="Q751" s="20">
        <v>0</v>
      </c>
      <c r="R751" s="19">
        <f t="shared" si="100"/>
        <v>2192394</v>
      </c>
      <c r="S751" s="19">
        <v>3000</v>
      </c>
      <c r="T751" s="19">
        <f t="shared" si="101"/>
        <v>2195394</v>
      </c>
      <c r="U751" s="105"/>
      <c r="X751" s="10">
        <f t="shared" si="96"/>
        <v>2192394</v>
      </c>
      <c r="Y751" s="2">
        <f t="shared" si="97"/>
        <v>0</v>
      </c>
      <c r="Z751" s="10">
        <f t="shared" si="102"/>
        <v>0</v>
      </c>
    </row>
    <row r="752" spans="1:26" ht="18" customHeight="1" x14ac:dyDescent="0.25">
      <c r="A752" s="11">
        <v>340</v>
      </c>
      <c r="B752" s="67" t="s">
        <v>1983</v>
      </c>
      <c r="C752" s="14" t="s">
        <v>1984</v>
      </c>
      <c r="D752" s="14" t="s">
        <v>22</v>
      </c>
      <c r="E752" s="14" t="s">
        <v>1652</v>
      </c>
      <c r="F752" s="15" t="s">
        <v>24</v>
      </c>
      <c r="G752" s="16">
        <v>5600</v>
      </c>
      <c r="H752" s="82" t="s">
        <v>25</v>
      </c>
      <c r="I752" s="15" t="s">
        <v>1985</v>
      </c>
      <c r="J752" s="15">
        <v>1904</v>
      </c>
      <c r="K752" s="15">
        <v>1904</v>
      </c>
      <c r="L752" s="18">
        <v>2100</v>
      </c>
      <c r="M752" s="19">
        <v>3569013</v>
      </c>
      <c r="N752" s="20">
        <v>0</v>
      </c>
      <c r="O752" s="20">
        <v>0</v>
      </c>
      <c r="P752" s="20">
        <v>0</v>
      </c>
      <c r="Q752" s="20">
        <v>0</v>
      </c>
      <c r="R752" s="19">
        <f t="shared" si="100"/>
        <v>3569013</v>
      </c>
      <c r="S752" s="19">
        <v>3000</v>
      </c>
      <c r="T752" s="19">
        <f t="shared" si="101"/>
        <v>3572013</v>
      </c>
      <c r="U752" s="105"/>
      <c r="X752" s="10">
        <f t="shared" si="96"/>
        <v>3569013</v>
      </c>
      <c r="Y752" s="2">
        <f t="shared" si="97"/>
        <v>0</v>
      </c>
      <c r="Z752" s="10">
        <f t="shared" si="102"/>
        <v>0</v>
      </c>
    </row>
    <row r="753" spans="1:26" ht="18" customHeight="1" x14ac:dyDescent="0.25">
      <c r="A753" s="11">
        <v>341</v>
      </c>
      <c r="B753" s="67" t="s">
        <v>1986</v>
      </c>
      <c r="C753" s="14" t="s">
        <v>1987</v>
      </c>
      <c r="D753" s="14" t="s">
        <v>22</v>
      </c>
      <c r="E753" s="14" t="s">
        <v>819</v>
      </c>
      <c r="F753" s="15" t="s">
        <v>24</v>
      </c>
      <c r="G753" s="16">
        <v>4860</v>
      </c>
      <c r="H753" s="82" t="s">
        <v>25</v>
      </c>
      <c r="I753" s="15" t="s">
        <v>1988</v>
      </c>
      <c r="J753" s="15">
        <v>1652</v>
      </c>
      <c r="K753" s="15">
        <v>1652</v>
      </c>
      <c r="L753" s="18">
        <v>1823</v>
      </c>
      <c r="M753" s="19">
        <v>3098243</v>
      </c>
      <c r="N753" s="20">
        <v>0</v>
      </c>
      <c r="O753" s="20">
        <v>0</v>
      </c>
      <c r="P753" s="20">
        <v>0</v>
      </c>
      <c r="Q753" s="20">
        <v>0</v>
      </c>
      <c r="R753" s="19">
        <f t="shared" si="100"/>
        <v>3098243</v>
      </c>
      <c r="S753" s="19">
        <v>3000</v>
      </c>
      <c r="T753" s="19">
        <f t="shared" si="101"/>
        <v>3101243</v>
      </c>
      <c r="U753" s="105"/>
      <c r="X753" s="10">
        <f t="shared" si="96"/>
        <v>3098243</v>
      </c>
      <c r="Y753" s="2">
        <f t="shared" si="97"/>
        <v>0</v>
      </c>
      <c r="Z753" s="10">
        <f t="shared" si="102"/>
        <v>0</v>
      </c>
    </row>
    <row r="754" spans="1:26" ht="18" customHeight="1" x14ac:dyDescent="0.25">
      <c r="A754" s="11">
        <v>342</v>
      </c>
      <c r="B754" s="67" t="s">
        <v>1989</v>
      </c>
      <c r="C754" s="14" t="s">
        <v>1990</v>
      </c>
      <c r="D754" s="14" t="s">
        <v>22</v>
      </c>
      <c r="E754" s="14" t="s">
        <v>1079</v>
      </c>
      <c r="F754" s="15" t="s">
        <v>24</v>
      </c>
      <c r="G754" s="16">
        <v>5040</v>
      </c>
      <c r="H754" s="82" t="s">
        <v>25</v>
      </c>
      <c r="I754" s="15" t="s">
        <v>1991</v>
      </c>
      <c r="J754" s="15">
        <v>1708</v>
      </c>
      <c r="K754" s="15">
        <v>1708</v>
      </c>
      <c r="L754" s="18">
        <v>1890</v>
      </c>
      <c r="M754" s="19">
        <v>3212112</v>
      </c>
      <c r="N754" s="20">
        <v>0</v>
      </c>
      <c r="O754" s="20">
        <v>0</v>
      </c>
      <c r="P754" s="20">
        <v>0</v>
      </c>
      <c r="Q754" s="20">
        <v>0</v>
      </c>
      <c r="R754" s="19">
        <f t="shared" si="100"/>
        <v>3212112</v>
      </c>
      <c r="S754" s="19">
        <v>3000</v>
      </c>
      <c r="T754" s="19">
        <f t="shared" si="101"/>
        <v>3215112</v>
      </c>
      <c r="U754" s="105"/>
      <c r="X754" s="10">
        <f t="shared" si="96"/>
        <v>3212112</v>
      </c>
      <c r="Y754" s="2">
        <f t="shared" si="97"/>
        <v>0</v>
      </c>
      <c r="Z754" s="10">
        <f t="shared" si="102"/>
        <v>0</v>
      </c>
    </row>
    <row r="755" spans="1:26" ht="18" customHeight="1" x14ac:dyDescent="0.25">
      <c r="A755" s="11">
        <v>343</v>
      </c>
      <c r="B755" s="67" t="s">
        <v>1992</v>
      </c>
      <c r="C755" s="14" t="s">
        <v>1993</v>
      </c>
      <c r="D755" s="14" t="s">
        <v>22</v>
      </c>
      <c r="E755" s="14" t="s">
        <v>1079</v>
      </c>
      <c r="F755" s="15" t="s">
        <v>24</v>
      </c>
      <c r="G755" s="16">
        <v>4270</v>
      </c>
      <c r="H755" s="82" t="s">
        <v>25</v>
      </c>
      <c r="I755" s="15" t="s">
        <v>1994</v>
      </c>
      <c r="J755" s="15">
        <v>1456</v>
      </c>
      <c r="K755" s="15">
        <v>1456</v>
      </c>
      <c r="L755" s="18">
        <v>1601</v>
      </c>
      <c r="M755" s="19">
        <v>2720948</v>
      </c>
      <c r="N755" s="20">
        <v>0</v>
      </c>
      <c r="O755" s="20">
        <v>0</v>
      </c>
      <c r="P755" s="20">
        <v>0</v>
      </c>
      <c r="Q755" s="20">
        <v>0</v>
      </c>
      <c r="R755" s="19">
        <f t="shared" si="100"/>
        <v>2720948</v>
      </c>
      <c r="S755" s="19">
        <v>3000</v>
      </c>
      <c r="T755" s="19">
        <f t="shared" si="101"/>
        <v>2723948</v>
      </c>
      <c r="U755" s="105"/>
      <c r="X755" s="10">
        <f t="shared" si="96"/>
        <v>2720948</v>
      </c>
      <c r="Y755" s="2">
        <f t="shared" si="97"/>
        <v>0</v>
      </c>
      <c r="Z755" s="10">
        <f t="shared" si="102"/>
        <v>0</v>
      </c>
    </row>
    <row r="756" spans="1:26" ht="18" customHeight="1" x14ac:dyDescent="0.25">
      <c r="A756" s="11">
        <v>344</v>
      </c>
      <c r="B756" s="67" t="s">
        <v>1995</v>
      </c>
      <c r="C756" s="14" t="s">
        <v>1996</v>
      </c>
      <c r="D756" s="14" t="s">
        <v>22</v>
      </c>
      <c r="E756" s="14" t="s">
        <v>1216</v>
      </c>
      <c r="F756" s="15" t="s">
        <v>24</v>
      </c>
      <c r="G756" s="16">
        <v>14930</v>
      </c>
      <c r="H756" s="82" t="s">
        <v>25</v>
      </c>
      <c r="I756" s="15" t="s">
        <v>1997</v>
      </c>
      <c r="J756" s="15">
        <v>5068</v>
      </c>
      <c r="K756" s="15">
        <v>5068</v>
      </c>
      <c r="L756" s="18">
        <v>5599</v>
      </c>
      <c r="M756" s="19">
        <v>9515668</v>
      </c>
      <c r="N756" s="20">
        <v>0</v>
      </c>
      <c r="O756" s="20">
        <v>0</v>
      </c>
      <c r="P756" s="20">
        <v>0</v>
      </c>
      <c r="Q756" s="20">
        <v>10000</v>
      </c>
      <c r="R756" s="19">
        <f t="shared" si="100"/>
        <v>9525668</v>
      </c>
      <c r="S756" s="19">
        <v>3000</v>
      </c>
      <c r="T756" s="19">
        <f t="shared" si="101"/>
        <v>9528668</v>
      </c>
      <c r="U756" s="105"/>
      <c r="X756" s="10">
        <f t="shared" si="96"/>
        <v>9515668</v>
      </c>
      <c r="Y756" s="2">
        <f t="shared" si="97"/>
        <v>10000</v>
      </c>
      <c r="Z756" s="10">
        <f t="shared" si="102"/>
        <v>0</v>
      </c>
    </row>
    <row r="757" spans="1:26" ht="18" customHeight="1" x14ac:dyDescent="0.25">
      <c r="A757" s="11">
        <v>345</v>
      </c>
      <c r="B757" s="67" t="s">
        <v>1998</v>
      </c>
      <c r="C757" s="14" t="s">
        <v>1999</v>
      </c>
      <c r="D757" s="14" t="s">
        <v>22</v>
      </c>
      <c r="E757" s="14" t="s">
        <v>1216</v>
      </c>
      <c r="F757" s="15" t="s">
        <v>24</v>
      </c>
      <c r="G757" s="16">
        <v>7950</v>
      </c>
      <c r="H757" s="82" t="s">
        <v>25</v>
      </c>
      <c r="I757" s="15" t="s">
        <v>2000</v>
      </c>
      <c r="J757" s="15">
        <v>2716</v>
      </c>
      <c r="K757" s="15">
        <v>2716</v>
      </c>
      <c r="L757" s="18">
        <v>2981</v>
      </c>
      <c r="M757" s="19">
        <v>5066299</v>
      </c>
      <c r="N757" s="20">
        <v>0</v>
      </c>
      <c r="O757" s="20">
        <v>0</v>
      </c>
      <c r="P757" s="20">
        <v>0</v>
      </c>
      <c r="Q757" s="20">
        <v>10000</v>
      </c>
      <c r="R757" s="19">
        <f t="shared" si="100"/>
        <v>5076299</v>
      </c>
      <c r="S757" s="19">
        <v>3000</v>
      </c>
      <c r="T757" s="19">
        <f t="shared" si="101"/>
        <v>5079299</v>
      </c>
      <c r="U757" s="105"/>
      <c r="X757" s="10">
        <f t="shared" si="96"/>
        <v>5066299</v>
      </c>
      <c r="Y757" s="2">
        <f t="shared" si="97"/>
        <v>10000</v>
      </c>
      <c r="Z757" s="10">
        <f t="shared" si="102"/>
        <v>0</v>
      </c>
    </row>
    <row r="758" spans="1:26" ht="18" customHeight="1" x14ac:dyDescent="0.25">
      <c r="A758" s="11">
        <v>346</v>
      </c>
      <c r="B758" s="67" t="s">
        <v>2001</v>
      </c>
      <c r="C758" s="14" t="s">
        <v>2002</v>
      </c>
      <c r="D758" s="14" t="s">
        <v>22</v>
      </c>
      <c r="E758" s="14" t="s">
        <v>2003</v>
      </c>
      <c r="F758" s="15" t="s">
        <v>24</v>
      </c>
      <c r="G758" s="16">
        <v>450</v>
      </c>
      <c r="H758" s="82" t="s">
        <v>25</v>
      </c>
      <c r="I758" s="15" t="s">
        <v>2004</v>
      </c>
      <c r="J758" s="15">
        <v>0</v>
      </c>
      <c r="K758" s="15">
        <v>0</v>
      </c>
      <c r="L758" s="18">
        <v>169</v>
      </c>
      <c r="M758" s="19">
        <v>287221</v>
      </c>
      <c r="N758" s="20">
        <v>0</v>
      </c>
      <c r="O758" s="20">
        <v>0</v>
      </c>
      <c r="P758" s="20">
        <v>0</v>
      </c>
      <c r="Q758" s="20">
        <v>0</v>
      </c>
      <c r="R758" s="19">
        <f t="shared" si="100"/>
        <v>287221</v>
      </c>
      <c r="S758" s="19">
        <v>3000</v>
      </c>
      <c r="T758" s="19">
        <f t="shared" si="101"/>
        <v>290221</v>
      </c>
      <c r="U758" s="105"/>
      <c r="X758" s="10">
        <f t="shared" si="96"/>
        <v>287221</v>
      </c>
      <c r="Y758" s="2">
        <f t="shared" si="97"/>
        <v>0</v>
      </c>
      <c r="Z758" s="10">
        <f t="shared" si="102"/>
        <v>0</v>
      </c>
    </row>
    <row r="759" spans="1:26" ht="18" customHeight="1" x14ac:dyDescent="0.25">
      <c r="A759" s="11">
        <v>347</v>
      </c>
      <c r="B759" s="67" t="s">
        <v>2005</v>
      </c>
      <c r="C759" s="14" t="s">
        <v>2006</v>
      </c>
      <c r="D759" s="14" t="s">
        <v>28</v>
      </c>
      <c r="E759" s="14" t="s">
        <v>994</v>
      </c>
      <c r="F759" s="15" t="s">
        <v>24</v>
      </c>
      <c r="G759" s="16">
        <v>15760</v>
      </c>
      <c r="H759" s="82" t="s">
        <v>25</v>
      </c>
      <c r="I759" s="15" t="s">
        <v>2007</v>
      </c>
      <c r="J759" s="15">
        <v>5348</v>
      </c>
      <c r="K759" s="15">
        <v>5348</v>
      </c>
      <c r="L759" s="18">
        <v>5910</v>
      </c>
      <c r="M759" s="19">
        <v>10044222</v>
      </c>
      <c r="N759" s="20">
        <v>0</v>
      </c>
      <c r="O759" s="20">
        <v>0</v>
      </c>
      <c r="P759" s="20">
        <v>0</v>
      </c>
      <c r="Q759" s="20">
        <v>10000</v>
      </c>
      <c r="R759" s="19">
        <f t="shared" si="100"/>
        <v>10054222</v>
      </c>
      <c r="S759" s="19">
        <v>3000</v>
      </c>
      <c r="T759" s="19">
        <f t="shared" si="101"/>
        <v>10057222</v>
      </c>
      <c r="U759" s="105"/>
      <c r="X759" s="10">
        <f t="shared" si="96"/>
        <v>10044222</v>
      </c>
      <c r="Y759" s="2">
        <f t="shared" si="97"/>
        <v>10000</v>
      </c>
      <c r="Z759" s="10">
        <f t="shared" si="102"/>
        <v>0</v>
      </c>
    </row>
    <row r="760" spans="1:26" ht="18" customHeight="1" x14ac:dyDescent="0.25">
      <c r="A760" s="11">
        <v>348</v>
      </c>
      <c r="B760" s="67" t="s">
        <v>2008</v>
      </c>
      <c r="C760" s="14" t="s">
        <v>2009</v>
      </c>
      <c r="D760" s="14" t="s">
        <v>22</v>
      </c>
      <c r="E760" s="14" t="s">
        <v>994</v>
      </c>
      <c r="F760" s="15" t="s">
        <v>24</v>
      </c>
      <c r="G760" s="16">
        <v>500</v>
      </c>
      <c r="H760" s="82" t="s">
        <v>25</v>
      </c>
      <c r="I760" s="15" t="s">
        <v>2010</v>
      </c>
      <c r="J760" s="15">
        <v>0</v>
      </c>
      <c r="K760" s="15">
        <v>0</v>
      </c>
      <c r="L760" s="18">
        <v>188</v>
      </c>
      <c r="M760" s="19">
        <v>319512</v>
      </c>
      <c r="N760" s="20">
        <v>0</v>
      </c>
      <c r="O760" s="20">
        <v>0</v>
      </c>
      <c r="P760" s="20">
        <v>0</v>
      </c>
      <c r="Q760" s="20">
        <v>0</v>
      </c>
      <c r="R760" s="19">
        <f t="shared" si="100"/>
        <v>319512</v>
      </c>
      <c r="S760" s="19">
        <v>3000</v>
      </c>
      <c r="T760" s="19">
        <f t="shared" si="101"/>
        <v>322512</v>
      </c>
      <c r="U760" s="105"/>
      <c r="X760" s="10">
        <f t="shared" si="96"/>
        <v>319512</v>
      </c>
      <c r="Y760" s="2">
        <f t="shared" si="97"/>
        <v>0</v>
      </c>
      <c r="Z760" s="10">
        <f t="shared" si="102"/>
        <v>0</v>
      </c>
    </row>
    <row r="761" spans="1:26" ht="18" customHeight="1" x14ac:dyDescent="0.25">
      <c r="A761" s="11">
        <v>349</v>
      </c>
      <c r="B761" s="67" t="s">
        <v>2011</v>
      </c>
      <c r="C761" s="14" t="s">
        <v>2012</v>
      </c>
      <c r="D761" s="14" t="s">
        <v>28</v>
      </c>
      <c r="E761" s="14" t="s">
        <v>2013</v>
      </c>
      <c r="F761" s="15" t="s">
        <v>24</v>
      </c>
      <c r="G761" s="16">
        <v>500</v>
      </c>
      <c r="H761" s="82" t="s">
        <v>25</v>
      </c>
      <c r="I761" s="15" t="s">
        <v>2014</v>
      </c>
      <c r="J761" s="15">
        <v>0</v>
      </c>
      <c r="K761" s="15">
        <v>0</v>
      </c>
      <c r="L761" s="18">
        <v>188</v>
      </c>
      <c r="M761" s="19">
        <v>319512</v>
      </c>
      <c r="N761" s="20">
        <v>0</v>
      </c>
      <c r="O761" s="20">
        <v>0</v>
      </c>
      <c r="P761" s="20">
        <v>0</v>
      </c>
      <c r="Q761" s="20">
        <v>0</v>
      </c>
      <c r="R761" s="19">
        <f t="shared" si="100"/>
        <v>319512</v>
      </c>
      <c r="S761" s="19">
        <v>3000</v>
      </c>
      <c r="T761" s="19">
        <f t="shared" si="101"/>
        <v>322512</v>
      </c>
      <c r="U761" s="105"/>
      <c r="X761" s="10">
        <f t="shared" si="96"/>
        <v>319512</v>
      </c>
      <c r="Y761" s="2">
        <f t="shared" si="97"/>
        <v>0</v>
      </c>
      <c r="Z761" s="10">
        <f t="shared" si="102"/>
        <v>0</v>
      </c>
    </row>
    <row r="762" spans="1:26" ht="18" customHeight="1" x14ac:dyDescent="0.25">
      <c r="A762" s="11">
        <v>350</v>
      </c>
      <c r="B762" s="67" t="s">
        <v>2015</v>
      </c>
      <c r="C762" s="14" t="s">
        <v>2016</v>
      </c>
      <c r="D762" s="14" t="s">
        <v>28</v>
      </c>
      <c r="E762" s="14" t="s">
        <v>994</v>
      </c>
      <c r="F762" s="15" t="s">
        <v>24</v>
      </c>
      <c r="G762" s="16">
        <v>9760</v>
      </c>
      <c r="H762" s="82" t="s">
        <v>25</v>
      </c>
      <c r="I762" s="15" t="s">
        <v>2017</v>
      </c>
      <c r="J762" s="15">
        <v>3332</v>
      </c>
      <c r="K762" s="15">
        <v>3332</v>
      </c>
      <c r="L762" s="18">
        <v>3660</v>
      </c>
      <c r="M762" s="19">
        <v>6220280</v>
      </c>
      <c r="N762" s="20">
        <v>0</v>
      </c>
      <c r="O762" s="20">
        <v>0</v>
      </c>
      <c r="P762" s="20">
        <v>0</v>
      </c>
      <c r="Q762" s="20">
        <v>10000</v>
      </c>
      <c r="R762" s="19">
        <f t="shared" si="100"/>
        <v>6230280</v>
      </c>
      <c r="S762" s="19">
        <v>3000</v>
      </c>
      <c r="T762" s="19">
        <f t="shared" si="101"/>
        <v>6233280</v>
      </c>
      <c r="U762" s="105"/>
      <c r="X762" s="10">
        <f t="shared" si="96"/>
        <v>6220280</v>
      </c>
      <c r="Y762" s="2">
        <f t="shared" si="97"/>
        <v>10000</v>
      </c>
      <c r="Z762" s="10">
        <f t="shared" si="102"/>
        <v>0</v>
      </c>
    </row>
    <row r="763" spans="1:26" ht="18" customHeight="1" x14ac:dyDescent="0.25">
      <c r="A763" s="11">
        <v>351</v>
      </c>
      <c r="B763" s="67" t="s">
        <v>2018</v>
      </c>
      <c r="C763" s="14" t="s">
        <v>2019</v>
      </c>
      <c r="D763" s="14" t="s">
        <v>28</v>
      </c>
      <c r="E763" s="14" t="s">
        <v>1079</v>
      </c>
      <c r="F763" s="15" t="s">
        <v>24</v>
      </c>
      <c r="G763" s="16">
        <v>2240</v>
      </c>
      <c r="H763" s="82" t="s">
        <v>25</v>
      </c>
      <c r="I763" s="15" t="s">
        <v>2020</v>
      </c>
      <c r="J763" s="15">
        <v>784</v>
      </c>
      <c r="K763" s="15">
        <v>784</v>
      </c>
      <c r="L763" s="18">
        <v>840</v>
      </c>
      <c r="M763" s="19">
        <v>1427605</v>
      </c>
      <c r="N763" s="20">
        <v>0</v>
      </c>
      <c r="O763" s="20">
        <v>0</v>
      </c>
      <c r="P763" s="20">
        <v>0</v>
      </c>
      <c r="Q763" s="20">
        <v>0</v>
      </c>
      <c r="R763" s="19">
        <f t="shared" si="100"/>
        <v>1427605</v>
      </c>
      <c r="S763" s="19">
        <v>3000</v>
      </c>
      <c r="T763" s="19">
        <f t="shared" si="101"/>
        <v>1430605</v>
      </c>
      <c r="U763" s="105"/>
      <c r="X763" s="10">
        <f t="shared" si="96"/>
        <v>1427605</v>
      </c>
      <c r="Y763" s="2">
        <f t="shared" si="97"/>
        <v>0</v>
      </c>
      <c r="Z763" s="10">
        <f t="shared" si="102"/>
        <v>0</v>
      </c>
    </row>
    <row r="764" spans="1:26" ht="18" customHeight="1" x14ac:dyDescent="0.25">
      <c r="A764" s="11">
        <v>352</v>
      </c>
      <c r="B764" s="67" t="s">
        <v>2021</v>
      </c>
      <c r="C764" s="14" t="s">
        <v>2022</v>
      </c>
      <c r="D764" s="14" t="s">
        <v>22</v>
      </c>
      <c r="E764" s="14" t="s">
        <v>1735</v>
      </c>
      <c r="F764" s="15" t="s">
        <v>24</v>
      </c>
      <c r="G764" s="16">
        <v>5080</v>
      </c>
      <c r="H764" s="82" t="s">
        <v>25</v>
      </c>
      <c r="I764" s="15" t="s">
        <v>2023</v>
      </c>
      <c r="J764" s="15">
        <v>1736</v>
      </c>
      <c r="K764" s="15">
        <v>1736</v>
      </c>
      <c r="L764" s="18">
        <v>1905</v>
      </c>
      <c r="M764" s="19">
        <v>3237605</v>
      </c>
      <c r="N764" s="20">
        <v>0</v>
      </c>
      <c r="O764" s="20">
        <v>0</v>
      </c>
      <c r="P764" s="20">
        <v>0</v>
      </c>
      <c r="Q764" s="20">
        <v>0</v>
      </c>
      <c r="R764" s="19">
        <f t="shared" si="100"/>
        <v>3237605</v>
      </c>
      <c r="S764" s="19">
        <v>3000</v>
      </c>
      <c r="T764" s="19">
        <f t="shared" si="101"/>
        <v>3240605</v>
      </c>
      <c r="U764" s="105"/>
      <c r="X764" s="10">
        <f t="shared" si="96"/>
        <v>3237605</v>
      </c>
      <c r="Y764" s="2">
        <f t="shared" si="97"/>
        <v>0</v>
      </c>
      <c r="Z764" s="10">
        <f t="shared" si="102"/>
        <v>0</v>
      </c>
    </row>
    <row r="765" spans="1:26" ht="18" customHeight="1" x14ac:dyDescent="0.25">
      <c r="A765" s="11">
        <v>353</v>
      </c>
      <c r="B765" s="67" t="s">
        <v>2024</v>
      </c>
      <c r="C765" s="14" t="s">
        <v>2025</v>
      </c>
      <c r="D765" s="14" t="s">
        <v>22</v>
      </c>
      <c r="E765" s="14" t="s">
        <v>1735</v>
      </c>
      <c r="F765" s="15" t="s">
        <v>24</v>
      </c>
      <c r="G765" s="16">
        <v>8380</v>
      </c>
      <c r="H765" s="82" t="s">
        <v>25</v>
      </c>
      <c r="I765" s="15" t="s">
        <v>2026</v>
      </c>
      <c r="J765" s="15">
        <v>2856</v>
      </c>
      <c r="K765" s="15">
        <v>2856</v>
      </c>
      <c r="L765" s="18">
        <v>3143</v>
      </c>
      <c r="M765" s="19">
        <v>5341623</v>
      </c>
      <c r="N765" s="20">
        <v>0</v>
      </c>
      <c r="O765" s="20">
        <v>0</v>
      </c>
      <c r="P765" s="20">
        <v>0</v>
      </c>
      <c r="Q765" s="20">
        <v>10000</v>
      </c>
      <c r="R765" s="19">
        <f t="shared" si="100"/>
        <v>5351623</v>
      </c>
      <c r="S765" s="19">
        <v>3000</v>
      </c>
      <c r="T765" s="19">
        <f t="shared" si="101"/>
        <v>5354623</v>
      </c>
      <c r="U765" s="105"/>
      <c r="X765" s="10">
        <f t="shared" si="96"/>
        <v>5341623</v>
      </c>
      <c r="Y765" s="2">
        <f t="shared" si="97"/>
        <v>10000</v>
      </c>
      <c r="Z765" s="10">
        <f t="shared" si="102"/>
        <v>0</v>
      </c>
    </row>
    <row r="766" spans="1:26" ht="18" customHeight="1" x14ac:dyDescent="0.25">
      <c r="A766" s="11">
        <v>354</v>
      </c>
      <c r="B766" s="67" t="s">
        <v>2027</v>
      </c>
      <c r="C766" s="14" t="s">
        <v>2028</v>
      </c>
      <c r="D766" s="14" t="s">
        <v>22</v>
      </c>
      <c r="E766" s="14" t="s">
        <v>1129</v>
      </c>
      <c r="F766" s="15" t="s">
        <v>24</v>
      </c>
      <c r="G766" s="16">
        <v>560</v>
      </c>
      <c r="H766" s="82" t="s">
        <v>25</v>
      </c>
      <c r="I766" s="15" t="s">
        <v>2029</v>
      </c>
      <c r="J766" s="15">
        <v>0</v>
      </c>
      <c r="K766" s="15">
        <v>0</v>
      </c>
      <c r="L766" s="18">
        <v>210</v>
      </c>
      <c r="M766" s="19">
        <v>356901</v>
      </c>
      <c r="N766" s="20">
        <v>0</v>
      </c>
      <c r="O766" s="20">
        <v>0</v>
      </c>
      <c r="P766" s="20">
        <v>0</v>
      </c>
      <c r="Q766" s="20">
        <v>0</v>
      </c>
      <c r="R766" s="19">
        <f t="shared" si="100"/>
        <v>356901</v>
      </c>
      <c r="S766" s="19">
        <v>3000</v>
      </c>
      <c r="T766" s="19">
        <f t="shared" si="101"/>
        <v>359901</v>
      </c>
      <c r="U766" s="105"/>
      <c r="X766" s="10">
        <f t="shared" si="96"/>
        <v>356901</v>
      </c>
      <c r="Y766" s="2">
        <f t="shared" si="97"/>
        <v>0</v>
      </c>
      <c r="Z766" s="10">
        <f t="shared" si="102"/>
        <v>0</v>
      </c>
    </row>
    <row r="767" spans="1:26" ht="18" customHeight="1" x14ac:dyDescent="0.25">
      <c r="A767" s="11">
        <v>355</v>
      </c>
      <c r="B767" s="67" t="s">
        <v>2030</v>
      </c>
      <c r="C767" s="14" t="s">
        <v>2031</v>
      </c>
      <c r="D767" s="14" t="s">
        <v>22</v>
      </c>
      <c r="E767" s="14" t="s">
        <v>2032</v>
      </c>
      <c r="F767" s="15" t="s">
        <v>24</v>
      </c>
      <c r="G767" s="16">
        <v>3520</v>
      </c>
      <c r="H767" s="82" t="s">
        <v>25</v>
      </c>
      <c r="I767" s="15" t="s">
        <v>2033</v>
      </c>
      <c r="J767" s="15">
        <v>1204</v>
      </c>
      <c r="K767" s="15">
        <v>1204</v>
      </c>
      <c r="L767" s="18">
        <v>1320</v>
      </c>
      <c r="M767" s="19">
        <v>2243380</v>
      </c>
      <c r="N767" s="20">
        <v>0</v>
      </c>
      <c r="O767" s="20">
        <v>0</v>
      </c>
      <c r="P767" s="20">
        <v>0</v>
      </c>
      <c r="Q767" s="20">
        <v>0</v>
      </c>
      <c r="R767" s="19">
        <f t="shared" si="100"/>
        <v>2243380</v>
      </c>
      <c r="S767" s="19">
        <v>3000</v>
      </c>
      <c r="T767" s="19">
        <f t="shared" si="101"/>
        <v>2246380</v>
      </c>
      <c r="U767" s="105"/>
      <c r="X767" s="10">
        <f t="shared" si="96"/>
        <v>2243380</v>
      </c>
      <c r="Y767" s="2">
        <f t="shared" si="97"/>
        <v>0</v>
      </c>
      <c r="Z767" s="10">
        <f t="shared" si="102"/>
        <v>0</v>
      </c>
    </row>
    <row r="768" spans="1:26" ht="18" customHeight="1" x14ac:dyDescent="0.25">
      <c r="A768" s="11">
        <v>356</v>
      </c>
      <c r="B768" s="67" t="s">
        <v>2034</v>
      </c>
      <c r="C768" s="14" t="s">
        <v>2035</v>
      </c>
      <c r="D768" s="14" t="s">
        <v>22</v>
      </c>
      <c r="E768" s="14" t="s">
        <v>2036</v>
      </c>
      <c r="F768" s="15" t="s">
        <v>24</v>
      </c>
      <c r="G768" s="16">
        <v>6160</v>
      </c>
      <c r="H768" s="82" t="s">
        <v>25</v>
      </c>
      <c r="I768" s="15" t="s">
        <v>2037</v>
      </c>
      <c r="J768" s="15">
        <v>2100</v>
      </c>
      <c r="K768" s="15">
        <v>2100</v>
      </c>
      <c r="L768" s="18">
        <v>2310</v>
      </c>
      <c r="M768" s="19">
        <v>3925914</v>
      </c>
      <c r="N768" s="20">
        <v>0</v>
      </c>
      <c r="O768" s="20">
        <v>0</v>
      </c>
      <c r="P768" s="20">
        <v>0</v>
      </c>
      <c r="Q768" s="20">
        <v>0</v>
      </c>
      <c r="R768" s="19">
        <f t="shared" si="100"/>
        <v>3925914</v>
      </c>
      <c r="S768" s="19">
        <v>3000</v>
      </c>
      <c r="T768" s="19">
        <f t="shared" si="101"/>
        <v>3928914</v>
      </c>
      <c r="U768" s="105"/>
      <c r="X768" s="10">
        <f t="shared" si="96"/>
        <v>3925914</v>
      </c>
      <c r="Y768" s="2">
        <f t="shared" si="97"/>
        <v>0</v>
      </c>
      <c r="Z768" s="10">
        <f t="shared" si="102"/>
        <v>0</v>
      </c>
    </row>
    <row r="769" spans="1:26" ht="18" customHeight="1" x14ac:dyDescent="0.25">
      <c r="A769" s="11">
        <v>357</v>
      </c>
      <c r="B769" s="67" t="s">
        <v>2038</v>
      </c>
      <c r="C769" s="14" t="s">
        <v>2039</v>
      </c>
      <c r="D769" s="14" t="s">
        <v>28</v>
      </c>
      <c r="E769" s="14" t="s">
        <v>1656</v>
      </c>
      <c r="F769" s="15" t="s">
        <v>24</v>
      </c>
      <c r="G769" s="16">
        <v>9520</v>
      </c>
      <c r="H769" s="82" t="s">
        <v>25</v>
      </c>
      <c r="I769" s="15" t="s">
        <v>2040</v>
      </c>
      <c r="J769" s="15">
        <v>3248</v>
      </c>
      <c r="K769" s="15">
        <v>3248</v>
      </c>
      <c r="L769" s="18">
        <v>3570</v>
      </c>
      <c r="M769" s="19">
        <v>6067322</v>
      </c>
      <c r="N769" s="20">
        <v>0</v>
      </c>
      <c r="O769" s="20">
        <v>0</v>
      </c>
      <c r="P769" s="20">
        <v>0</v>
      </c>
      <c r="Q769" s="20">
        <v>10000</v>
      </c>
      <c r="R769" s="19">
        <f t="shared" si="100"/>
        <v>6077322</v>
      </c>
      <c r="S769" s="19">
        <v>3000</v>
      </c>
      <c r="T769" s="19">
        <f t="shared" si="101"/>
        <v>6080322</v>
      </c>
      <c r="U769" s="105"/>
      <c r="X769" s="10">
        <f t="shared" si="96"/>
        <v>6067322</v>
      </c>
      <c r="Y769" s="2">
        <f t="shared" si="97"/>
        <v>10000</v>
      </c>
      <c r="Z769" s="10">
        <f t="shared" si="102"/>
        <v>0</v>
      </c>
    </row>
    <row r="770" spans="1:26" ht="18" customHeight="1" x14ac:dyDescent="0.25">
      <c r="A770" s="11">
        <v>358</v>
      </c>
      <c r="B770" s="67" t="s">
        <v>2041</v>
      </c>
      <c r="C770" s="14" t="s">
        <v>2039</v>
      </c>
      <c r="D770" s="14" t="s">
        <v>22</v>
      </c>
      <c r="E770" s="14" t="s">
        <v>1656</v>
      </c>
      <c r="F770" s="15" t="s">
        <v>24</v>
      </c>
      <c r="G770" s="16">
        <v>9440</v>
      </c>
      <c r="H770" s="82" t="s">
        <v>25</v>
      </c>
      <c r="I770" s="15" t="s">
        <v>2042</v>
      </c>
      <c r="J770" s="15">
        <v>3220</v>
      </c>
      <c r="K770" s="15">
        <v>3220</v>
      </c>
      <c r="L770" s="18">
        <v>3540</v>
      </c>
      <c r="M770" s="19">
        <v>6016336</v>
      </c>
      <c r="N770" s="20">
        <v>0</v>
      </c>
      <c r="O770" s="20">
        <v>0</v>
      </c>
      <c r="P770" s="20">
        <v>0</v>
      </c>
      <c r="Q770" s="20">
        <v>10000</v>
      </c>
      <c r="R770" s="19">
        <f t="shared" si="100"/>
        <v>6026336</v>
      </c>
      <c r="S770" s="19">
        <v>3000</v>
      </c>
      <c r="T770" s="19">
        <f t="shared" si="101"/>
        <v>6029336</v>
      </c>
      <c r="U770" s="105"/>
      <c r="X770" s="10">
        <f t="shared" si="96"/>
        <v>6016336</v>
      </c>
      <c r="Y770" s="2">
        <f t="shared" si="97"/>
        <v>10000</v>
      </c>
      <c r="Z770" s="10">
        <f t="shared" si="102"/>
        <v>0</v>
      </c>
    </row>
    <row r="771" spans="1:26" ht="18" customHeight="1" x14ac:dyDescent="0.25">
      <c r="A771" s="11">
        <v>359</v>
      </c>
      <c r="B771" s="67" t="s">
        <v>2043</v>
      </c>
      <c r="C771" s="14" t="s">
        <v>78</v>
      </c>
      <c r="D771" s="14" t="s">
        <v>22</v>
      </c>
      <c r="E771" s="14" t="s">
        <v>2044</v>
      </c>
      <c r="F771" s="15" t="s">
        <v>24</v>
      </c>
      <c r="G771" s="16">
        <v>4400</v>
      </c>
      <c r="H771" s="82" t="s">
        <v>25</v>
      </c>
      <c r="I771" s="15" t="s">
        <v>2045</v>
      </c>
      <c r="J771" s="15">
        <v>0</v>
      </c>
      <c r="K771" s="15">
        <v>0</v>
      </c>
      <c r="L771" s="18">
        <v>1650</v>
      </c>
      <c r="M771" s="19">
        <v>2804225</v>
      </c>
      <c r="N771" s="20">
        <v>0</v>
      </c>
      <c r="O771" s="20">
        <v>0</v>
      </c>
      <c r="P771" s="20">
        <v>0</v>
      </c>
      <c r="Q771" s="20">
        <v>0</v>
      </c>
      <c r="R771" s="19">
        <f t="shared" si="100"/>
        <v>2804225</v>
      </c>
      <c r="S771" s="19">
        <v>3000</v>
      </c>
      <c r="T771" s="19">
        <f t="shared" si="101"/>
        <v>2807225</v>
      </c>
      <c r="U771" s="105"/>
      <c r="X771" s="10">
        <f t="shared" si="96"/>
        <v>2804225</v>
      </c>
      <c r="Y771" s="2">
        <f t="shared" si="97"/>
        <v>0</v>
      </c>
      <c r="Z771" s="10">
        <f t="shared" si="102"/>
        <v>0</v>
      </c>
    </row>
    <row r="772" spans="1:26" ht="18" customHeight="1" x14ac:dyDescent="0.25">
      <c r="A772" s="11">
        <v>360</v>
      </c>
      <c r="B772" s="67" t="s">
        <v>2046</v>
      </c>
      <c r="C772" s="14" t="s">
        <v>2047</v>
      </c>
      <c r="D772" s="14" t="s">
        <v>28</v>
      </c>
      <c r="E772" s="14" t="s">
        <v>1752</v>
      </c>
      <c r="F772" s="15" t="s">
        <v>24</v>
      </c>
      <c r="G772" s="16">
        <v>9360</v>
      </c>
      <c r="H772" s="82" t="s">
        <v>25</v>
      </c>
      <c r="I772" s="15" t="s">
        <v>2048</v>
      </c>
      <c r="J772" s="15">
        <v>3192</v>
      </c>
      <c r="K772" s="15">
        <v>3192</v>
      </c>
      <c r="L772" s="18">
        <v>3510</v>
      </c>
      <c r="M772" s="19">
        <v>5965350</v>
      </c>
      <c r="N772" s="20">
        <v>0</v>
      </c>
      <c r="O772" s="20">
        <v>0</v>
      </c>
      <c r="P772" s="20">
        <v>0</v>
      </c>
      <c r="Q772" s="20">
        <v>10000</v>
      </c>
      <c r="R772" s="19">
        <f t="shared" si="100"/>
        <v>5975350</v>
      </c>
      <c r="S772" s="19">
        <v>3000</v>
      </c>
      <c r="T772" s="19">
        <f t="shared" si="101"/>
        <v>5978350</v>
      </c>
      <c r="U772" s="105"/>
      <c r="X772" s="10">
        <f t="shared" si="96"/>
        <v>5965350</v>
      </c>
      <c r="Y772" s="2">
        <f t="shared" si="97"/>
        <v>10000</v>
      </c>
      <c r="Z772" s="10">
        <f t="shared" si="102"/>
        <v>0</v>
      </c>
    </row>
    <row r="773" spans="1:26" s="25" customFormat="1" ht="18" customHeight="1" x14ac:dyDescent="0.25">
      <c r="A773" s="12"/>
      <c r="B773" s="12"/>
      <c r="C773" s="12"/>
      <c r="D773" s="12"/>
      <c r="E773" s="12"/>
      <c r="F773" s="15"/>
      <c r="G773" s="16"/>
      <c r="H773" s="18"/>
      <c r="I773" s="15"/>
      <c r="J773" s="15"/>
      <c r="K773" s="15"/>
      <c r="L773" s="18"/>
      <c r="M773" s="19"/>
      <c r="N773" s="38"/>
      <c r="O773" s="38"/>
      <c r="P773" s="38"/>
      <c r="Q773" s="38"/>
      <c r="R773" s="37"/>
      <c r="S773" s="37"/>
      <c r="T773" s="37"/>
      <c r="U773" s="147"/>
      <c r="X773" s="10">
        <f t="shared" si="96"/>
        <v>0</v>
      </c>
      <c r="Y773" s="2">
        <f t="shared" si="97"/>
        <v>0</v>
      </c>
      <c r="Z773" s="10"/>
    </row>
    <row r="774" spans="1:26" ht="33" customHeight="1" x14ac:dyDescent="0.25">
      <c r="A774" s="34" t="s">
        <v>139</v>
      </c>
      <c r="B774" s="9"/>
      <c r="C774" s="9"/>
      <c r="D774" s="9"/>
      <c r="E774" s="9"/>
      <c r="F774" s="9"/>
      <c r="G774" s="61">
        <f>SUM(G732:G773)</f>
        <v>1575940</v>
      </c>
      <c r="H774" s="61">
        <f t="shared" ref="H774:R774" si="103">SUM(H732:H773)</f>
        <v>0</v>
      </c>
      <c r="I774" s="61">
        <f t="shared" si="103"/>
        <v>0</v>
      </c>
      <c r="J774" s="61"/>
      <c r="K774" s="61"/>
      <c r="L774" s="61">
        <f t="shared" si="103"/>
        <v>377771</v>
      </c>
      <c r="M774" s="61">
        <f t="shared" si="103"/>
        <v>642033153</v>
      </c>
      <c r="N774" s="61">
        <f t="shared" si="103"/>
        <v>0</v>
      </c>
      <c r="O774" s="61">
        <f t="shared" si="103"/>
        <v>0</v>
      </c>
      <c r="P774" s="61">
        <f t="shared" si="103"/>
        <v>0</v>
      </c>
      <c r="Q774" s="61">
        <f t="shared" si="103"/>
        <v>110000</v>
      </c>
      <c r="R774" s="61">
        <f t="shared" si="103"/>
        <v>642143153</v>
      </c>
      <c r="S774" s="61">
        <f>SUM(S732:S773)</f>
        <v>1080000</v>
      </c>
      <c r="T774" s="61">
        <f>SUM(T732:T773)</f>
        <v>643223153</v>
      </c>
      <c r="U774" s="28"/>
      <c r="W774" s="62"/>
      <c r="X774" s="10">
        <f t="shared" si="96"/>
        <v>642033153</v>
      </c>
      <c r="Y774" s="2">
        <f t="shared" si="97"/>
        <v>10000</v>
      </c>
      <c r="Z774" s="10"/>
    </row>
    <row r="775" spans="1:26" ht="18" customHeight="1" x14ac:dyDescent="0.25">
      <c r="A775" s="87"/>
      <c r="B775" s="88"/>
      <c r="C775" s="4"/>
      <c r="H775" s="91"/>
      <c r="L775" s="31"/>
      <c r="X775" s="10">
        <f t="shared" si="96"/>
        <v>0</v>
      </c>
      <c r="Y775" s="2">
        <f t="shared" si="97"/>
        <v>0</v>
      </c>
      <c r="Z775" s="10"/>
    </row>
    <row r="776" spans="1:26" ht="18" customHeight="1" x14ac:dyDescent="0.25">
      <c r="A776" s="87"/>
      <c r="B776" s="84"/>
      <c r="C776" s="85"/>
      <c r="D776" s="85"/>
      <c r="E776" s="85"/>
      <c r="F776" s="84"/>
      <c r="G776" s="84"/>
      <c r="L776" s="31"/>
      <c r="X776" s="10">
        <f t="shared" si="96"/>
        <v>0</v>
      </c>
      <c r="Y776" s="2">
        <f t="shared" si="97"/>
        <v>0</v>
      </c>
      <c r="Z776" s="10"/>
    </row>
    <row r="777" spans="1:26" s="84" customFormat="1" ht="39" customHeight="1" x14ac:dyDescent="0.25">
      <c r="A777" s="9" t="s">
        <v>4</v>
      </c>
      <c r="B777" s="21" t="s">
        <v>5</v>
      </c>
      <c r="C777" s="21" t="s">
        <v>6</v>
      </c>
      <c r="D777" s="12"/>
      <c r="E777" s="9" t="s">
        <v>7</v>
      </c>
      <c r="F777" s="21" t="s">
        <v>8</v>
      </c>
      <c r="G777" s="21" t="s">
        <v>9</v>
      </c>
      <c r="H777" s="21" t="s">
        <v>10</v>
      </c>
      <c r="I777" s="21" t="s">
        <v>11</v>
      </c>
      <c r="J777" s="21" t="s">
        <v>12</v>
      </c>
      <c r="K777" s="21" t="s">
        <v>13</v>
      </c>
      <c r="L777" s="21" t="s">
        <v>14</v>
      </c>
      <c r="M777" s="143" t="s">
        <v>15</v>
      </c>
      <c r="N777" s="144" t="s">
        <v>16</v>
      </c>
      <c r="O777" s="144" t="s">
        <v>17</v>
      </c>
      <c r="P777" s="144" t="s">
        <v>18</v>
      </c>
      <c r="Q777" s="144" t="s">
        <v>19</v>
      </c>
      <c r="R777" s="143" t="s">
        <v>20</v>
      </c>
      <c r="S777" s="143" t="s">
        <v>3471</v>
      </c>
      <c r="T777" s="143" t="s">
        <v>3472</v>
      </c>
      <c r="U777" s="145"/>
      <c r="V777" s="145"/>
      <c r="W777" s="145"/>
      <c r="X777" s="145"/>
    </row>
    <row r="778" spans="1:26" ht="18" customHeight="1" x14ac:dyDescent="0.25">
      <c r="A778" s="11"/>
      <c r="B778" s="12"/>
      <c r="C778" s="13"/>
      <c r="D778" s="13"/>
      <c r="E778" s="13"/>
      <c r="F778" s="12"/>
      <c r="G778" s="12"/>
      <c r="H778" s="17"/>
      <c r="I778" s="15"/>
      <c r="J778" s="15"/>
      <c r="K778" s="15"/>
      <c r="L778" s="18"/>
      <c r="M778" s="19"/>
      <c r="N778" s="20"/>
      <c r="O778" s="20"/>
      <c r="P778" s="20"/>
      <c r="Q778" s="20"/>
      <c r="R778" s="19"/>
      <c r="S778" s="19"/>
      <c r="T778" s="19"/>
      <c r="U778" s="105"/>
      <c r="X778" s="10">
        <f t="shared" ref="X778:X787" si="104">M778+N778+O778+P778</f>
        <v>0</v>
      </c>
      <c r="Y778" s="2">
        <f t="shared" ref="Y778:Y787" si="105">IF(X778&gt;5000000,10000,IF(V778&lt;5000000,0,IF(V778=5000000,10000)))</f>
        <v>0</v>
      </c>
      <c r="Z778" s="10"/>
    </row>
    <row r="779" spans="1:26" ht="18" customHeight="1" x14ac:dyDescent="0.25">
      <c r="A779" s="11"/>
      <c r="B779" s="12"/>
      <c r="C779" s="13"/>
      <c r="D779" s="13"/>
      <c r="E779" s="35" t="s">
        <v>141</v>
      </c>
      <c r="F779" s="12"/>
      <c r="G779" s="22">
        <f>G774</f>
        <v>1575940</v>
      </c>
      <c r="H779" s="22">
        <f t="shared" ref="H779:R779" si="106">H774</f>
        <v>0</v>
      </c>
      <c r="I779" s="22">
        <f t="shared" si="106"/>
        <v>0</v>
      </c>
      <c r="J779" s="22"/>
      <c r="K779" s="22"/>
      <c r="L779" s="22">
        <f t="shared" si="106"/>
        <v>377771</v>
      </c>
      <c r="M779" s="23">
        <f t="shared" si="106"/>
        <v>642033153</v>
      </c>
      <c r="N779" s="24">
        <f t="shared" si="106"/>
        <v>0</v>
      </c>
      <c r="O779" s="24">
        <f t="shared" si="106"/>
        <v>0</v>
      </c>
      <c r="P779" s="24">
        <f t="shared" si="106"/>
        <v>0</v>
      </c>
      <c r="Q779" s="24">
        <f t="shared" si="106"/>
        <v>110000</v>
      </c>
      <c r="R779" s="23">
        <f t="shared" si="106"/>
        <v>642143153</v>
      </c>
      <c r="S779" s="23">
        <f>S774</f>
        <v>1080000</v>
      </c>
      <c r="T779" s="23">
        <f>T774</f>
        <v>643223153</v>
      </c>
      <c r="U779" s="146"/>
      <c r="X779" s="10">
        <f t="shared" si="104"/>
        <v>642033153</v>
      </c>
      <c r="Y779" s="2">
        <f t="shared" si="105"/>
        <v>10000</v>
      </c>
      <c r="Z779" s="10"/>
    </row>
    <row r="780" spans="1:26" ht="18" customHeight="1" x14ac:dyDescent="0.25">
      <c r="A780" s="11">
        <v>361</v>
      </c>
      <c r="B780" s="67" t="s">
        <v>2049</v>
      </c>
      <c r="C780" s="14" t="s">
        <v>2050</v>
      </c>
      <c r="D780" s="14" t="s">
        <v>22</v>
      </c>
      <c r="E780" s="14" t="s">
        <v>1835</v>
      </c>
      <c r="F780" s="15" t="s">
        <v>24</v>
      </c>
      <c r="G780" s="16">
        <v>13920</v>
      </c>
      <c r="H780" s="82" t="s">
        <v>25</v>
      </c>
      <c r="I780" s="15" t="s">
        <v>2051</v>
      </c>
      <c r="J780" s="15">
        <v>4732</v>
      </c>
      <c r="K780" s="15">
        <v>4732</v>
      </c>
      <c r="L780" s="18">
        <v>5220</v>
      </c>
      <c r="M780" s="19">
        <v>8871547</v>
      </c>
      <c r="N780" s="20">
        <v>0</v>
      </c>
      <c r="O780" s="20">
        <v>0</v>
      </c>
      <c r="P780" s="20">
        <v>0</v>
      </c>
      <c r="Q780" s="20">
        <v>10000</v>
      </c>
      <c r="R780" s="19">
        <f t="shared" ref="R780:R788" si="107">M780+N780+O780+P780+Q780</f>
        <v>8881547</v>
      </c>
      <c r="S780" s="19">
        <v>3000</v>
      </c>
      <c r="T780" s="19">
        <f t="shared" ref="T780:T788" si="108">R780+S780</f>
        <v>8884547</v>
      </c>
      <c r="U780" s="105"/>
      <c r="X780" s="10">
        <f t="shared" si="104"/>
        <v>8871547</v>
      </c>
      <c r="Y780" s="2">
        <f t="shared" si="105"/>
        <v>10000</v>
      </c>
      <c r="Z780" s="10">
        <f t="shared" ref="Z780:Z787" si="109">Q780-Y780</f>
        <v>0</v>
      </c>
    </row>
    <row r="781" spans="1:26" ht="18" customHeight="1" x14ac:dyDescent="0.25">
      <c r="A781" s="11">
        <v>362</v>
      </c>
      <c r="B781" s="67" t="s">
        <v>2052</v>
      </c>
      <c r="C781" s="14" t="s">
        <v>2053</v>
      </c>
      <c r="D781" s="14" t="s">
        <v>22</v>
      </c>
      <c r="E781" s="14" t="s">
        <v>2054</v>
      </c>
      <c r="F781" s="15" t="s">
        <v>24</v>
      </c>
      <c r="G781" s="16">
        <v>1840</v>
      </c>
      <c r="H781" s="82" t="s">
        <v>25</v>
      </c>
      <c r="I781" s="15" t="s">
        <v>2055</v>
      </c>
      <c r="J781" s="15">
        <v>0</v>
      </c>
      <c r="K781" s="15">
        <v>0</v>
      </c>
      <c r="L781" s="18">
        <v>690</v>
      </c>
      <c r="M781" s="19">
        <v>1172676</v>
      </c>
      <c r="N781" s="20">
        <v>0</v>
      </c>
      <c r="O781" s="20">
        <v>0</v>
      </c>
      <c r="P781" s="20">
        <v>0</v>
      </c>
      <c r="Q781" s="20">
        <v>0</v>
      </c>
      <c r="R781" s="19">
        <f t="shared" si="107"/>
        <v>1172676</v>
      </c>
      <c r="S781" s="19">
        <v>3000</v>
      </c>
      <c r="T781" s="19">
        <f t="shared" si="108"/>
        <v>1175676</v>
      </c>
      <c r="U781" s="105"/>
      <c r="X781" s="10">
        <f t="shared" si="104"/>
        <v>1172676</v>
      </c>
      <c r="Y781" s="2">
        <f t="shared" si="105"/>
        <v>0</v>
      </c>
      <c r="Z781" s="10">
        <f t="shared" si="109"/>
        <v>0</v>
      </c>
    </row>
    <row r="782" spans="1:26" ht="18" customHeight="1" x14ac:dyDescent="0.25">
      <c r="A782" s="11">
        <v>363</v>
      </c>
      <c r="B782" s="67" t="s">
        <v>2056</v>
      </c>
      <c r="C782" s="14" t="s">
        <v>2057</v>
      </c>
      <c r="D782" s="14" t="s">
        <v>22</v>
      </c>
      <c r="E782" s="14" t="s">
        <v>2058</v>
      </c>
      <c r="F782" s="15" t="s">
        <v>24</v>
      </c>
      <c r="G782" s="16">
        <v>3620</v>
      </c>
      <c r="H782" s="82" t="s">
        <v>25</v>
      </c>
      <c r="I782" s="15" t="s">
        <v>2059</v>
      </c>
      <c r="J782" s="15">
        <v>1232</v>
      </c>
      <c r="K782" s="15">
        <v>1232</v>
      </c>
      <c r="L782" s="18">
        <v>1358</v>
      </c>
      <c r="M782" s="19">
        <v>2307962</v>
      </c>
      <c r="N782" s="20">
        <v>0</v>
      </c>
      <c r="O782" s="20">
        <v>0</v>
      </c>
      <c r="P782" s="20">
        <v>0</v>
      </c>
      <c r="Q782" s="20">
        <v>0</v>
      </c>
      <c r="R782" s="19">
        <f t="shared" si="107"/>
        <v>2307962</v>
      </c>
      <c r="S782" s="19">
        <v>3000</v>
      </c>
      <c r="T782" s="19">
        <f t="shared" si="108"/>
        <v>2310962</v>
      </c>
      <c r="U782" s="105"/>
      <c r="X782" s="10">
        <f t="shared" si="104"/>
        <v>2307962</v>
      </c>
      <c r="Y782" s="2">
        <f t="shared" si="105"/>
        <v>0</v>
      </c>
      <c r="Z782" s="10">
        <f t="shared" si="109"/>
        <v>0</v>
      </c>
    </row>
    <row r="783" spans="1:26" ht="18" customHeight="1" x14ac:dyDescent="0.25">
      <c r="A783" s="11">
        <v>364</v>
      </c>
      <c r="B783" s="67" t="s">
        <v>2060</v>
      </c>
      <c r="C783" s="14" t="s">
        <v>2061</v>
      </c>
      <c r="D783" s="14" t="s">
        <v>22</v>
      </c>
      <c r="E783" s="14" t="s">
        <v>2058</v>
      </c>
      <c r="F783" s="15" t="s">
        <v>24</v>
      </c>
      <c r="G783" s="16">
        <v>7700</v>
      </c>
      <c r="H783" s="82" t="s">
        <v>25</v>
      </c>
      <c r="I783" s="15" t="s">
        <v>2062</v>
      </c>
      <c r="J783" s="15">
        <v>0</v>
      </c>
      <c r="K783" s="15">
        <v>0</v>
      </c>
      <c r="L783" s="18">
        <v>2888</v>
      </c>
      <c r="M783" s="19">
        <v>4908243</v>
      </c>
      <c r="N783" s="20">
        <v>0</v>
      </c>
      <c r="O783" s="20">
        <v>0</v>
      </c>
      <c r="P783" s="20">
        <v>0</v>
      </c>
      <c r="Q783" s="20">
        <v>0</v>
      </c>
      <c r="R783" s="19">
        <f t="shared" si="107"/>
        <v>4908243</v>
      </c>
      <c r="S783" s="19">
        <v>3000</v>
      </c>
      <c r="T783" s="19">
        <f t="shared" si="108"/>
        <v>4911243</v>
      </c>
      <c r="U783" s="105"/>
      <c r="X783" s="10">
        <f t="shared" si="104"/>
        <v>4908243</v>
      </c>
      <c r="Y783" s="2">
        <f t="shared" si="105"/>
        <v>0</v>
      </c>
      <c r="Z783" s="10">
        <f t="shared" si="109"/>
        <v>0</v>
      </c>
    </row>
    <row r="784" spans="1:26" ht="18" customHeight="1" x14ac:dyDescent="0.25">
      <c r="A784" s="11">
        <v>365</v>
      </c>
      <c r="B784" s="67" t="s">
        <v>2063</v>
      </c>
      <c r="C784" s="14" t="s">
        <v>2064</v>
      </c>
      <c r="D784" s="14" t="s">
        <v>28</v>
      </c>
      <c r="E784" s="14" t="s">
        <v>2044</v>
      </c>
      <c r="F784" s="15" t="s">
        <v>24</v>
      </c>
      <c r="G784" s="16">
        <v>5500</v>
      </c>
      <c r="H784" s="82" t="s">
        <v>25</v>
      </c>
      <c r="I784" s="15" t="s">
        <v>2065</v>
      </c>
      <c r="J784" s="15">
        <v>1876</v>
      </c>
      <c r="K784" s="15">
        <v>1876</v>
      </c>
      <c r="L784" s="18">
        <v>2063</v>
      </c>
      <c r="M784" s="19">
        <v>3506130</v>
      </c>
      <c r="N784" s="20">
        <v>0</v>
      </c>
      <c r="O784" s="20">
        <v>0</v>
      </c>
      <c r="P784" s="20">
        <v>0</v>
      </c>
      <c r="Q784" s="20">
        <v>0</v>
      </c>
      <c r="R784" s="19">
        <f t="shared" si="107"/>
        <v>3506130</v>
      </c>
      <c r="S784" s="19">
        <v>3000</v>
      </c>
      <c r="T784" s="19">
        <f t="shared" si="108"/>
        <v>3509130</v>
      </c>
      <c r="U784" s="105"/>
      <c r="X784" s="10">
        <f t="shared" si="104"/>
        <v>3506130</v>
      </c>
      <c r="Y784" s="2">
        <f t="shared" si="105"/>
        <v>0</v>
      </c>
      <c r="Z784" s="10">
        <f t="shared" si="109"/>
        <v>0</v>
      </c>
    </row>
    <row r="785" spans="1:26" ht="18" customHeight="1" x14ac:dyDescent="0.25">
      <c r="A785" s="11">
        <v>366</v>
      </c>
      <c r="B785" s="67" t="s">
        <v>2066</v>
      </c>
      <c r="C785" s="14" t="s">
        <v>2067</v>
      </c>
      <c r="D785" s="14" t="s">
        <v>22</v>
      </c>
      <c r="E785" s="14" t="s">
        <v>2044</v>
      </c>
      <c r="F785" s="15" t="s">
        <v>24</v>
      </c>
      <c r="G785" s="16">
        <v>2000</v>
      </c>
      <c r="H785" s="82" t="s">
        <v>25</v>
      </c>
      <c r="I785" s="15" t="s">
        <v>2068</v>
      </c>
      <c r="J785" s="15">
        <v>0</v>
      </c>
      <c r="K785" s="15">
        <v>0</v>
      </c>
      <c r="L785" s="18">
        <v>750</v>
      </c>
      <c r="M785" s="19">
        <v>1274648</v>
      </c>
      <c r="N785" s="20">
        <v>0</v>
      </c>
      <c r="O785" s="20">
        <v>0</v>
      </c>
      <c r="P785" s="20">
        <v>0</v>
      </c>
      <c r="Q785" s="20">
        <v>0</v>
      </c>
      <c r="R785" s="19">
        <f t="shared" si="107"/>
        <v>1274648</v>
      </c>
      <c r="S785" s="19">
        <v>3000</v>
      </c>
      <c r="T785" s="19">
        <f t="shared" si="108"/>
        <v>1277648</v>
      </c>
      <c r="U785" s="105"/>
      <c r="X785" s="10">
        <f t="shared" si="104"/>
        <v>1274648</v>
      </c>
      <c r="Y785" s="2">
        <f t="shared" si="105"/>
        <v>0</v>
      </c>
      <c r="Z785" s="10">
        <f t="shared" si="109"/>
        <v>0</v>
      </c>
    </row>
    <row r="786" spans="1:26" ht="18" customHeight="1" x14ac:dyDescent="0.25">
      <c r="A786" s="11">
        <v>367</v>
      </c>
      <c r="B786" s="67" t="s">
        <v>2069</v>
      </c>
      <c r="C786" s="14" t="s">
        <v>78</v>
      </c>
      <c r="D786" s="14" t="s">
        <v>22</v>
      </c>
      <c r="E786" s="14" t="s">
        <v>2044</v>
      </c>
      <c r="F786" s="15" t="s">
        <v>24</v>
      </c>
      <c r="G786" s="16">
        <v>4400</v>
      </c>
      <c r="H786" s="82" t="s">
        <v>25</v>
      </c>
      <c r="I786" s="15" t="s">
        <v>2070</v>
      </c>
      <c r="J786" s="15">
        <v>1512</v>
      </c>
      <c r="K786" s="15">
        <v>1512</v>
      </c>
      <c r="L786" s="18">
        <v>1650</v>
      </c>
      <c r="M786" s="19">
        <v>2804225</v>
      </c>
      <c r="N786" s="20">
        <v>0</v>
      </c>
      <c r="O786" s="20">
        <v>0</v>
      </c>
      <c r="P786" s="20">
        <v>0</v>
      </c>
      <c r="Q786" s="20">
        <v>0</v>
      </c>
      <c r="R786" s="19">
        <f t="shared" si="107"/>
        <v>2804225</v>
      </c>
      <c r="S786" s="19">
        <v>3000</v>
      </c>
      <c r="T786" s="19">
        <f t="shared" si="108"/>
        <v>2807225</v>
      </c>
      <c r="U786" s="105"/>
      <c r="X786" s="10">
        <f t="shared" si="104"/>
        <v>2804225</v>
      </c>
      <c r="Y786" s="2">
        <f t="shared" si="105"/>
        <v>0</v>
      </c>
      <c r="Z786" s="10">
        <f t="shared" si="109"/>
        <v>0</v>
      </c>
    </row>
    <row r="787" spans="1:26" ht="18" customHeight="1" x14ac:dyDescent="0.25">
      <c r="A787" s="11">
        <v>368</v>
      </c>
      <c r="B787" s="67" t="s">
        <v>2071</v>
      </c>
      <c r="C787" s="14" t="s">
        <v>2072</v>
      </c>
      <c r="D787" s="14" t="s">
        <v>22</v>
      </c>
      <c r="E787" s="14" t="s">
        <v>2073</v>
      </c>
      <c r="F787" s="15" t="s">
        <v>24</v>
      </c>
      <c r="G787" s="16">
        <v>5240</v>
      </c>
      <c r="H787" s="82" t="s">
        <v>25</v>
      </c>
      <c r="I787" s="15" t="s">
        <v>2074</v>
      </c>
      <c r="J787" s="15">
        <v>1792</v>
      </c>
      <c r="K787" s="15">
        <v>1792</v>
      </c>
      <c r="L787" s="18">
        <v>1965</v>
      </c>
      <c r="M787" s="19">
        <v>3339576</v>
      </c>
      <c r="N787" s="20">
        <v>0</v>
      </c>
      <c r="O787" s="20">
        <v>0</v>
      </c>
      <c r="P787" s="20">
        <v>0</v>
      </c>
      <c r="Q787" s="20">
        <v>0</v>
      </c>
      <c r="R787" s="19">
        <f t="shared" si="107"/>
        <v>3339576</v>
      </c>
      <c r="S787" s="19">
        <v>3000</v>
      </c>
      <c r="T787" s="19">
        <f t="shared" si="108"/>
        <v>3342576</v>
      </c>
      <c r="U787" s="105"/>
      <c r="X787" s="10">
        <f t="shared" si="104"/>
        <v>3339576</v>
      </c>
      <c r="Y787" s="2">
        <f t="shared" si="105"/>
        <v>0</v>
      </c>
      <c r="Z787" s="10">
        <f t="shared" si="109"/>
        <v>0</v>
      </c>
    </row>
    <row r="788" spans="1:26" ht="18" customHeight="1" x14ac:dyDescent="0.25">
      <c r="A788" s="11">
        <v>369</v>
      </c>
      <c r="B788" s="67" t="s">
        <v>2075</v>
      </c>
      <c r="C788" s="14" t="s">
        <v>2076</v>
      </c>
      <c r="D788" s="92" t="s">
        <v>68</v>
      </c>
      <c r="E788" s="93" t="s">
        <v>2077</v>
      </c>
      <c r="F788" s="15" t="s">
        <v>24</v>
      </c>
      <c r="G788" s="16">
        <v>1300</v>
      </c>
      <c r="H788" s="82" t="s">
        <v>25</v>
      </c>
      <c r="I788" s="15" t="s">
        <v>2078</v>
      </c>
      <c r="J788" s="15">
        <v>1</v>
      </c>
      <c r="K788" s="15">
        <v>152</v>
      </c>
      <c r="L788" s="18">
        <v>151</v>
      </c>
      <c r="M788" s="19">
        <v>256629</v>
      </c>
      <c r="N788" s="20">
        <v>0</v>
      </c>
      <c r="O788" s="20">
        <v>0</v>
      </c>
      <c r="P788" s="20">
        <v>0</v>
      </c>
      <c r="Q788" s="20">
        <v>0</v>
      </c>
      <c r="R788" s="19">
        <f t="shared" si="107"/>
        <v>256629</v>
      </c>
      <c r="S788" s="19">
        <v>3000</v>
      </c>
      <c r="T788" s="19">
        <f t="shared" si="108"/>
        <v>259629</v>
      </c>
      <c r="U788" s="105"/>
      <c r="X788" s="10"/>
      <c r="Z788" s="10"/>
    </row>
    <row r="789" spans="1:26" ht="18" customHeight="1" x14ac:dyDescent="0.25">
      <c r="A789" s="11"/>
      <c r="B789" s="94"/>
      <c r="C789" s="14"/>
      <c r="D789" s="95"/>
      <c r="E789" s="96"/>
      <c r="F789" s="15"/>
      <c r="G789" s="46"/>
      <c r="H789" s="82"/>
      <c r="I789" s="15"/>
      <c r="J789" s="15"/>
      <c r="K789" s="15"/>
      <c r="L789" s="18"/>
      <c r="M789" s="19"/>
      <c r="N789" s="20"/>
      <c r="O789" s="20"/>
      <c r="P789" s="20"/>
      <c r="Q789" s="20"/>
      <c r="R789" s="19"/>
      <c r="S789" s="19"/>
      <c r="T789" s="19"/>
      <c r="U789" s="105"/>
      <c r="X789" s="10"/>
      <c r="Z789" s="10"/>
    </row>
    <row r="790" spans="1:26" ht="33" customHeight="1" x14ac:dyDescent="0.25">
      <c r="A790" s="34" t="s">
        <v>2079</v>
      </c>
      <c r="B790" s="9"/>
      <c r="C790" s="9"/>
      <c r="D790" s="97"/>
      <c r="E790" s="98"/>
      <c r="F790" s="9"/>
      <c r="G790" s="36">
        <f>SUM(G779:G789)</f>
        <v>1621460</v>
      </c>
      <c r="H790" s="36">
        <f t="shared" ref="H790:R790" si="110">SUM(H779:H789)</f>
        <v>0</v>
      </c>
      <c r="I790" s="36">
        <f t="shared" si="110"/>
        <v>0</v>
      </c>
      <c r="J790" s="36"/>
      <c r="K790" s="36"/>
      <c r="L790" s="36">
        <f t="shared" si="110"/>
        <v>394506</v>
      </c>
      <c r="M790" s="36">
        <f t="shared" si="110"/>
        <v>670474789</v>
      </c>
      <c r="N790" s="36">
        <f t="shared" si="110"/>
        <v>0</v>
      </c>
      <c r="O790" s="36">
        <f t="shared" si="110"/>
        <v>0</v>
      </c>
      <c r="P790" s="36">
        <f t="shared" si="110"/>
        <v>0</v>
      </c>
      <c r="Q790" s="36">
        <f t="shared" si="110"/>
        <v>120000</v>
      </c>
      <c r="R790" s="36">
        <f t="shared" si="110"/>
        <v>670594789</v>
      </c>
      <c r="S790" s="36">
        <f>SUM(S779:S789)</f>
        <v>1107000</v>
      </c>
      <c r="T790" s="36">
        <f>SUM(T779:T789)</f>
        <v>671701789</v>
      </c>
      <c r="U790" s="39"/>
      <c r="V790" s="2">
        <v>670594789</v>
      </c>
      <c r="W790" s="99">
        <f>R790-V790</f>
        <v>0</v>
      </c>
      <c r="X790" s="10">
        <f>V790+W790</f>
        <v>670594789</v>
      </c>
      <c r="Y790" s="10">
        <f>R790-X790</f>
        <v>0</v>
      </c>
      <c r="Z790" s="10"/>
    </row>
    <row r="791" spans="1:26" ht="18" customHeight="1" x14ac:dyDescent="0.25">
      <c r="A791" s="100"/>
      <c r="B791" s="7"/>
      <c r="C791" s="7"/>
      <c r="D791" s="7"/>
      <c r="E791" s="7"/>
      <c r="F791" s="7"/>
      <c r="G791" s="39"/>
      <c r="H791" s="39"/>
      <c r="I791" s="39"/>
      <c r="J791" s="39"/>
      <c r="K791" s="39"/>
      <c r="L791" s="28"/>
      <c r="X791" s="10">
        <f t="shared" ref="X791:X855" si="111">M791+N791+O791+P791</f>
        <v>0</v>
      </c>
      <c r="Y791" s="2">
        <f t="shared" ref="Y791:Y855" si="112">IF(X791&gt;5000000,10000,IF(V791&lt;5000000,0,IF(V791=5000000,10000)))</f>
        <v>0</v>
      </c>
      <c r="Z791" s="10"/>
    </row>
    <row r="792" spans="1:26" ht="18" customHeight="1" x14ac:dyDescent="0.25">
      <c r="A792" s="100"/>
      <c r="B792" s="7"/>
      <c r="C792" s="7"/>
      <c r="D792" s="7"/>
      <c r="E792" s="7"/>
      <c r="F792" s="7"/>
      <c r="G792" s="39"/>
      <c r="H792" s="39"/>
      <c r="I792" s="39"/>
      <c r="J792" s="39"/>
      <c r="K792" s="39"/>
      <c r="L792" s="28"/>
      <c r="X792" s="10">
        <f t="shared" si="111"/>
        <v>0</v>
      </c>
      <c r="Y792" s="2">
        <f t="shared" si="112"/>
        <v>0</v>
      </c>
      <c r="Z792" s="10"/>
    </row>
    <row r="793" spans="1:26" ht="18" customHeight="1" x14ac:dyDescent="0.25">
      <c r="A793" s="101" t="s">
        <v>2080</v>
      </c>
      <c r="C793" s="4"/>
      <c r="D793" s="4"/>
      <c r="E793" s="4"/>
      <c r="G793" s="43"/>
      <c r="L793" s="31"/>
      <c r="X793" s="10">
        <f t="shared" si="111"/>
        <v>0</v>
      </c>
      <c r="Y793" s="2">
        <f t="shared" si="112"/>
        <v>0</v>
      </c>
      <c r="Z793" s="10"/>
    </row>
    <row r="794" spans="1:26" s="84" customFormat="1" ht="39" customHeight="1" x14ac:dyDescent="0.25">
      <c r="A794" s="9" t="s">
        <v>4</v>
      </c>
      <c r="B794" s="21" t="s">
        <v>5</v>
      </c>
      <c r="C794" s="21" t="s">
        <v>6</v>
      </c>
      <c r="D794" s="12"/>
      <c r="E794" s="9" t="s">
        <v>7</v>
      </c>
      <c r="F794" s="21" t="s">
        <v>8</v>
      </c>
      <c r="G794" s="21" t="s">
        <v>9</v>
      </c>
      <c r="H794" s="21" t="s">
        <v>10</v>
      </c>
      <c r="I794" s="21" t="s">
        <v>11</v>
      </c>
      <c r="J794" s="21" t="s">
        <v>12</v>
      </c>
      <c r="K794" s="21" t="s">
        <v>13</v>
      </c>
      <c r="L794" s="21" t="s">
        <v>14</v>
      </c>
      <c r="M794" s="143" t="s">
        <v>15</v>
      </c>
      <c r="N794" s="144" t="s">
        <v>16</v>
      </c>
      <c r="O794" s="144" t="s">
        <v>17</v>
      </c>
      <c r="P794" s="144" t="s">
        <v>18</v>
      </c>
      <c r="Q794" s="144" t="s">
        <v>19</v>
      </c>
      <c r="R794" s="143" t="s">
        <v>20</v>
      </c>
      <c r="S794" s="143" t="s">
        <v>3471</v>
      </c>
      <c r="T794" s="143" t="s">
        <v>3472</v>
      </c>
      <c r="U794" s="145"/>
      <c r="V794" s="145"/>
      <c r="W794" s="145"/>
      <c r="X794" s="145"/>
    </row>
    <row r="795" spans="1:26" ht="18" customHeight="1" x14ac:dyDescent="0.25">
      <c r="A795" s="51"/>
      <c r="B795" s="9"/>
      <c r="C795" s="35"/>
      <c r="D795" s="35"/>
      <c r="E795" s="35"/>
      <c r="F795" s="15"/>
      <c r="G795" s="45"/>
      <c r="H795" s="45"/>
      <c r="I795" s="15"/>
      <c r="J795" s="15"/>
      <c r="K795" s="15"/>
      <c r="L795" s="18"/>
      <c r="M795" s="19"/>
      <c r="N795" s="20"/>
      <c r="O795" s="20"/>
      <c r="P795" s="20"/>
      <c r="Q795" s="20"/>
      <c r="R795" s="19"/>
      <c r="S795" s="19"/>
      <c r="T795" s="19"/>
      <c r="U795" s="105"/>
      <c r="X795" s="10">
        <f t="shared" si="111"/>
        <v>0</v>
      </c>
      <c r="Y795" s="2">
        <f t="shared" si="112"/>
        <v>0</v>
      </c>
      <c r="Z795" s="10"/>
    </row>
    <row r="796" spans="1:26" ht="18" customHeight="1" x14ac:dyDescent="0.25">
      <c r="A796" s="11">
        <v>1</v>
      </c>
      <c r="B796" s="67">
        <v>514100536137</v>
      </c>
      <c r="C796" s="14" t="s">
        <v>279</v>
      </c>
      <c r="D796" s="13" t="s">
        <v>22</v>
      </c>
      <c r="E796" s="14" t="s">
        <v>280</v>
      </c>
      <c r="F796" s="15" t="s">
        <v>24</v>
      </c>
      <c r="G796" s="16">
        <v>4310</v>
      </c>
      <c r="H796" s="52" t="s">
        <v>25</v>
      </c>
      <c r="I796" s="52" t="s">
        <v>2081</v>
      </c>
      <c r="J796" s="102">
        <v>85931</v>
      </c>
      <c r="K796" s="102">
        <v>87415</v>
      </c>
      <c r="L796" s="102">
        <v>1484</v>
      </c>
      <c r="M796" s="41">
        <v>2522103</v>
      </c>
      <c r="N796" s="41">
        <v>0</v>
      </c>
      <c r="O796" s="41">
        <v>0</v>
      </c>
      <c r="P796" s="20">
        <v>0</v>
      </c>
      <c r="Q796" s="20">
        <v>0</v>
      </c>
      <c r="R796" s="19">
        <f t="shared" ref="R796:R835" si="113">M796+N796+O796+P796+Q796</f>
        <v>2522103</v>
      </c>
      <c r="S796" s="19">
        <v>3000</v>
      </c>
      <c r="T796" s="19">
        <f t="shared" ref="T796:T835" si="114">R796+S796</f>
        <v>2525103</v>
      </c>
      <c r="U796" s="105"/>
      <c r="X796" s="10">
        <f t="shared" si="111"/>
        <v>2522103</v>
      </c>
      <c r="Y796" s="2">
        <f t="shared" si="112"/>
        <v>0</v>
      </c>
      <c r="Z796" s="10">
        <f t="shared" ref="Z796:Z835" si="115">Q796-Y796</f>
        <v>0</v>
      </c>
    </row>
    <row r="797" spans="1:26" ht="18" customHeight="1" x14ac:dyDescent="0.25">
      <c r="A797" s="11">
        <v>2</v>
      </c>
      <c r="B797" s="52">
        <v>514100540468</v>
      </c>
      <c r="C797" s="53" t="s">
        <v>2082</v>
      </c>
      <c r="D797" s="13" t="s">
        <v>28</v>
      </c>
      <c r="E797" s="53" t="s">
        <v>2083</v>
      </c>
      <c r="F797" s="54" t="s">
        <v>24</v>
      </c>
      <c r="G797" s="55">
        <v>2800</v>
      </c>
      <c r="H797" s="52" t="s">
        <v>25</v>
      </c>
      <c r="I797" s="52" t="s">
        <v>2084</v>
      </c>
      <c r="J797" s="102">
        <v>0</v>
      </c>
      <c r="K797" s="102">
        <v>0</v>
      </c>
      <c r="L797" s="102">
        <v>1050</v>
      </c>
      <c r="M797" s="41">
        <v>1784507</v>
      </c>
      <c r="N797" s="41">
        <v>0</v>
      </c>
      <c r="O797" s="41">
        <v>0</v>
      </c>
      <c r="P797" s="20">
        <v>0</v>
      </c>
      <c r="Q797" s="20">
        <v>0</v>
      </c>
      <c r="R797" s="19">
        <f t="shared" si="113"/>
        <v>1784507</v>
      </c>
      <c r="S797" s="19">
        <v>3000</v>
      </c>
      <c r="T797" s="19">
        <f t="shared" si="114"/>
        <v>1787507</v>
      </c>
      <c r="U797" s="105"/>
      <c r="X797" s="10">
        <f t="shared" si="111"/>
        <v>1784507</v>
      </c>
      <c r="Y797" s="2">
        <f t="shared" si="112"/>
        <v>0</v>
      </c>
      <c r="Z797" s="10">
        <f t="shared" si="115"/>
        <v>0</v>
      </c>
    </row>
    <row r="798" spans="1:26" ht="18" customHeight="1" x14ac:dyDescent="0.25">
      <c r="A798" s="11">
        <v>3</v>
      </c>
      <c r="B798" s="52">
        <v>514100540874</v>
      </c>
      <c r="C798" s="53" t="s">
        <v>2085</v>
      </c>
      <c r="D798" s="13" t="s">
        <v>28</v>
      </c>
      <c r="E798" s="53" t="s">
        <v>2086</v>
      </c>
      <c r="F798" s="54" t="s">
        <v>24</v>
      </c>
      <c r="G798" s="55">
        <v>10600</v>
      </c>
      <c r="H798" s="52" t="s">
        <v>25</v>
      </c>
      <c r="I798" s="52" t="s">
        <v>2087</v>
      </c>
      <c r="J798" s="102">
        <v>0</v>
      </c>
      <c r="K798" s="102">
        <v>0</v>
      </c>
      <c r="L798" s="102">
        <v>3975</v>
      </c>
      <c r="M798" s="41">
        <v>6755632</v>
      </c>
      <c r="N798" s="41">
        <v>0</v>
      </c>
      <c r="O798" s="41">
        <v>0</v>
      </c>
      <c r="P798" s="20">
        <v>0</v>
      </c>
      <c r="Q798" s="20">
        <v>10000</v>
      </c>
      <c r="R798" s="19">
        <f t="shared" si="113"/>
        <v>6765632</v>
      </c>
      <c r="S798" s="19">
        <v>3000</v>
      </c>
      <c r="T798" s="19">
        <f t="shared" si="114"/>
        <v>6768632</v>
      </c>
      <c r="U798" s="105"/>
      <c r="X798" s="10">
        <f t="shared" si="111"/>
        <v>6755632</v>
      </c>
      <c r="Y798" s="2">
        <f t="shared" si="112"/>
        <v>10000</v>
      </c>
      <c r="Z798" s="10">
        <f t="shared" si="115"/>
        <v>0</v>
      </c>
    </row>
    <row r="799" spans="1:26" ht="18" customHeight="1" x14ac:dyDescent="0.25">
      <c r="A799" s="11">
        <v>4</v>
      </c>
      <c r="B799" s="52">
        <v>514100541071</v>
      </c>
      <c r="C799" s="53" t="s">
        <v>2088</v>
      </c>
      <c r="D799" s="13" t="s">
        <v>28</v>
      </c>
      <c r="E799" s="53" t="s">
        <v>271</v>
      </c>
      <c r="F799" s="54" t="s">
        <v>24</v>
      </c>
      <c r="G799" s="55">
        <v>3500</v>
      </c>
      <c r="H799" s="52" t="s">
        <v>25</v>
      </c>
      <c r="I799" s="52" t="s">
        <v>2089</v>
      </c>
      <c r="J799" s="102">
        <v>0</v>
      </c>
      <c r="K799" s="102">
        <v>0</v>
      </c>
      <c r="L799" s="102">
        <v>1313</v>
      </c>
      <c r="M799" s="41">
        <v>2231483</v>
      </c>
      <c r="N799" s="41">
        <v>0</v>
      </c>
      <c r="O799" s="41">
        <v>0</v>
      </c>
      <c r="P799" s="20">
        <v>0</v>
      </c>
      <c r="Q799" s="20">
        <v>0</v>
      </c>
      <c r="R799" s="19">
        <f t="shared" si="113"/>
        <v>2231483</v>
      </c>
      <c r="S799" s="19">
        <v>3000</v>
      </c>
      <c r="T799" s="19">
        <f t="shared" si="114"/>
        <v>2234483</v>
      </c>
      <c r="U799" s="105"/>
      <c r="X799" s="10">
        <f t="shared" si="111"/>
        <v>2231483</v>
      </c>
      <c r="Y799" s="2">
        <f t="shared" si="112"/>
        <v>0</v>
      </c>
      <c r="Z799" s="10">
        <f t="shared" si="115"/>
        <v>0</v>
      </c>
    </row>
    <row r="800" spans="1:26" ht="18" customHeight="1" x14ac:dyDescent="0.25">
      <c r="A800" s="11">
        <v>5</v>
      </c>
      <c r="B800" s="67">
        <v>514100541097</v>
      </c>
      <c r="C800" s="14" t="s">
        <v>2090</v>
      </c>
      <c r="D800" s="13" t="s">
        <v>28</v>
      </c>
      <c r="E800" s="14" t="s">
        <v>271</v>
      </c>
      <c r="F800" s="15" t="s">
        <v>24</v>
      </c>
      <c r="G800" s="16">
        <v>5500</v>
      </c>
      <c r="H800" s="52" t="s">
        <v>25</v>
      </c>
      <c r="I800" s="52" t="s">
        <v>2091</v>
      </c>
      <c r="J800" s="102">
        <v>10277</v>
      </c>
      <c r="K800" s="102">
        <v>12132</v>
      </c>
      <c r="L800" s="102">
        <v>1855</v>
      </c>
      <c r="M800" s="41">
        <v>3152628</v>
      </c>
      <c r="N800" s="41">
        <v>0</v>
      </c>
      <c r="O800" s="41">
        <v>0</v>
      </c>
      <c r="P800" s="20">
        <v>0</v>
      </c>
      <c r="Q800" s="20">
        <v>0</v>
      </c>
      <c r="R800" s="19">
        <f t="shared" si="113"/>
        <v>3152628</v>
      </c>
      <c r="S800" s="19">
        <v>3000</v>
      </c>
      <c r="T800" s="19">
        <f t="shared" si="114"/>
        <v>3155628</v>
      </c>
      <c r="U800" s="105"/>
      <c r="X800" s="10">
        <f t="shared" si="111"/>
        <v>3152628</v>
      </c>
      <c r="Y800" s="2">
        <f t="shared" si="112"/>
        <v>0</v>
      </c>
      <c r="Z800" s="10">
        <f t="shared" si="115"/>
        <v>0</v>
      </c>
    </row>
    <row r="801" spans="1:26" ht="18" customHeight="1" x14ac:dyDescent="0.25">
      <c r="A801" s="11">
        <v>6</v>
      </c>
      <c r="B801" s="52">
        <v>514100557528</v>
      </c>
      <c r="C801" s="53" t="s">
        <v>2092</v>
      </c>
      <c r="D801" s="13" t="s">
        <v>28</v>
      </c>
      <c r="E801" s="53" t="s">
        <v>2093</v>
      </c>
      <c r="F801" s="54" t="s">
        <v>24</v>
      </c>
      <c r="G801" s="55">
        <v>7700</v>
      </c>
      <c r="H801" s="52" t="s">
        <v>25</v>
      </c>
      <c r="I801" s="52" t="s">
        <v>2094</v>
      </c>
      <c r="J801" s="102">
        <v>0</v>
      </c>
      <c r="K801" s="102">
        <v>0</v>
      </c>
      <c r="L801" s="102">
        <v>2888</v>
      </c>
      <c r="M801" s="41">
        <v>4908243</v>
      </c>
      <c r="N801" s="41">
        <v>0</v>
      </c>
      <c r="O801" s="41">
        <v>0</v>
      </c>
      <c r="P801" s="20">
        <v>0</v>
      </c>
      <c r="Q801" s="20">
        <v>0</v>
      </c>
      <c r="R801" s="19">
        <f t="shared" si="113"/>
        <v>4908243</v>
      </c>
      <c r="S801" s="19">
        <v>3000</v>
      </c>
      <c r="T801" s="19">
        <f t="shared" si="114"/>
        <v>4911243</v>
      </c>
      <c r="U801" s="105"/>
      <c r="X801" s="10">
        <f t="shared" si="111"/>
        <v>4908243</v>
      </c>
      <c r="Y801" s="2">
        <f t="shared" si="112"/>
        <v>0</v>
      </c>
      <c r="Z801" s="10">
        <f t="shared" si="115"/>
        <v>0</v>
      </c>
    </row>
    <row r="802" spans="1:26" ht="18" customHeight="1" x14ac:dyDescent="0.25">
      <c r="A802" s="11">
        <v>7</v>
      </c>
      <c r="B802" s="52">
        <v>514100569539</v>
      </c>
      <c r="C802" s="53" t="s">
        <v>2095</v>
      </c>
      <c r="D802" s="13" t="s">
        <v>28</v>
      </c>
      <c r="E802" s="53" t="s">
        <v>2096</v>
      </c>
      <c r="F802" s="54" t="s">
        <v>24</v>
      </c>
      <c r="G802" s="55">
        <v>9410</v>
      </c>
      <c r="H802" s="52" t="s">
        <v>25</v>
      </c>
      <c r="I802" s="52" t="s">
        <v>2097</v>
      </c>
      <c r="J802" s="102">
        <v>0</v>
      </c>
      <c r="K802" s="102">
        <v>0</v>
      </c>
      <c r="L802" s="102">
        <v>3529</v>
      </c>
      <c r="M802" s="41">
        <v>5997641</v>
      </c>
      <c r="N802" s="41">
        <v>0</v>
      </c>
      <c r="O802" s="41">
        <v>0</v>
      </c>
      <c r="P802" s="20">
        <v>0</v>
      </c>
      <c r="Q802" s="20">
        <v>10000</v>
      </c>
      <c r="R802" s="19">
        <f t="shared" si="113"/>
        <v>6007641</v>
      </c>
      <c r="S802" s="19">
        <v>3000</v>
      </c>
      <c r="T802" s="19">
        <f t="shared" si="114"/>
        <v>6010641</v>
      </c>
      <c r="U802" s="105"/>
      <c r="X802" s="10">
        <f t="shared" si="111"/>
        <v>5997641</v>
      </c>
      <c r="Y802" s="2">
        <f t="shared" si="112"/>
        <v>10000</v>
      </c>
      <c r="Z802" s="10">
        <f t="shared" si="115"/>
        <v>0</v>
      </c>
    </row>
    <row r="803" spans="1:26" ht="18" customHeight="1" x14ac:dyDescent="0.25">
      <c r="A803" s="11">
        <v>8</v>
      </c>
      <c r="B803" s="67">
        <v>514100574615</v>
      </c>
      <c r="C803" s="14" t="s">
        <v>2098</v>
      </c>
      <c r="D803" s="13" t="s">
        <v>28</v>
      </c>
      <c r="E803" s="14" t="s">
        <v>2099</v>
      </c>
      <c r="F803" s="15" t="s">
        <v>24</v>
      </c>
      <c r="G803" s="16">
        <v>3500</v>
      </c>
      <c r="H803" s="52" t="s">
        <v>25</v>
      </c>
      <c r="I803" s="52" t="s">
        <v>2100</v>
      </c>
      <c r="J803" s="102">
        <v>26359</v>
      </c>
      <c r="K803" s="102">
        <v>26769</v>
      </c>
      <c r="L803" s="102">
        <v>410</v>
      </c>
      <c r="M803" s="41">
        <v>696807</v>
      </c>
      <c r="N803" s="41">
        <v>0</v>
      </c>
      <c r="O803" s="41">
        <v>0</v>
      </c>
      <c r="P803" s="20">
        <v>0</v>
      </c>
      <c r="Q803" s="20">
        <v>0</v>
      </c>
      <c r="R803" s="19">
        <f t="shared" si="113"/>
        <v>696807</v>
      </c>
      <c r="S803" s="19">
        <v>3000</v>
      </c>
      <c r="T803" s="19">
        <f t="shared" si="114"/>
        <v>699807</v>
      </c>
      <c r="U803" s="105"/>
      <c r="X803" s="10">
        <f t="shared" si="111"/>
        <v>696807</v>
      </c>
      <c r="Y803" s="2">
        <f t="shared" si="112"/>
        <v>0</v>
      </c>
      <c r="Z803" s="10">
        <f t="shared" si="115"/>
        <v>0</v>
      </c>
    </row>
    <row r="804" spans="1:26" ht="18" customHeight="1" x14ac:dyDescent="0.25">
      <c r="A804" s="11">
        <v>9</v>
      </c>
      <c r="B804" s="52">
        <v>514100576436</v>
      </c>
      <c r="C804" s="53" t="s">
        <v>2101</v>
      </c>
      <c r="D804" s="13" t="s">
        <v>28</v>
      </c>
      <c r="E804" s="53" t="s">
        <v>2102</v>
      </c>
      <c r="F804" s="54" t="s">
        <v>24</v>
      </c>
      <c r="G804" s="55">
        <v>2720</v>
      </c>
      <c r="H804" s="52" t="s">
        <v>25</v>
      </c>
      <c r="I804" s="52" t="s">
        <v>2103</v>
      </c>
      <c r="J804" s="102">
        <v>0</v>
      </c>
      <c r="K804" s="102">
        <v>0</v>
      </c>
      <c r="L804" s="102">
        <v>1020</v>
      </c>
      <c r="M804" s="41">
        <v>1733521</v>
      </c>
      <c r="N804" s="41">
        <v>0</v>
      </c>
      <c r="O804" s="41">
        <v>0</v>
      </c>
      <c r="P804" s="20">
        <v>0</v>
      </c>
      <c r="Q804" s="20">
        <v>0</v>
      </c>
      <c r="R804" s="19">
        <f t="shared" si="113"/>
        <v>1733521</v>
      </c>
      <c r="S804" s="19">
        <v>3000</v>
      </c>
      <c r="T804" s="19">
        <f t="shared" si="114"/>
        <v>1736521</v>
      </c>
      <c r="U804" s="105"/>
      <c r="X804" s="10">
        <f t="shared" si="111"/>
        <v>1733521</v>
      </c>
      <c r="Y804" s="2">
        <f t="shared" si="112"/>
        <v>0</v>
      </c>
      <c r="Z804" s="10">
        <f t="shared" si="115"/>
        <v>0</v>
      </c>
    </row>
    <row r="805" spans="1:26" ht="18" customHeight="1" x14ac:dyDescent="0.25">
      <c r="A805" s="11">
        <v>10</v>
      </c>
      <c r="B805" s="52">
        <v>514100576451</v>
      </c>
      <c r="C805" s="53" t="s">
        <v>2104</v>
      </c>
      <c r="D805" s="13" t="s">
        <v>28</v>
      </c>
      <c r="E805" s="53" t="s">
        <v>2105</v>
      </c>
      <c r="F805" s="54" t="s">
        <v>24</v>
      </c>
      <c r="G805" s="55">
        <v>16500</v>
      </c>
      <c r="H805" s="52" t="s">
        <v>25</v>
      </c>
      <c r="I805" s="52" t="s">
        <v>2106</v>
      </c>
      <c r="J805" s="102">
        <v>0</v>
      </c>
      <c r="K805" s="102">
        <v>0</v>
      </c>
      <c r="L805" s="102">
        <v>6188</v>
      </c>
      <c r="M805" s="41">
        <v>10516692</v>
      </c>
      <c r="N805" s="41">
        <v>0</v>
      </c>
      <c r="O805" s="41">
        <v>0</v>
      </c>
      <c r="P805" s="20">
        <v>0</v>
      </c>
      <c r="Q805" s="20">
        <v>10000</v>
      </c>
      <c r="R805" s="19">
        <f t="shared" si="113"/>
        <v>10526692</v>
      </c>
      <c r="S805" s="19">
        <v>3000</v>
      </c>
      <c r="T805" s="19">
        <f t="shared" si="114"/>
        <v>10529692</v>
      </c>
      <c r="U805" s="105"/>
      <c r="X805" s="10">
        <f t="shared" si="111"/>
        <v>10516692</v>
      </c>
      <c r="Y805" s="2">
        <f t="shared" si="112"/>
        <v>10000</v>
      </c>
      <c r="Z805" s="10">
        <f t="shared" si="115"/>
        <v>0</v>
      </c>
    </row>
    <row r="806" spans="1:26" ht="18" customHeight="1" x14ac:dyDescent="0.25">
      <c r="A806" s="11">
        <v>11</v>
      </c>
      <c r="B806" s="52">
        <v>514100580138</v>
      </c>
      <c r="C806" s="53" t="s">
        <v>2107</v>
      </c>
      <c r="D806" s="13" t="s">
        <v>28</v>
      </c>
      <c r="E806" s="53" t="s">
        <v>2108</v>
      </c>
      <c r="F806" s="54" t="s">
        <v>24</v>
      </c>
      <c r="G806" s="55">
        <v>5500</v>
      </c>
      <c r="H806" s="52" t="s">
        <v>25</v>
      </c>
      <c r="I806" s="52" t="s">
        <v>2109</v>
      </c>
      <c r="J806" s="102">
        <v>985</v>
      </c>
      <c r="K806" s="102">
        <v>2513</v>
      </c>
      <c r="L806" s="102">
        <v>1528</v>
      </c>
      <c r="M806" s="41">
        <v>2596882</v>
      </c>
      <c r="N806" s="41">
        <v>0</v>
      </c>
      <c r="O806" s="41">
        <v>0</v>
      </c>
      <c r="P806" s="20">
        <v>0</v>
      </c>
      <c r="Q806" s="20">
        <v>0</v>
      </c>
      <c r="R806" s="19">
        <f t="shared" si="113"/>
        <v>2596882</v>
      </c>
      <c r="S806" s="19">
        <v>3000</v>
      </c>
      <c r="T806" s="19">
        <f t="shared" si="114"/>
        <v>2599882</v>
      </c>
      <c r="U806" s="105"/>
      <c r="X806" s="10">
        <f t="shared" si="111"/>
        <v>2596882</v>
      </c>
      <c r="Y806" s="2">
        <f t="shared" si="112"/>
        <v>0</v>
      </c>
      <c r="Z806" s="10">
        <f t="shared" si="115"/>
        <v>0</v>
      </c>
    </row>
    <row r="807" spans="1:26" ht="18" customHeight="1" x14ac:dyDescent="0.25">
      <c r="A807" s="11">
        <v>12</v>
      </c>
      <c r="B807" s="52">
        <v>514100585370</v>
      </c>
      <c r="C807" s="53" t="s">
        <v>2110</v>
      </c>
      <c r="D807" s="13" t="s">
        <v>28</v>
      </c>
      <c r="E807" s="53" t="s">
        <v>271</v>
      </c>
      <c r="F807" s="54" t="s">
        <v>24</v>
      </c>
      <c r="G807" s="55">
        <v>7700</v>
      </c>
      <c r="H807" s="52" t="s">
        <v>25</v>
      </c>
      <c r="I807" s="52" t="s">
        <v>2111</v>
      </c>
      <c r="J807" s="102">
        <v>0</v>
      </c>
      <c r="K807" s="102">
        <v>0</v>
      </c>
      <c r="L807" s="102">
        <v>2888</v>
      </c>
      <c r="M807" s="41">
        <v>4908243</v>
      </c>
      <c r="N807" s="41">
        <v>0</v>
      </c>
      <c r="O807" s="41">
        <v>0</v>
      </c>
      <c r="P807" s="20">
        <v>0</v>
      </c>
      <c r="Q807" s="20">
        <v>0</v>
      </c>
      <c r="R807" s="19">
        <f t="shared" si="113"/>
        <v>4908243</v>
      </c>
      <c r="S807" s="19">
        <v>3000</v>
      </c>
      <c r="T807" s="19">
        <f t="shared" si="114"/>
        <v>4911243</v>
      </c>
      <c r="U807" s="105"/>
      <c r="X807" s="10">
        <f t="shared" si="111"/>
        <v>4908243</v>
      </c>
      <c r="Y807" s="2">
        <f t="shared" si="112"/>
        <v>0</v>
      </c>
      <c r="Z807" s="10">
        <f t="shared" si="115"/>
        <v>0</v>
      </c>
    </row>
    <row r="808" spans="1:26" ht="18" customHeight="1" x14ac:dyDescent="0.25">
      <c r="A808" s="11">
        <v>13</v>
      </c>
      <c r="B808" s="67">
        <v>514100585425</v>
      </c>
      <c r="C808" s="14" t="s">
        <v>2112</v>
      </c>
      <c r="D808" s="13" t="s">
        <v>28</v>
      </c>
      <c r="E808" s="14" t="s">
        <v>2113</v>
      </c>
      <c r="F808" s="15" t="s">
        <v>24</v>
      </c>
      <c r="G808" s="16">
        <v>3500</v>
      </c>
      <c r="H808" s="52" t="s">
        <v>25</v>
      </c>
      <c r="I808" s="52" t="s">
        <v>2114</v>
      </c>
      <c r="J808" s="102">
        <v>59921</v>
      </c>
      <c r="K808" s="102">
        <v>61067</v>
      </c>
      <c r="L808" s="102">
        <v>1146</v>
      </c>
      <c r="M808" s="41">
        <v>1947661</v>
      </c>
      <c r="N808" s="41">
        <v>0</v>
      </c>
      <c r="O808" s="41">
        <v>0</v>
      </c>
      <c r="P808" s="20">
        <v>0</v>
      </c>
      <c r="Q808" s="20">
        <v>0</v>
      </c>
      <c r="R808" s="19">
        <f t="shared" si="113"/>
        <v>1947661</v>
      </c>
      <c r="S808" s="19">
        <v>3000</v>
      </c>
      <c r="T808" s="19">
        <f t="shared" si="114"/>
        <v>1950661</v>
      </c>
      <c r="U808" s="105"/>
      <c r="X808" s="10">
        <f t="shared" si="111"/>
        <v>1947661</v>
      </c>
      <c r="Y808" s="2">
        <f t="shared" si="112"/>
        <v>0</v>
      </c>
      <c r="Z808" s="10">
        <f t="shared" si="115"/>
        <v>0</v>
      </c>
    </row>
    <row r="809" spans="1:26" ht="18" customHeight="1" x14ac:dyDescent="0.25">
      <c r="A809" s="11">
        <v>14</v>
      </c>
      <c r="B809" s="67">
        <v>514100587652</v>
      </c>
      <c r="C809" s="14" t="s">
        <v>270</v>
      </c>
      <c r="D809" s="13" t="s">
        <v>28</v>
      </c>
      <c r="E809" s="14" t="s">
        <v>2115</v>
      </c>
      <c r="F809" s="15" t="s">
        <v>24</v>
      </c>
      <c r="G809" s="16">
        <v>4400</v>
      </c>
      <c r="H809" s="52" t="s">
        <v>25</v>
      </c>
      <c r="I809" s="52" t="s">
        <v>2116</v>
      </c>
      <c r="J809" s="102">
        <v>24247</v>
      </c>
      <c r="K809" s="102">
        <v>25572</v>
      </c>
      <c r="L809" s="102">
        <v>1325</v>
      </c>
      <c r="M809" s="41">
        <v>2251877</v>
      </c>
      <c r="N809" s="41">
        <v>0</v>
      </c>
      <c r="O809" s="41">
        <v>0</v>
      </c>
      <c r="P809" s="20">
        <v>0</v>
      </c>
      <c r="Q809" s="20">
        <v>0</v>
      </c>
      <c r="R809" s="19">
        <f t="shared" si="113"/>
        <v>2251877</v>
      </c>
      <c r="S809" s="19">
        <v>3000</v>
      </c>
      <c r="T809" s="19">
        <f t="shared" si="114"/>
        <v>2254877</v>
      </c>
      <c r="U809" s="105"/>
      <c r="X809" s="10">
        <f t="shared" si="111"/>
        <v>2251877</v>
      </c>
      <c r="Y809" s="2">
        <f t="shared" si="112"/>
        <v>0</v>
      </c>
      <c r="Z809" s="10">
        <f t="shared" si="115"/>
        <v>0</v>
      </c>
    </row>
    <row r="810" spans="1:26" ht="18" customHeight="1" x14ac:dyDescent="0.25">
      <c r="A810" s="11">
        <v>15</v>
      </c>
      <c r="B810" s="67">
        <v>514100587869</v>
      </c>
      <c r="C810" s="14" t="s">
        <v>2117</v>
      </c>
      <c r="D810" s="13" t="s">
        <v>28</v>
      </c>
      <c r="E810" s="14" t="s">
        <v>2118</v>
      </c>
      <c r="F810" s="15" t="s">
        <v>24</v>
      </c>
      <c r="G810" s="16">
        <v>1500</v>
      </c>
      <c r="H810" s="52" t="s">
        <v>25</v>
      </c>
      <c r="I810" s="52" t="s">
        <v>2119</v>
      </c>
      <c r="J810" s="102">
        <v>1060</v>
      </c>
      <c r="K810" s="102">
        <v>2107</v>
      </c>
      <c r="L810" s="102">
        <v>1047</v>
      </c>
      <c r="M810" s="41">
        <v>1779408</v>
      </c>
      <c r="N810" s="41">
        <v>0</v>
      </c>
      <c r="O810" s="41">
        <v>0</v>
      </c>
      <c r="P810" s="20">
        <v>0</v>
      </c>
      <c r="Q810" s="20">
        <v>0</v>
      </c>
      <c r="R810" s="19">
        <f t="shared" si="113"/>
        <v>1779408</v>
      </c>
      <c r="S810" s="19">
        <v>3000</v>
      </c>
      <c r="T810" s="19">
        <f t="shared" si="114"/>
        <v>1782408</v>
      </c>
      <c r="U810" s="105"/>
      <c r="X810" s="10">
        <f t="shared" si="111"/>
        <v>1779408</v>
      </c>
      <c r="Y810" s="2">
        <f t="shared" si="112"/>
        <v>0</v>
      </c>
      <c r="Z810" s="10">
        <f t="shared" si="115"/>
        <v>0</v>
      </c>
    </row>
    <row r="811" spans="1:26" ht="18" customHeight="1" x14ac:dyDescent="0.25">
      <c r="A811" s="11">
        <v>16</v>
      </c>
      <c r="B811" s="52">
        <v>514100591951</v>
      </c>
      <c r="C811" s="53" t="s">
        <v>2120</v>
      </c>
      <c r="D811" s="13" t="s">
        <v>28</v>
      </c>
      <c r="E811" s="53" t="s">
        <v>2121</v>
      </c>
      <c r="F811" s="54" t="s">
        <v>24</v>
      </c>
      <c r="G811" s="55">
        <v>23000</v>
      </c>
      <c r="H811" s="52" t="s">
        <v>25</v>
      </c>
      <c r="I811" s="52" t="s">
        <v>2122</v>
      </c>
      <c r="J811" s="102">
        <v>0</v>
      </c>
      <c r="K811" s="102">
        <v>0</v>
      </c>
      <c r="L811" s="102">
        <v>8625</v>
      </c>
      <c r="M811" s="41">
        <v>14658446</v>
      </c>
      <c r="N811" s="41">
        <v>0</v>
      </c>
      <c r="O811" s="41">
        <v>0</v>
      </c>
      <c r="P811" s="20">
        <v>0</v>
      </c>
      <c r="Q811" s="20">
        <v>10000</v>
      </c>
      <c r="R811" s="19">
        <f t="shared" si="113"/>
        <v>14668446</v>
      </c>
      <c r="S811" s="19">
        <v>3000</v>
      </c>
      <c r="T811" s="19">
        <f t="shared" si="114"/>
        <v>14671446</v>
      </c>
      <c r="U811" s="105"/>
      <c r="X811" s="10">
        <f t="shared" si="111"/>
        <v>14658446</v>
      </c>
      <c r="Y811" s="2">
        <f t="shared" si="112"/>
        <v>10000</v>
      </c>
      <c r="Z811" s="10">
        <f t="shared" si="115"/>
        <v>0</v>
      </c>
    </row>
    <row r="812" spans="1:26" ht="18" customHeight="1" x14ac:dyDescent="0.25">
      <c r="A812" s="11">
        <v>17</v>
      </c>
      <c r="B812" s="52">
        <v>514100596881</v>
      </c>
      <c r="C812" s="53" t="s">
        <v>2123</v>
      </c>
      <c r="D812" s="13" t="s">
        <v>28</v>
      </c>
      <c r="E812" s="53" t="s">
        <v>2124</v>
      </c>
      <c r="F812" s="54" t="s">
        <v>24</v>
      </c>
      <c r="G812" s="55">
        <v>800</v>
      </c>
      <c r="H812" s="52" t="s">
        <v>25</v>
      </c>
      <c r="I812" s="52" t="s">
        <v>2125</v>
      </c>
      <c r="J812" s="102">
        <v>1</v>
      </c>
      <c r="K812" s="102">
        <v>1</v>
      </c>
      <c r="L812" s="102">
        <v>300</v>
      </c>
      <c r="M812" s="41">
        <v>509859</v>
      </c>
      <c r="N812" s="41">
        <v>0</v>
      </c>
      <c r="O812" s="41">
        <v>0</v>
      </c>
      <c r="P812" s="20">
        <v>0</v>
      </c>
      <c r="Q812" s="20">
        <v>0</v>
      </c>
      <c r="R812" s="19">
        <f t="shared" si="113"/>
        <v>509859</v>
      </c>
      <c r="S812" s="19">
        <v>3000</v>
      </c>
      <c r="T812" s="19">
        <f t="shared" si="114"/>
        <v>512859</v>
      </c>
      <c r="U812" s="105"/>
      <c r="X812" s="10">
        <f t="shared" si="111"/>
        <v>509859</v>
      </c>
      <c r="Y812" s="2">
        <f t="shared" si="112"/>
        <v>0</v>
      </c>
      <c r="Z812" s="10">
        <f t="shared" si="115"/>
        <v>0</v>
      </c>
    </row>
    <row r="813" spans="1:26" ht="18" customHeight="1" x14ac:dyDescent="0.25">
      <c r="A813" s="11">
        <v>18</v>
      </c>
      <c r="B813" s="52">
        <v>514100603674</v>
      </c>
      <c r="C813" s="53" t="s">
        <v>2126</v>
      </c>
      <c r="D813" s="13" t="s">
        <v>28</v>
      </c>
      <c r="E813" s="53" t="s">
        <v>2127</v>
      </c>
      <c r="F813" s="54" t="s">
        <v>24</v>
      </c>
      <c r="G813" s="55">
        <v>7700</v>
      </c>
      <c r="H813" s="52" t="s">
        <v>25</v>
      </c>
      <c r="I813" s="52" t="s">
        <v>2128</v>
      </c>
      <c r="J813" s="102">
        <v>0</v>
      </c>
      <c r="K813" s="102">
        <v>0</v>
      </c>
      <c r="L813" s="102">
        <v>2888</v>
      </c>
      <c r="M813" s="41">
        <v>4908243</v>
      </c>
      <c r="N813" s="41">
        <v>0</v>
      </c>
      <c r="O813" s="41">
        <v>0</v>
      </c>
      <c r="P813" s="20">
        <v>0</v>
      </c>
      <c r="Q813" s="20">
        <v>0</v>
      </c>
      <c r="R813" s="19">
        <f t="shared" si="113"/>
        <v>4908243</v>
      </c>
      <c r="S813" s="19">
        <v>3000</v>
      </c>
      <c r="T813" s="19">
        <f t="shared" si="114"/>
        <v>4911243</v>
      </c>
      <c r="U813" s="105"/>
      <c r="X813" s="10">
        <f t="shared" si="111"/>
        <v>4908243</v>
      </c>
      <c r="Y813" s="2">
        <f t="shared" si="112"/>
        <v>0</v>
      </c>
      <c r="Z813" s="10">
        <f t="shared" si="115"/>
        <v>0</v>
      </c>
    </row>
    <row r="814" spans="1:26" ht="18" customHeight="1" x14ac:dyDescent="0.25">
      <c r="A814" s="11">
        <v>19</v>
      </c>
      <c r="B814" s="52">
        <v>514100604220</v>
      </c>
      <c r="C814" s="53" t="s">
        <v>2129</v>
      </c>
      <c r="D814" s="13" t="s">
        <v>28</v>
      </c>
      <c r="E814" s="53" t="s">
        <v>2130</v>
      </c>
      <c r="F814" s="54" t="s">
        <v>24</v>
      </c>
      <c r="G814" s="55">
        <v>7700</v>
      </c>
      <c r="H814" s="52" t="s">
        <v>25</v>
      </c>
      <c r="I814" s="52" t="s">
        <v>2131</v>
      </c>
      <c r="J814" s="102">
        <v>0</v>
      </c>
      <c r="K814" s="102">
        <v>0</v>
      </c>
      <c r="L814" s="102">
        <v>2888</v>
      </c>
      <c r="M814" s="41">
        <v>4908243</v>
      </c>
      <c r="N814" s="41">
        <v>0</v>
      </c>
      <c r="O814" s="41">
        <v>0</v>
      </c>
      <c r="P814" s="20">
        <v>0</v>
      </c>
      <c r="Q814" s="20">
        <v>0</v>
      </c>
      <c r="R814" s="19">
        <f t="shared" si="113"/>
        <v>4908243</v>
      </c>
      <c r="S814" s="19">
        <v>3000</v>
      </c>
      <c r="T814" s="19">
        <f t="shared" si="114"/>
        <v>4911243</v>
      </c>
      <c r="U814" s="105"/>
      <c r="X814" s="10">
        <f t="shared" si="111"/>
        <v>4908243</v>
      </c>
      <c r="Y814" s="2">
        <f t="shared" si="112"/>
        <v>0</v>
      </c>
      <c r="Z814" s="10">
        <f t="shared" si="115"/>
        <v>0</v>
      </c>
    </row>
    <row r="815" spans="1:26" ht="18" customHeight="1" x14ac:dyDescent="0.25">
      <c r="A815" s="11">
        <v>20</v>
      </c>
      <c r="B815" s="52">
        <v>514100611924</v>
      </c>
      <c r="C815" s="53" t="s">
        <v>2132</v>
      </c>
      <c r="D815" s="13" t="s">
        <v>28</v>
      </c>
      <c r="E815" s="53" t="s">
        <v>2133</v>
      </c>
      <c r="F815" s="54" t="s">
        <v>24</v>
      </c>
      <c r="G815" s="55">
        <v>27650</v>
      </c>
      <c r="H815" s="52" t="s">
        <v>25</v>
      </c>
      <c r="I815" s="52" t="s">
        <v>2134</v>
      </c>
      <c r="J815" s="102">
        <v>0</v>
      </c>
      <c r="K815" s="102">
        <v>0</v>
      </c>
      <c r="L815" s="102">
        <v>10369</v>
      </c>
      <c r="M815" s="41">
        <v>17622427</v>
      </c>
      <c r="N815" s="41">
        <v>0</v>
      </c>
      <c r="O815" s="41">
        <v>0</v>
      </c>
      <c r="P815" s="20">
        <v>0</v>
      </c>
      <c r="Q815" s="20">
        <v>10000</v>
      </c>
      <c r="R815" s="19">
        <f t="shared" si="113"/>
        <v>17632427</v>
      </c>
      <c r="S815" s="19">
        <v>3000</v>
      </c>
      <c r="T815" s="19">
        <f t="shared" si="114"/>
        <v>17635427</v>
      </c>
      <c r="U815" s="105"/>
      <c r="X815" s="10">
        <f t="shared" si="111"/>
        <v>17622427</v>
      </c>
      <c r="Y815" s="2">
        <f t="shared" si="112"/>
        <v>10000</v>
      </c>
      <c r="Z815" s="10">
        <f t="shared" si="115"/>
        <v>0</v>
      </c>
    </row>
    <row r="816" spans="1:26" ht="18" customHeight="1" x14ac:dyDescent="0.25">
      <c r="A816" s="11">
        <v>21</v>
      </c>
      <c r="B816" s="67">
        <v>514100611932</v>
      </c>
      <c r="C816" s="14" t="s">
        <v>2135</v>
      </c>
      <c r="D816" s="13" t="s">
        <v>28</v>
      </c>
      <c r="E816" s="14" t="s">
        <v>2136</v>
      </c>
      <c r="F816" s="15" t="s">
        <v>24</v>
      </c>
      <c r="G816" s="16">
        <v>4400</v>
      </c>
      <c r="H816" s="52" t="s">
        <v>25</v>
      </c>
      <c r="I816" s="52" t="s">
        <v>2137</v>
      </c>
      <c r="J816" s="102">
        <v>79450</v>
      </c>
      <c r="K816" s="102">
        <v>80937</v>
      </c>
      <c r="L816" s="102">
        <v>1487</v>
      </c>
      <c r="M816" s="41">
        <v>2527201</v>
      </c>
      <c r="N816" s="41">
        <v>0</v>
      </c>
      <c r="O816" s="41">
        <v>0</v>
      </c>
      <c r="P816" s="20">
        <v>0</v>
      </c>
      <c r="Q816" s="20">
        <v>0</v>
      </c>
      <c r="R816" s="19">
        <f t="shared" si="113"/>
        <v>2527201</v>
      </c>
      <c r="S816" s="19">
        <v>3000</v>
      </c>
      <c r="T816" s="19">
        <f t="shared" si="114"/>
        <v>2530201</v>
      </c>
      <c r="U816" s="105"/>
      <c r="X816" s="10">
        <f t="shared" si="111"/>
        <v>2527201</v>
      </c>
      <c r="Y816" s="2">
        <f t="shared" si="112"/>
        <v>0</v>
      </c>
      <c r="Z816" s="10">
        <f t="shared" si="115"/>
        <v>0</v>
      </c>
    </row>
    <row r="817" spans="1:26" ht="18" customHeight="1" x14ac:dyDescent="0.25">
      <c r="A817" s="11">
        <v>22</v>
      </c>
      <c r="B817" s="52">
        <v>514100616024</v>
      </c>
      <c r="C817" s="53" t="s">
        <v>2138</v>
      </c>
      <c r="D817" s="13" t="s">
        <v>28</v>
      </c>
      <c r="E817" s="53" t="s">
        <v>2139</v>
      </c>
      <c r="F817" s="54" t="s">
        <v>24</v>
      </c>
      <c r="G817" s="55">
        <v>16030</v>
      </c>
      <c r="H817" s="52" t="s">
        <v>25</v>
      </c>
      <c r="I817" s="52" t="s">
        <v>2140</v>
      </c>
      <c r="J817" s="102">
        <v>0</v>
      </c>
      <c r="K817" s="102">
        <v>0</v>
      </c>
      <c r="L817" s="102">
        <v>6011</v>
      </c>
      <c r="M817" s="41">
        <v>10215875</v>
      </c>
      <c r="N817" s="41">
        <v>0</v>
      </c>
      <c r="O817" s="41">
        <v>0</v>
      </c>
      <c r="P817" s="20">
        <v>0</v>
      </c>
      <c r="Q817" s="20">
        <v>10000</v>
      </c>
      <c r="R817" s="19">
        <f t="shared" si="113"/>
        <v>10225875</v>
      </c>
      <c r="S817" s="19">
        <v>3000</v>
      </c>
      <c r="T817" s="19">
        <f t="shared" si="114"/>
        <v>10228875</v>
      </c>
      <c r="U817" s="105"/>
      <c r="X817" s="10">
        <f t="shared" si="111"/>
        <v>10215875</v>
      </c>
      <c r="Y817" s="2">
        <f t="shared" si="112"/>
        <v>10000</v>
      </c>
      <c r="Z817" s="10">
        <f t="shared" si="115"/>
        <v>0</v>
      </c>
    </row>
    <row r="818" spans="1:26" ht="18" customHeight="1" x14ac:dyDescent="0.25">
      <c r="A818" s="11">
        <v>23</v>
      </c>
      <c r="B818" s="52">
        <v>514100616032</v>
      </c>
      <c r="C818" s="53" t="s">
        <v>2141</v>
      </c>
      <c r="D818" s="13" t="s">
        <v>28</v>
      </c>
      <c r="E818" s="53" t="s">
        <v>2142</v>
      </c>
      <c r="F818" s="54" t="s">
        <v>24</v>
      </c>
      <c r="G818" s="55">
        <v>10600</v>
      </c>
      <c r="H818" s="52" t="s">
        <v>25</v>
      </c>
      <c r="I818" s="52" t="s">
        <v>2143</v>
      </c>
      <c r="J818" s="102">
        <v>0</v>
      </c>
      <c r="K818" s="102">
        <v>0</v>
      </c>
      <c r="L818" s="102">
        <v>3975</v>
      </c>
      <c r="M818" s="41">
        <v>6755632</v>
      </c>
      <c r="N818" s="41">
        <v>0</v>
      </c>
      <c r="O818" s="41">
        <v>0</v>
      </c>
      <c r="P818" s="20">
        <v>0</v>
      </c>
      <c r="Q818" s="20">
        <v>10000</v>
      </c>
      <c r="R818" s="19">
        <f t="shared" si="113"/>
        <v>6765632</v>
      </c>
      <c r="S818" s="19">
        <v>3000</v>
      </c>
      <c r="T818" s="19">
        <f t="shared" si="114"/>
        <v>6768632</v>
      </c>
      <c r="U818" s="105"/>
      <c r="X818" s="10">
        <f t="shared" si="111"/>
        <v>6755632</v>
      </c>
      <c r="Y818" s="2">
        <f t="shared" si="112"/>
        <v>10000</v>
      </c>
      <c r="Z818" s="10">
        <f t="shared" si="115"/>
        <v>0</v>
      </c>
    </row>
    <row r="819" spans="1:26" ht="18" customHeight="1" x14ac:dyDescent="0.25">
      <c r="A819" s="11">
        <v>24</v>
      </c>
      <c r="B819" s="52">
        <v>514100616377</v>
      </c>
      <c r="C819" s="53" t="s">
        <v>2144</v>
      </c>
      <c r="D819" s="13" t="s">
        <v>28</v>
      </c>
      <c r="E819" s="53" t="s">
        <v>2145</v>
      </c>
      <c r="F819" s="54" t="s">
        <v>24</v>
      </c>
      <c r="G819" s="55">
        <v>17600</v>
      </c>
      <c r="H819" s="52" t="s">
        <v>25</v>
      </c>
      <c r="I819" s="52" t="s">
        <v>2146</v>
      </c>
      <c r="J819" s="102">
        <v>0</v>
      </c>
      <c r="K819" s="102">
        <v>0</v>
      </c>
      <c r="L819" s="102">
        <v>6600</v>
      </c>
      <c r="M819" s="41">
        <v>11216898</v>
      </c>
      <c r="N819" s="41">
        <v>0</v>
      </c>
      <c r="O819" s="41">
        <v>0</v>
      </c>
      <c r="P819" s="20">
        <v>0</v>
      </c>
      <c r="Q819" s="20">
        <v>10000</v>
      </c>
      <c r="R819" s="19">
        <f t="shared" si="113"/>
        <v>11226898</v>
      </c>
      <c r="S819" s="19">
        <v>3000</v>
      </c>
      <c r="T819" s="19">
        <f t="shared" si="114"/>
        <v>11229898</v>
      </c>
      <c r="U819" s="105"/>
      <c r="X819" s="10">
        <f t="shared" si="111"/>
        <v>11216898</v>
      </c>
      <c r="Y819" s="2">
        <f t="shared" si="112"/>
        <v>10000</v>
      </c>
      <c r="Z819" s="10">
        <f t="shared" si="115"/>
        <v>0</v>
      </c>
    </row>
    <row r="820" spans="1:26" ht="18" customHeight="1" x14ac:dyDescent="0.25">
      <c r="A820" s="11">
        <v>25</v>
      </c>
      <c r="B820" s="52">
        <v>514100618285</v>
      </c>
      <c r="C820" s="53" t="s">
        <v>2147</v>
      </c>
      <c r="D820" s="13" t="s">
        <v>28</v>
      </c>
      <c r="E820" s="53" t="s">
        <v>2148</v>
      </c>
      <c r="F820" s="54" t="s">
        <v>24</v>
      </c>
      <c r="G820" s="55">
        <v>16500</v>
      </c>
      <c r="H820" s="52" t="s">
        <v>25</v>
      </c>
      <c r="I820" s="52" t="s">
        <v>2149</v>
      </c>
      <c r="J820" s="102">
        <v>0</v>
      </c>
      <c r="K820" s="102">
        <v>0</v>
      </c>
      <c r="L820" s="102">
        <v>6188</v>
      </c>
      <c r="M820" s="41">
        <v>10516692</v>
      </c>
      <c r="N820" s="41">
        <v>0</v>
      </c>
      <c r="O820" s="41">
        <v>0</v>
      </c>
      <c r="P820" s="20">
        <v>0</v>
      </c>
      <c r="Q820" s="20">
        <v>10000</v>
      </c>
      <c r="R820" s="19">
        <f t="shared" si="113"/>
        <v>10526692</v>
      </c>
      <c r="S820" s="19">
        <v>3000</v>
      </c>
      <c r="T820" s="19">
        <f t="shared" si="114"/>
        <v>10529692</v>
      </c>
      <c r="U820" s="105"/>
      <c r="X820" s="10">
        <f t="shared" si="111"/>
        <v>10516692</v>
      </c>
      <c r="Y820" s="2">
        <f t="shared" si="112"/>
        <v>10000</v>
      </c>
      <c r="Z820" s="10">
        <f t="shared" si="115"/>
        <v>0</v>
      </c>
    </row>
    <row r="821" spans="1:26" ht="18" customHeight="1" x14ac:dyDescent="0.25">
      <c r="A821" s="11">
        <v>26</v>
      </c>
      <c r="B821" s="52">
        <v>514100618443</v>
      </c>
      <c r="C821" s="53" t="s">
        <v>2150</v>
      </c>
      <c r="D821" s="13" t="s">
        <v>28</v>
      </c>
      <c r="E821" s="53" t="s">
        <v>2151</v>
      </c>
      <c r="F821" s="54" t="s">
        <v>24</v>
      </c>
      <c r="G821" s="55">
        <v>7700</v>
      </c>
      <c r="H821" s="52" t="s">
        <v>25</v>
      </c>
      <c r="I821" s="52" t="s">
        <v>2152</v>
      </c>
      <c r="J821" s="102">
        <v>0</v>
      </c>
      <c r="K821" s="102">
        <v>0</v>
      </c>
      <c r="L821" s="102">
        <v>2888</v>
      </c>
      <c r="M821" s="41">
        <v>4908243</v>
      </c>
      <c r="N821" s="41">
        <v>0</v>
      </c>
      <c r="O821" s="41">
        <v>0</v>
      </c>
      <c r="P821" s="20">
        <v>0</v>
      </c>
      <c r="Q821" s="20">
        <v>0</v>
      </c>
      <c r="R821" s="19">
        <f t="shared" si="113"/>
        <v>4908243</v>
      </c>
      <c r="S821" s="19">
        <v>3000</v>
      </c>
      <c r="T821" s="19">
        <f t="shared" si="114"/>
        <v>4911243</v>
      </c>
      <c r="U821" s="105"/>
      <c r="X821" s="10">
        <f t="shared" si="111"/>
        <v>4908243</v>
      </c>
      <c r="Y821" s="2">
        <f t="shared" si="112"/>
        <v>0</v>
      </c>
      <c r="Z821" s="10">
        <f t="shared" si="115"/>
        <v>0</v>
      </c>
    </row>
    <row r="822" spans="1:26" ht="18" customHeight="1" x14ac:dyDescent="0.25">
      <c r="A822" s="11">
        <v>27</v>
      </c>
      <c r="B822" s="52">
        <v>514100633232</v>
      </c>
      <c r="C822" s="53" t="s">
        <v>2153</v>
      </c>
      <c r="D822" s="13" t="s">
        <v>28</v>
      </c>
      <c r="E822" s="53" t="s">
        <v>2154</v>
      </c>
      <c r="F822" s="54" t="s">
        <v>24</v>
      </c>
      <c r="G822" s="55">
        <v>5500</v>
      </c>
      <c r="H822" s="52" t="s">
        <v>25</v>
      </c>
      <c r="I822" s="52" t="s">
        <v>2155</v>
      </c>
      <c r="J822" s="102">
        <v>0</v>
      </c>
      <c r="K822" s="102">
        <v>0</v>
      </c>
      <c r="L822" s="102">
        <v>2063</v>
      </c>
      <c r="M822" s="41">
        <v>3506130</v>
      </c>
      <c r="N822" s="41">
        <v>0</v>
      </c>
      <c r="O822" s="41">
        <v>0</v>
      </c>
      <c r="P822" s="20">
        <v>0</v>
      </c>
      <c r="Q822" s="20">
        <v>0</v>
      </c>
      <c r="R822" s="19">
        <f t="shared" si="113"/>
        <v>3506130</v>
      </c>
      <c r="S822" s="19">
        <v>3000</v>
      </c>
      <c r="T822" s="19">
        <f t="shared" si="114"/>
        <v>3509130</v>
      </c>
      <c r="U822" s="105"/>
      <c r="X822" s="10">
        <f t="shared" si="111"/>
        <v>3506130</v>
      </c>
      <c r="Y822" s="2">
        <f t="shared" si="112"/>
        <v>0</v>
      </c>
      <c r="Z822" s="10">
        <f t="shared" si="115"/>
        <v>0</v>
      </c>
    </row>
    <row r="823" spans="1:26" ht="18" customHeight="1" x14ac:dyDescent="0.25">
      <c r="A823" s="11">
        <v>28</v>
      </c>
      <c r="B823" s="67">
        <v>514100633240</v>
      </c>
      <c r="C823" s="14" t="s">
        <v>2156</v>
      </c>
      <c r="D823" s="13" t="s">
        <v>22</v>
      </c>
      <c r="E823" s="14" t="s">
        <v>2157</v>
      </c>
      <c r="F823" s="15" t="s">
        <v>24</v>
      </c>
      <c r="G823" s="16">
        <v>3500</v>
      </c>
      <c r="H823" s="52" t="s">
        <v>25</v>
      </c>
      <c r="I823" s="52" t="s">
        <v>2158</v>
      </c>
      <c r="J823" s="102">
        <v>53582</v>
      </c>
      <c r="K823" s="102">
        <v>54718</v>
      </c>
      <c r="L823" s="102">
        <v>1136</v>
      </c>
      <c r="M823" s="41">
        <v>1930666</v>
      </c>
      <c r="N823" s="41">
        <v>0</v>
      </c>
      <c r="O823" s="41">
        <v>0</v>
      </c>
      <c r="P823" s="20">
        <v>0</v>
      </c>
      <c r="Q823" s="20">
        <v>0</v>
      </c>
      <c r="R823" s="19">
        <f t="shared" si="113"/>
        <v>1930666</v>
      </c>
      <c r="S823" s="19">
        <v>3000</v>
      </c>
      <c r="T823" s="19">
        <f t="shared" si="114"/>
        <v>1933666</v>
      </c>
      <c r="U823" s="105"/>
      <c r="X823" s="10">
        <f t="shared" si="111"/>
        <v>1930666</v>
      </c>
      <c r="Y823" s="2">
        <f t="shared" si="112"/>
        <v>0</v>
      </c>
      <c r="Z823" s="10">
        <f t="shared" si="115"/>
        <v>0</v>
      </c>
    </row>
    <row r="824" spans="1:26" ht="18" customHeight="1" x14ac:dyDescent="0.25">
      <c r="A824" s="11">
        <v>29</v>
      </c>
      <c r="B824" s="67">
        <v>514100633273</v>
      </c>
      <c r="C824" s="14" t="s">
        <v>2159</v>
      </c>
      <c r="D824" s="13" t="s">
        <v>28</v>
      </c>
      <c r="E824" s="14" t="s">
        <v>2160</v>
      </c>
      <c r="F824" s="15" t="s">
        <v>24</v>
      </c>
      <c r="G824" s="16">
        <v>3500</v>
      </c>
      <c r="H824" s="52" t="s">
        <v>25</v>
      </c>
      <c r="I824" s="52" t="s">
        <v>2161</v>
      </c>
      <c r="J824" s="102">
        <v>35708</v>
      </c>
      <c r="K824" s="102">
        <v>36330</v>
      </c>
      <c r="L824" s="102">
        <v>622</v>
      </c>
      <c r="M824" s="41">
        <v>1057108</v>
      </c>
      <c r="N824" s="41">
        <v>0</v>
      </c>
      <c r="O824" s="41">
        <v>0</v>
      </c>
      <c r="P824" s="20">
        <v>0</v>
      </c>
      <c r="Q824" s="20">
        <v>0</v>
      </c>
      <c r="R824" s="19">
        <f t="shared" si="113"/>
        <v>1057108</v>
      </c>
      <c r="S824" s="19">
        <v>3000</v>
      </c>
      <c r="T824" s="19">
        <f t="shared" si="114"/>
        <v>1060108</v>
      </c>
      <c r="U824" s="105"/>
      <c r="X824" s="10">
        <f t="shared" si="111"/>
        <v>1057108</v>
      </c>
      <c r="Y824" s="2">
        <f t="shared" si="112"/>
        <v>0</v>
      </c>
      <c r="Z824" s="10">
        <f t="shared" si="115"/>
        <v>0</v>
      </c>
    </row>
    <row r="825" spans="1:26" ht="18" customHeight="1" x14ac:dyDescent="0.25">
      <c r="A825" s="11">
        <v>30</v>
      </c>
      <c r="B825" s="52">
        <v>514100633329</v>
      </c>
      <c r="C825" s="53" t="s">
        <v>2162</v>
      </c>
      <c r="D825" s="13" t="s">
        <v>28</v>
      </c>
      <c r="E825" s="53" t="s">
        <v>2163</v>
      </c>
      <c r="F825" s="54" t="s">
        <v>24</v>
      </c>
      <c r="G825" s="55">
        <v>17600</v>
      </c>
      <c r="H825" s="52" t="s">
        <v>25</v>
      </c>
      <c r="I825" s="52" t="s">
        <v>2164</v>
      </c>
      <c r="J825" s="102">
        <v>0</v>
      </c>
      <c r="K825" s="102">
        <v>0</v>
      </c>
      <c r="L825" s="102">
        <v>6600</v>
      </c>
      <c r="M825" s="41">
        <v>11216898</v>
      </c>
      <c r="N825" s="41">
        <v>0</v>
      </c>
      <c r="O825" s="41">
        <v>0</v>
      </c>
      <c r="P825" s="20">
        <v>0</v>
      </c>
      <c r="Q825" s="20">
        <v>10000</v>
      </c>
      <c r="R825" s="19">
        <f t="shared" si="113"/>
        <v>11226898</v>
      </c>
      <c r="S825" s="19">
        <v>3000</v>
      </c>
      <c r="T825" s="19">
        <f t="shared" si="114"/>
        <v>11229898</v>
      </c>
      <c r="U825" s="105"/>
      <c r="X825" s="10">
        <f t="shared" si="111"/>
        <v>11216898</v>
      </c>
      <c r="Y825" s="2">
        <f t="shared" si="112"/>
        <v>10000</v>
      </c>
      <c r="Z825" s="10">
        <f t="shared" si="115"/>
        <v>0</v>
      </c>
    </row>
    <row r="826" spans="1:26" ht="18" customHeight="1" x14ac:dyDescent="0.25">
      <c r="A826" s="11">
        <v>31</v>
      </c>
      <c r="B826" s="52">
        <v>514100633337</v>
      </c>
      <c r="C826" s="53" t="s">
        <v>2165</v>
      </c>
      <c r="D826" s="13" t="s">
        <v>28</v>
      </c>
      <c r="E826" s="53" t="s">
        <v>2166</v>
      </c>
      <c r="F826" s="54" t="s">
        <v>24</v>
      </c>
      <c r="G826" s="55">
        <v>16520</v>
      </c>
      <c r="H826" s="52" t="s">
        <v>25</v>
      </c>
      <c r="I826" s="52" t="s">
        <v>2167</v>
      </c>
      <c r="J826" s="102">
        <v>0</v>
      </c>
      <c r="K826" s="102">
        <v>0</v>
      </c>
      <c r="L826" s="102">
        <v>6195</v>
      </c>
      <c r="M826" s="41">
        <v>10528588</v>
      </c>
      <c r="N826" s="41">
        <v>0</v>
      </c>
      <c r="O826" s="41">
        <v>0</v>
      </c>
      <c r="P826" s="20">
        <v>0</v>
      </c>
      <c r="Q826" s="20">
        <v>10000</v>
      </c>
      <c r="R826" s="19">
        <f t="shared" si="113"/>
        <v>10538588</v>
      </c>
      <c r="S826" s="19">
        <v>3000</v>
      </c>
      <c r="T826" s="19">
        <f t="shared" si="114"/>
        <v>10541588</v>
      </c>
      <c r="U826" s="105"/>
      <c r="X826" s="10">
        <f t="shared" si="111"/>
        <v>10528588</v>
      </c>
      <c r="Y826" s="2">
        <f t="shared" si="112"/>
        <v>10000</v>
      </c>
      <c r="Z826" s="10">
        <f t="shared" si="115"/>
        <v>0</v>
      </c>
    </row>
    <row r="827" spans="1:26" ht="18" customHeight="1" x14ac:dyDescent="0.25">
      <c r="A827" s="11">
        <v>32</v>
      </c>
      <c r="B827" s="67">
        <v>514100633345</v>
      </c>
      <c r="C827" s="14" t="s">
        <v>2168</v>
      </c>
      <c r="D827" s="13" t="s">
        <v>28</v>
      </c>
      <c r="E827" s="14" t="s">
        <v>2169</v>
      </c>
      <c r="F827" s="15" t="s">
        <v>24</v>
      </c>
      <c r="G827" s="16">
        <v>4400</v>
      </c>
      <c r="H827" s="52" t="s">
        <v>25</v>
      </c>
      <c r="I827" s="52" t="s">
        <v>2170</v>
      </c>
      <c r="J827" s="102">
        <v>92230</v>
      </c>
      <c r="K827" s="102">
        <v>94840</v>
      </c>
      <c r="L827" s="102">
        <v>2610</v>
      </c>
      <c r="M827" s="41">
        <v>4435773</v>
      </c>
      <c r="N827" s="41">
        <v>0</v>
      </c>
      <c r="O827" s="41">
        <v>0</v>
      </c>
      <c r="P827" s="20">
        <v>0</v>
      </c>
      <c r="Q827" s="20">
        <v>0</v>
      </c>
      <c r="R827" s="19">
        <f t="shared" si="113"/>
        <v>4435773</v>
      </c>
      <c r="S827" s="19">
        <v>3000</v>
      </c>
      <c r="T827" s="19">
        <f t="shared" si="114"/>
        <v>4438773</v>
      </c>
      <c r="U827" s="105"/>
      <c r="X827" s="10">
        <f t="shared" si="111"/>
        <v>4435773</v>
      </c>
      <c r="Y827" s="2">
        <f t="shared" si="112"/>
        <v>0</v>
      </c>
      <c r="Z827" s="10">
        <f t="shared" si="115"/>
        <v>0</v>
      </c>
    </row>
    <row r="828" spans="1:26" ht="18" customHeight="1" x14ac:dyDescent="0.25">
      <c r="A828" s="11">
        <v>33</v>
      </c>
      <c r="B828" s="52">
        <v>514100633378</v>
      </c>
      <c r="C828" s="53" t="s">
        <v>2171</v>
      </c>
      <c r="D828" s="13" t="s">
        <v>28</v>
      </c>
      <c r="E828" s="53" t="s">
        <v>2172</v>
      </c>
      <c r="F828" s="54" t="s">
        <v>24</v>
      </c>
      <c r="G828" s="55">
        <v>10600</v>
      </c>
      <c r="H828" s="52" t="s">
        <v>25</v>
      </c>
      <c r="I828" s="52" t="s">
        <v>2173</v>
      </c>
      <c r="J828" s="102">
        <v>0</v>
      </c>
      <c r="K828" s="102">
        <v>0</v>
      </c>
      <c r="L828" s="102">
        <v>3975</v>
      </c>
      <c r="M828" s="41">
        <v>6755632</v>
      </c>
      <c r="N828" s="41">
        <v>0</v>
      </c>
      <c r="O828" s="41">
        <v>0</v>
      </c>
      <c r="P828" s="20">
        <v>0</v>
      </c>
      <c r="Q828" s="20">
        <v>10000</v>
      </c>
      <c r="R828" s="19">
        <f t="shared" si="113"/>
        <v>6765632</v>
      </c>
      <c r="S828" s="19">
        <v>3000</v>
      </c>
      <c r="T828" s="19">
        <f t="shared" si="114"/>
        <v>6768632</v>
      </c>
      <c r="U828" s="105"/>
      <c r="X828" s="10">
        <f t="shared" si="111"/>
        <v>6755632</v>
      </c>
      <c r="Y828" s="2">
        <f t="shared" si="112"/>
        <v>10000</v>
      </c>
      <c r="Z828" s="10">
        <f t="shared" si="115"/>
        <v>0</v>
      </c>
    </row>
    <row r="829" spans="1:26" ht="18" customHeight="1" x14ac:dyDescent="0.25">
      <c r="A829" s="11">
        <v>34</v>
      </c>
      <c r="B829" s="52">
        <v>514100633386</v>
      </c>
      <c r="C829" s="53" t="s">
        <v>2174</v>
      </c>
      <c r="D829" s="13" t="s">
        <v>28</v>
      </c>
      <c r="E829" s="53" t="s">
        <v>2175</v>
      </c>
      <c r="F829" s="54" t="s">
        <v>24</v>
      </c>
      <c r="G829" s="55">
        <v>7070</v>
      </c>
      <c r="H829" s="52" t="s">
        <v>25</v>
      </c>
      <c r="I829" s="52" t="s">
        <v>2176</v>
      </c>
      <c r="J829" s="102">
        <v>0</v>
      </c>
      <c r="K829" s="102">
        <v>0</v>
      </c>
      <c r="L829" s="102">
        <v>2651</v>
      </c>
      <c r="M829" s="41">
        <v>4505454</v>
      </c>
      <c r="N829" s="41">
        <v>0</v>
      </c>
      <c r="O829" s="41">
        <v>0</v>
      </c>
      <c r="P829" s="20">
        <v>0</v>
      </c>
      <c r="Q829" s="20">
        <v>0</v>
      </c>
      <c r="R829" s="19">
        <f t="shared" si="113"/>
        <v>4505454</v>
      </c>
      <c r="S829" s="19">
        <v>3000</v>
      </c>
      <c r="T829" s="19">
        <f t="shared" si="114"/>
        <v>4508454</v>
      </c>
      <c r="U829" s="105"/>
      <c r="X829" s="10">
        <f t="shared" si="111"/>
        <v>4505454</v>
      </c>
      <c r="Y829" s="2">
        <f t="shared" si="112"/>
        <v>0</v>
      </c>
      <c r="Z829" s="10">
        <f t="shared" si="115"/>
        <v>0</v>
      </c>
    </row>
    <row r="830" spans="1:26" ht="18" customHeight="1" x14ac:dyDescent="0.25">
      <c r="A830" s="11">
        <v>35</v>
      </c>
      <c r="B830" s="67">
        <v>514100633394</v>
      </c>
      <c r="C830" s="14" t="s">
        <v>2177</v>
      </c>
      <c r="D830" s="13" t="s">
        <v>28</v>
      </c>
      <c r="E830" s="14" t="s">
        <v>2178</v>
      </c>
      <c r="F830" s="15" t="s">
        <v>24</v>
      </c>
      <c r="G830" s="16">
        <v>5500</v>
      </c>
      <c r="H830" s="52" t="s">
        <v>25</v>
      </c>
      <c r="I830" s="52" t="s">
        <v>2179</v>
      </c>
      <c r="J830" s="102">
        <v>7786</v>
      </c>
      <c r="K830" s="102">
        <v>9562</v>
      </c>
      <c r="L830" s="102">
        <v>1776</v>
      </c>
      <c r="M830" s="41">
        <v>3018365</v>
      </c>
      <c r="N830" s="41">
        <v>0</v>
      </c>
      <c r="O830" s="41">
        <v>0</v>
      </c>
      <c r="P830" s="20">
        <v>0</v>
      </c>
      <c r="Q830" s="20">
        <v>0</v>
      </c>
      <c r="R830" s="19">
        <f t="shared" si="113"/>
        <v>3018365</v>
      </c>
      <c r="S830" s="19">
        <v>3000</v>
      </c>
      <c r="T830" s="19">
        <f t="shared" si="114"/>
        <v>3021365</v>
      </c>
      <c r="U830" s="105"/>
      <c r="X830" s="10">
        <f t="shared" si="111"/>
        <v>3018365</v>
      </c>
      <c r="Y830" s="2">
        <f t="shared" si="112"/>
        <v>0</v>
      </c>
      <c r="Z830" s="10">
        <f t="shared" si="115"/>
        <v>0</v>
      </c>
    </row>
    <row r="831" spans="1:26" ht="18" customHeight="1" x14ac:dyDescent="0.25">
      <c r="A831" s="11">
        <v>36</v>
      </c>
      <c r="B831" s="67">
        <v>514100633528</v>
      </c>
      <c r="C831" s="14" t="s">
        <v>2180</v>
      </c>
      <c r="D831" s="13" t="s">
        <v>28</v>
      </c>
      <c r="E831" s="14" t="s">
        <v>2181</v>
      </c>
      <c r="F831" s="15" t="s">
        <v>24</v>
      </c>
      <c r="G831" s="16">
        <v>3500</v>
      </c>
      <c r="H831" s="52" t="s">
        <v>25</v>
      </c>
      <c r="I831" s="52" t="s">
        <v>2182</v>
      </c>
      <c r="J831" s="102">
        <v>33050</v>
      </c>
      <c r="K831" s="102">
        <v>33852</v>
      </c>
      <c r="L831" s="102">
        <v>802</v>
      </c>
      <c r="M831" s="41">
        <v>1363023</v>
      </c>
      <c r="N831" s="41">
        <v>0</v>
      </c>
      <c r="O831" s="41">
        <v>0</v>
      </c>
      <c r="P831" s="20">
        <v>0</v>
      </c>
      <c r="Q831" s="20">
        <v>0</v>
      </c>
      <c r="R831" s="19">
        <f t="shared" si="113"/>
        <v>1363023</v>
      </c>
      <c r="S831" s="19">
        <v>3000</v>
      </c>
      <c r="T831" s="19">
        <f t="shared" si="114"/>
        <v>1366023</v>
      </c>
      <c r="U831" s="105"/>
      <c r="X831" s="10">
        <f t="shared" si="111"/>
        <v>1363023</v>
      </c>
      <c r="Y831" s="2">
        <f t="shared" si="112"/>
        <v>0</v>
      </c>
      <c r="Z831" s="10">
        <f t="shared" si="115"/>
        <v>0</v>
      </c>
    </row>
    <row r="832" spans="1:26" ht="18" customHeight="1" x14ac:dyDescent="0.25">
      <c r="A832" s="11">
        <v>37</v>
      </c>
      <c r="B832" s="52">
        <v>514100672817</v>
      </c>
      <c r="C832" s="53" t="s">
        <v>2183</v>
      </c>
      <c r="D832" s="13" t="s">
        <v>28</v>
      </c>
      <c r="E832" s="53" t="s">
        <v>2184</v>
      </c>
      <c r="F832" s="54" t="s">
        <v>24</v>
      </c>
      <c r="G832" s="55">
        <v>7700</v>
      </c>
      <c r="H832" s="52" t="s">
        <v>25</v>
      </c>
      <c r="I832" s="52" t="s">
        <v>2185</v>
      </c>
      <c r="J832" s="102">
        <v>0</v>
      </c>
      <c r="K832" s="102">
        <v>0</v>
      </c>
      <c r="L832" s="102">
        <v>2888</v>
      </c>
      <c r="M832" s="41">
        <v>4908243</v>
      </c>
      <c r="N832" s="41">
        <v>0</v>
      </c>
      <c r="O832" s="41">
        <v>0</v>
      </c>
      <c r="P832" s="20">
        <v>0</v>
      </c>
      <c r="Q832" s="20">
        <v>0</v>
      </c>
      <c r="R832" s="19">
        <f t="shared" si="113"/>
        <v>4908243</v>
      </c>
      <c r="S832" s="19">
        <v>3000</v>
      </c>
      <c r="T832" s="19">
        <f t="shared" si="114"/>
        <v>4911243</v>
      </c>
      <c r="U832" s="105"/>
      <c r="X832" s="10">
        <f t="shared" si="111"/>
        <v>4908243</v>
      </c>
      <c r="Y832" s="2">
        <f t="shared" si="112"/>
        <v>0</v>
      </c>
      <c r="Z832" s="10">
        <f t="shared" si="115"/>
        <v>0</v>
      </c>
    </row>
    <row r="833" spans="1:26" ht="18" customHeight="1" x14ac:dyDescent="0.25">
      <c r="A833" s="11">
        <v>38</v>
      </c>
      <c r="B833" s="67">
        <v>514100673118</v>
      </c>
      <c r="C833" s="14" t="s">
        <v>2186</v>
      </c>
      <c r="D833" s="13" t="s">
        <v>28</v>
      </c>
      <c r="E833" s="14" t="s">
        <v>2093</v>
      </c>
      <c r="F833" s="15" t="s">
        <v>24</v>
      </c>
      <c r="G833" s="16">
        <v>2200</v>
      </c>
      <c r="H833" s="52" t="s">
        <v>25</v>
      </c>
      <c r="I833" s="52" t="s">
        <v>2187</v>
      </c>
      <c r="J833" s="102">
        <v>26279</v>
      </c>
      <c r="K833" s="102">
        <v>26793</v>
      </c>
      <c r="L833" s="102">
        <v>514</v>
      </c>
      <c r="M833" s="41">
        <v>873558</v>
      </c>
      <c r="N833" s="41">
        <v>0</v>
      </c>
      <c r="O833" s="41">
        <v>0</v>
      </c>
      <c r="P833" s="20">
        <v>0</v>
      </c>
      <c r="Q833" s="20">
        <v>0</v>
      </c>
      <c r="R833" s="19">
        <f t="shared" si="113"/>
        <v>873558</v>
      </c>
      <c r="S833" s="19">
        <v>3000</v>
      </c>
      <c r="T833" s="19">
        <f t="shared" si="114"/>
        <v>876558</v>
      </c>
      <c r="U833" s="105"/>
      <c r="X833" s="10">
        <f t="shared" si="111"/>
        <v>873558</v>
      </c>
      <c r="Y833" s="2">
        <f t="shared" si="112"/>
        <v>0</v>
      </c>
      <c r="Z833" s="10">
        <f t="shared" si="115"/>
        <v>0</v>
      </c>
    </row>
    <row r="834" spans="1:26" ht="18" customHeight="1" x14ac:dyDescent="0.25">
      <c r="A834" s="11">
        <v>39</v>
      </c>
      <c r="B834" s="67">
        <v>514100673126</v>
      </c>
      <c r="C834" s="14" t="s">
        <v>2188</v>
      </c>
      <c r="D834" s="13" t="s">
        <v>28</v>
      </c>
      <c r="E834" s="14" t="s">
        <v>2189</v>
      </c>
      <c r="F834" s="15" t="s">
        <v>24</v>
      </c>
      <c r="G834" s="16">
        <v>3500</v>
      </c>
      <c r="H834" s="52" t="s">
        <v>25</v>
      </c>
      <c r="I834" s="52" t="s">
        <v>2190</v>
      </c>
      <c r="J834" s="102">
        <v>23456</v>
      </c>
      <c r="K834" s="102">
        <v>23629</v>
      </c>
      <c r="L834" s="102">
        <v>173</v>
      </c>
      <c r="M834" s="41">
        <v>294019</v>
      </c>
      <c r="N834" s="41">
        <v>0</v>
      </c>
      <c r="O834" s="41">
        <v>0</v>
      </c>
      <c r="P834" s="20">
        <v>0</v>
      </c>
      <c r="Q834" s="20">
        <v>0</v>
      </c>
      <c r="R834" s="19">
        <f t="shared" si="113"/>
        <v>294019</v>
      </c>
      <c r="S834" s="19">
        <v>3000</v>
      </c>
      <c r="T834" s="19">
        <f t="shared" si="114"/>
        <v>297019</v>
      </c>
      <c r="U834" s="105"/>
      <c r="X834" s="10">
        <f t="shared" si="111"/>
        <v>294019</v>
      </c>
      <c r="Y834" s="2">
        <f t="shared" si="112"/>
        <v>0</v>
      </c>
      <c r="Z834" s="10">
        <f t="shared" si="115"/>
        <v>0</v>
      </c>
    </row>
    <row r="835" spans="1:26" ht="18" customHeight="1" x14ac:dyDescent="0.25">
      <c r="A835" s="11">
        <v>40</v>
      </c>
      <c r="B835" s="67">
        <v>514100715619</v>
      </c>
      <c r="C835" s="14" t="s">
        <v>2191</v>
      </c>
      <c r="D835" s="13" t="s">
        <v>28</v>
      </c>
      <c r="E835" s="14" t="s">
        <v>2166</v>
      </c>
      <c r="F835" s="15" t="s">
        <v>24</v>
      </c>
      <c r="G835" s="16">
        <v>2500</v>
      </c>
      <c r="H835" s="52" t="s">
        <v>25</v>
      </c>
      <c r="I835" s="52" t="s">
        <v>2192</v>
      </c>
      <c r="J835" s="102">
        <v>317</v>
      </c>
      <c r="K835" s="102">
        <v>995</v>
      </c>
      <c r="L835" s="102">
        <v>678</v>
      </c>
      <c r="M835" s="41">
        <v>1152281</v>
      </c>
      <c r="N835" s="41">
        <v>0</v>
      </c>
      <c r="O835" s="41">
        <v>0</v>
      </c>
      <c r="P835" s="20">
        <v>0</v>
      </c>
      <c r="Q835" s="20">
        <v>0</v>
      </c>
      <c r="R835" s="19">
        <f t="shared" si="113"/>
        <v>1152281</v>
      </c>
      <c r="S835" s="19">
        <v>3000</v>
      </c>
      <c r="T835" s="19">
        <f t="shared" si="114"/>
        <v>1155281</v>
      </c>
      <c r="U835" s="105"/>
      <c r="X835" s="10">
        <f t="shared" si="111"/>
        <v>1152281</v>
      </c>
      <c r="Y835" s="2">
        <f t="shared" si="112"/>
        <v>0</v>
      </c>
      <c r="Z835" s="10">
        <f t="shared" si="115"/>
        <v>0</v>
      </c>
    </row>
    <row r="836" spans="1:26" ht="18" customHeight="1" x14ac:dyDescent="0.25">
      <c r="A836" s="11"/>
      <c r="B836" s="67"/>
      <c r="C836" s="14"/>
      <c r="D836" s="13"/>
      <c r="E836" s="14"/>
      <c r="F836" s="15"/>
      <c r="G836" s="16"/>
      <c r="H836" s="52"/>
      <c r="I836" s="52"/>
      <c r="J836" s="102"/>
      <c r="K836" s="102"/>
      <c r="L836" s="102"/>
      <c r="M836" s="41"/>
      <c r="N836" s="41"/>
      <c r="O836" s="41"/>
      <c r="P836" s="20"/>
      <c r="Q836" s="20"/>
      <c r="R836" s="19"/>
      <c r="S836" s="19"/>
      <c r="T836" s="19"/>
      <c r="U836" s="105"/>
      <c r="X836" s="10"/>
      <c r="Z836" s="10"/>
    </row>
    <row r="837" spans="1:26" ht="33" customHeight="1" x14ac:dyDescent="0.25">
      <c r="A837" s="11"/>
      <c r="B837" s="12"/>
      <c r="C837" s="13"/>
      <c r="D837" s="13"/>
      <c r="E837" s="14" t="s">
        <v>139</v>
      </c>
      <c r="F837" s="12"/>
      <c r="G837" s="103">
        <f t="shared" ref="G837:R837" si="116">SUM(G796:G835)</f>
        <v>322410</v>
      </c>
      <c r="H837" s="52"/>
      <c r="I837" s="103">
        <f t="shared" si="116"/>
        <v>0</v>
      </c>
      <c r="J837" s="103"/>
      <c r="K837" s="103"/>
      <c r="L837" s="103">
        <f t="shared" si="116"/>
        <v>116548</v>
      </c>
      <c r="M837" s="23">
        <f t="shared" si="116"/>
        <v>198076825</v>
      </c>
      <c r="N837" s="24">
        <f t="shared" si="116"/>
        <v>0</v>
      </c>
      <c r="O837" s="24">
        <f t="shared" si="116"/>
        <v>0</v>
      </c>
      <c r="P837" s="24">
        <f>SUM(P796:P835)</f>
        <v>0</v>
      </c>
      <c r="Q837" s="24">
        <f t="shared" si="116"/>
        <v>120000</v>
      </c>
      <c r="R837" s="23">
        <f t="shared" si="116"/>
        <v>198196825</v>
      </c>
      <c r="S837" s="23">
        <f>SUM(S796:S835)</f>
        <v>120000</v>
      </c>
      <c r="T837" s="23">
        <f>SUM(T796:T835)</f>
        <v>198316825</v>
      </c>
      <c r="U837" s="146"/>
      <c r="V837" s="2">
        <v>171003439</v>
      </c>
      <c r="W837" s="10">
        <f>R837-V837</f>
        <v>27193386</v>
      </c>
      <c r="X837" s="10">
        <f t="shared" si="111"/>
        <v>198076825</v>
      </c>
      <c r="Y837" s="2">
        <f t="shared" si="112"/>
        <v>10000</v>
      </c>
      <c r="Z837" s="10"/>
    </row>
    <row r="838" spans="1:26" ht="18" customHeight="1" x14ac:dyDescent="0.25">
      <c r="A838" s="87"/>
      <c r="B838" s="84"/>
      <c r="C838" s="85"/>
      <c r="D838" s="85"/>
      <c r="E838" s="85"/>
      <c r="F838" s="84"/>
      <c r="G838" s="104"/>
      <c r="H838" s="31"/>
      <c r="L838" s="31"/>
      <c r="X838" s="10">
        <f t="shared" si="111"/>
        <v>0</v>
      </c>
      <c r="Y838" s="2">
        <f t="shared" si="112"/>
        <v>0</v>
      </c>
      <c r="Z838" s="10"/>
    </row>
    <row r="839" spans="1:26" ht="18" customHeight="1" x14ac:dyDescent="0.25">
      <c r="A839" s="87"/>
      <c r="B839" s="84"/>
      <c r="C839" s="85"/>
      <c r="D839" s="85"/>
      <c r="E839" s="85"/>
      <c r="F839" s="84"/>
      <c r="G839" s="104"/>
      <c r="L839" s="31"/>
      <c r="X839" s="10">
        <f t="shared" si="111"/>
        <v>0</v>
      </c>
      <c r="Y839" s="2">
        <f t="shared" si="112"/>
        <v>0</v>
      </c>
      <c r="Z839" s="10"/>
    </row>
    <row r="840" spans="1:26" s="84" customFormat="1" ht="39" customHeight="1" x14ac:dyDescent="0.25">
      <c r="A840" s="9" t="s">
        <v>4</v>
      </c>
      <c r="B840" s="21" t="s">
        <v>5</v>
      </c>
      <c r="C840" s="21" t="s">
        <v>6</v>
      </c>
      <c r="D840" s="12"/>
      <c r="E840" s="9" t="s">
        <v>7</v>
      </c>
      <c r="F840" s="21" t="s">
        <v>8</v>
      </c>
      <c r="G840" s="21" t="s">
        <v>9</v>
      </c>
      <c r="H840" s="21" t="s">
        <v>10</v>
      </c>
      <c r="I840" s="21" t="s">
        <v>11</v>
      </c>
      <c r="J840" s="21" t="s">
        <v>12</v>
      </c>
      <c r="K840" s="21" t="s">
        <v>13</v>
      </c>
      <c r="L840" s="21" t="s">
        <v>14</v>
      </c>
      <c r="M840" s="143" t="s">
        <v>15</v>
      </c>
      <c r="N840" s="144" t="s">
        <v>16</v>
      </c>
      <c r="O840" s="144" t="s">
        <v>17</v>
      </c>
      <c r="P840" s="144" t="s">
        <v>18</v>
      </c>
      <c r="Q840" s="144" t="s">
        <v>19</v>
      </c>
      <c r="R840" s="143" t="s">
        <v>20</v>
      </c>
      <c r="S840" s="143" t="s">
        <v>3471</v>
      </c>
      <c r="T840" s="143" t="s">
        <v>3472</v>
      </c>
      <c r="U840" s="145"/>
      <c r="V840" s="145"/>
      <c r="W840" s="145"/>
      <c r="X840" s="145"/>
    </row>
    <row r="841" spans="1:26" ht="18" customHeight="1" x14ac:dyDescent="0.25">
      <c r="A841" s="11"/>
      <c r="B841" s="12"/>
      <c r="C841" s="13"/>
      <c r="D841" s="13"/>
      <c r="E841" s="13"/>
      <c r="F841" s="12"/>
      <c r="G841" s="12"/>
      <c r="H841" s="17"/>
      <c r="I841" s="15" t="s">
        <v>0</v>
      </c>
      <c r="J841" s="15"/>
      <c r="K841" s="15"/>
      <c r="L841" s="18" t="s">
        <v>0</v>
      </c>
      <c r="M841" s="19"/>
      <c r="N841" s="20"/>
      <c r="O841" s="20"/>
      <c r="P841" s="20"/>
      <c r="Q841" s="20"/>
      <c r="R841" s="19"/>
      <c r="S841" s="19"/>
      <c r="T841" s="19"/>
      <c r="U841" s="105"/>
      <c r="X841" s="10">
        <f t="shared" si="111"/>
        <v>0</v>
      </c>
      <c r="Y841" s="2">
        <f t="shared" si="112"/>
        <v>0</v>
      </c>
      <c r="Z841" s="10"/>
    </row>
    <row r="842" spans="1:26" ht="18" customHeight="1" x14ac:dyDescent="0.25">
      <c r="A842" s="11"/>
      <c r="B842" s="12"/>
      <c r="C842" s="13"/>
      <c r="D842" s="13"/>
      <c r="E842" s="35" t="s">
        <v>141</v>
      </c>
      <c r="F842" s="12"/>
      <c r="G842" s="22">
        <f>G837</f>
        <v>322410</v>
      </c>
      <c r="H842" s="22">
        <f t="shared" ref="H842:R842" si="117">H837</f>
        <v>0</v>
      </c>
      <c r="I842" s="22">
        <f t="shared" si="117"/>
        <v>0</v>
      </c>
      <c r="J842" s="22"/>
      <c r="K842" s="22"/>
      <c r="L842" s="22">
        <f t="shared" si="117"/>
        <v>116548</v>
      </c>
      <c r="M842" s="23">
        <f t="shared" si="117"/>
        <v>198076825</v>
      </c>
      <c r="N842" s="24">
        <f t="shared" si="117"/>
        <v>0</v>
      </c>
      <c r="O842" s="24">
        <f t="shared" si="117"/>
        <v>0</v>
      </c>
      <c r="P842" s="24">
        <f t="shared" si="117"/>
        <v>0</v>
      </c>
      <c r="Q842" s="24">
        <f t="shared" si="117"/>
        <v>120000</v>
      </c>
      <c r="R842" s="23">
        <f t="shared" si="117"/>
        <v>198196825</v>
      </c>
      <c r="S842" s="23">
        <f>S837</f>
        <v>120000</v>
      </c>
      <c r="T842" s="23">
        <f>T837</f>
        <v>198316825</v>
      </c>
      <c r="U842" s="146"/>
      <c r="X842" s="10">
        <f t="shared" si="111"/>
        <v>198076825</v>
      </c>
      <c r="Y842" s="2">
        <f t="shared" si="112"/>
        <v>10000</v>
      </c>
      <c r="Z842" s="10"/>
    </row>
    <row r="843" spans="1:26" ht="18" customHeight="1" x14ac:dyDescent="0.25">
      <c r="A843" s="11">
        <v>41</v>
      </c>
      <c r="B843" s="52">
        <v>514100715627</v>
      </c>
      <c r="C843" s="53" t="s">
        <v>2193</v>
      </c>
      <c r="D843" s="13" t="s">
        <v>28</v>
      </c>
      <c r="E843" s="53" t="s">
        <v>2166</v>
      </c>
      <c r="F843" s="54" t="s">
        <v>24</v>
      </c>
      <c r="G843" s="55">
        <v>5070</v>
      </c>
      <c r="H843" s="52" t="s">
        <v>25</v>
      </c>
      <c r="I843" s="52" t="s">
        <v>2194</v>
      </c>
      <c r="J843" s="102">
        <v>20954</v>
      </c>
      <c r="K843" s="102">
        <v>21777</v>
      </c>
      <c r="L843" s="102">
        <v>823</v>
      </c>
      <c r="M843" s="41">
        <v>1398713</v>
      </c>
      <c r="N843" s="102">
        <v>0</v>
      </c>
      <c r="O843" s="102">
        <v>0</v>
      </c>
      <c r="P843" s="102">
        <v>0</v>
      </c>
      <c r="Q843" s="102">
        <v>0</v>
      </c>
      <c r="R843" s="19">
        <f t="shared" ref="R843:R882" si="118">M843+N843+O843+P843+Q843</f>
        <v>1398713</v>
      </c>
      <c r="S843" s="19">
        <v>3000</v>
      </c>
      <c r="T843" s="19">
        <f t="shared" ref="T843:T882" si="119">R843+S843</f>
        <v>1401713</v>
      </c>
      <c r="U843" s="105"/>
      <c r="X843" s="10">
        <f t="shared" si="111"/>
        <v>1398713</v>
      </c>
      <c r="Y843" s="2">
        <f t="shared" si="112"/>
        <v>0</v>
      </c>
      <c r="Z843" s="10">
        <f t="shared" ref="Z843:Z882" si="120">Q843-Y843</f>
        <v>0</v>
      </c>
    </row>
    <row r="844" spans="1:26" ht="18" customHeight="1" x14ac:dyDescent="0.25">
      <c r="A844" s="11">
        <v>42</v>
      </c>
      <c r="B844" s="52">
        <v>514100720737</v>
      </c>
      <c r="C844" s="53" t="s">
        <v>2195</v>
      </c>
      <c r="D844" s="13" t="s">
        <v>22</v>
      </c>
      <c r="E844" s="53" t="s">
        <v>2196</v>
      </c>
      <c r="F844" s="54" t="s">
        <v>24</v>
      </c>
      <c r="G844" s="55">
        <v>9000</v>
      </c>
      <c r="H844" s="52" t="s">
        <v>25</v>
      </c>
      <c r="I844" s="52" t="s">
        <v>2197</v>
      </c>
      <c r="J844" s="102">
        <v>282871</v>
      </c>
      <c r="K844" s="102">
        <v>284293</v>
      </c>
      <c r="L844" s="102">
        <v>1422</v>
      </c>
      <c r="M844" s="41">
        <v>2416732</v>
      </c>
      <c r="N844" s="102">
        <v>0</v>
      </c>
      <c r="O844" s="102">
        <v>0</v>
      </c>
      <c r="P844" s="102">
        <v>0</v>
      </c>
      <c r="Q844" s="102">
        <v>0</v>
      </c>
      <c r="R844" s="19">
        <f t="shared" si="118"/>
        <v>2416732</v>
      </c>
      <c r="S844" s="19">
        <v>3000</v>
      </c>
      <c r="T844" s="19">
        <f t="shared" si="119"/>
        <v>2419732</v>
      </c>
      <c r="U844" s="105"/>
      <c r="X844" s="10">
        <f t="shared" si="111"/>
        <v>2416732</v>
      </c>
      <c r="Y844" s="2">
        <f t="shared" si="112"/>
        <v>0</v>
      </c>
      <c r="Z844" s="10">
        <f t="shared" si="120"/>
        <v>0</v>
      </c>
    </row>
    <row r="845" spans="1:26" ht="18" customHeight="1" x14ac:dyDescent="0.25">
      <c r="A845" s="11">
        <v>43</v>
      </c>
      <c r="B845" s="52">
        <v>514100720745</v>
      </c>
      <c r="C845" s="53" t="s">
        <v>2198</v>
      </c>
      <c r="D845" s="13" t="s">
        <v>28</v>
      </c>
      <c r="E845" s="53" t="s">
        <v>2196</v>
      </c>
      <c r="F845" s="54" t="s">
        <v>24</v>
      </c>
      <c r="G845" s="55">
        <v>6880</v>
      </c>
      <c r="H845" s="52" t="s">
        <v>25</v>
      </c>
      <c r="I845" s="52" t="s">
        <v>2199</v>
      </c>
      <c r="J845" s="102">
        <v>266454</v>
      </c>
      <c r="K845" s="102">
        <v>267934</v>
      </c>
      <c r="L845" s="102">
        <v>1480</v>
      </c>
      <c r="M845" s="41">
        <v>2515304</v>
      </c>
      <c r="N845" s="102">
        <v>0</v>
      </c>
      <c r="O845" s="102">
        <v>0</v>
      </c>
      <c r="P845" s="102">
        <v>0</v>
      </c>
      <c r="Q845" s="102">
        <v>0</v>
      </c>
      <c r="R845" s="19">
        <f t="shared" si="118"/>
        <v>2515304</v>
      </c>
      <c r="S845" s="19">
        <v>3000</v>
      </c>
      <c r="T845" s="19">
        <f t="shared" si="119"/>
        <v>2518304</v>
      </c>
      <c r="U845" s="105"/>
      <c r="X845" s="10">
        <f t="shared" si="111"/>
        <v>2515304</v>
      </c>
      <c r="Y845" s="2">
        <f t="shared" si="112"/>
        <v>0</v>
      </c>
      <c r="Z845" s="10">
        <f t="shared" si="120"/>
        <v>0</v>
      </c>
    </row>
    <row r="846" spans="1:26" ht="18" customHeight="1" x14ac:dyDescent="0.25">
      <c r="A846" s="11">
        <v>44</v>
      </c>
      <c r="B846" s="52">
        <v>514100722582</v>
      </c>
      <c r="C846" s="53" t="s">
        <v>2200</v>
      </c>
      <c r="D846" s="13" t="s">
        <v>28</v>
      </c>
      <c r="E846" s="53" t="s">
        <v>2201</v>
      </c>
      <c r="F846" s="54" t="s">
        <v>24</v>
      </c>
      <c r="G846" s="55">
        <v>400</v>
      </c>
      <c r="H846" s="52" t="s">
        <v>25</v>
      </c>
      <c r="I846" s="52" t="s">
        <v>2202</v>
      </c>
      <c r="J846" s="102">
        <v>743</v>
      </c>
      <c r="K846" s="102">
        <v>751</v>
      </c>
      <c r="L846" s="102">
        <v>16</v>
      </c>
      <c r="M846" s="41">
        <v>27192</v>
      </c>
      <c r="N846" s="102">
        <v>0</v>
      </c>
      <c r="O846" s="102">
        <v>0</v>
      </c>
      <c r="P846" s="102">
        <v>0</v>
      </c>
      <c r="Q846" s="102">
        <v>0</v>
      </c>
      <c r="R846" s="19">
        <f t="shared" si="118"/>
        <v>27192</v>
      </c>
      <c r="S846" s="19">
        <v>3000</v>
      </c>
      <c r="T846" s="19">
        <f t="shared" si="119"/>
        <v>30192</v>
      </c>
      <c r="U846" s="105"/>
      <c r="X846" s="10">
        <f t="shared" si="111"/>
        <v>27192</v>
      </c>
      <c r="Y846" s="2">
        <f t="shared" si="112"/>
        <v>0</v>
      </c>
      <c r="Z846" s="10">
        <f t="shared" si="120"/>
        <v>0</v>
      </c>
    </row>
    <row r="847" spans="1:26" ht="18" customHeight="1" x14ac:dyDescent="0.25">
      <c r="A847" s="11">
        <v>45</v>
      </c>
      <c r="B847" s="52">
        <v>514100722590</v>
      </c>
      <c r="C847" s="53" t="s">
        <v>2203</v>
      </c>
      <c r="D847" s="13" t="s">
        <v>22</v>
      </c>
      <c r="E847" s="53" t="s">
        <v>2204</v>
      </c>
      <c r="F847" s="54" t="s">
        <v>24</v>
      </c>
      <c r="G847" s="55">
        <v>3500</v>
      </c>
      <c r="H847" s="52" t="s">
        <v>25</v>
      </c>
      <c r="I847" s="52" t="s">
        <v>2205</v>
      </c>
      <c r="J847" s="102">
        <v>41137</v>
      </c>
      <c r="K847" s="102">
        <v>41850</v>
      </c>
      <c r="L847" s="102">
        <v>713</v>
      </c>
      <c r="M847" s="41">
        <v>1211765</v>
      </c>
      <c r="N847" s="102">
        <v>0</v>
      </c>
      <c r="O847" s="102">
        <v>0</v>
      </c>
      <c r="P847" s="102">
        <v>0</v>
      </c>
      <c r="Q847" s="102">
        <v>0</v>
      </c>
      <c r="R847" s="19">
        <f t="shared" si="118"/>
        <v>1211765</v>
      </c>
      <c r="S847" s="19">
        <v>3000</v>
      </c>
      <c r="T847" s="19">
        <f t="shared" si="119"/>
        <v>1214765</v>
      </c>
      <c r="U847" s="105"/>
      <c r="X847" s="10">
        <f t="shared" si="111"/>
        <v>1211765</v>
      </c>
      <c r="Y847" s="2">
        <f t="shared" si="112"/>
        <v>0</v>
      </c>
      <c r="Z847" s="10">
        <f t="shared" si="120"/>
        <v>0</v>
      </c>
    </row>
    <row r="848" spans="1:26" ht="18" customHeight="1" x14ac:dyDescent="0.25">
      <c r="A848" s="11">
        <v>46</v>
      </c>
      <c r="B848" s="52">
        <v>514100722603</v>
      </c>
      <c r="C848" s="53" t="s">
        <v>2206</v>
      </c>
      <c r="D848" s="13" t="s">
        <v>22</v>
      </c>
      <c r="E848" s="53" t="s">
        <v>2204</v>
      </c>
      <c r="F848" s="54" t="s">
        <v>24</v>
      </c>
      <c r="G848" s="55">
        <v>3500</v>
      </c>
      <c r="H848" s="52" t="s">
        <v>25</v>
      </c>
      <c r="I848" s="52" t="s">
        <v>2207</v>
      </c>
      <c r="J848" s="102">
        <v>57346</v>
      </c>
      <c r="K848" s="102">
        <v>58291</v>
      </c>
      <c r="L848" s="102">
        <v>945</v>
      </c>
      <c r="M848" s="41">
        <v>1606056</v>
      </c>
      <c r="N848" s="102">
        <v>0</v>
      </c>
      <c r="O848" s="102">
        <v>0</v>
      </c>
      <c r="P848" s="102">
        <v>0</v>
      </c>
      <c r="Q848" s="102">
        <v>0</v>
      </c>
      <c r="R848" s="19">
        <f t="shared" si="118"/>
        <v>1606056</v>
      </c>
      <c r="S848" s="19">
        <v>3000</v>
      </c>
      <c r="T848" s="19">
        <f t="shared" si="119"/>
        <v>1609056</v>
      </c>
      <c r="U848" s="105"/>
      <c r="X848" s="10">
        <f t="shared" si="111"/>
        <v>1606056</v>
      </c>
      <c r="Y848" s="2">
        <f t="shared" si="112"/>
        <v>0</v>
      </c>
      <c r="Z848" s="10">
        <f t="shared" si="120"/>
        <v>0</v>
      </c>
    </row>
    <row r="849" spans="1:26" ht="18" customHeight="1" x14ac:dyDescent="0.25">
      <c r="A849" s="11">
        <v>47</v>
      </c>
      <c r="B849" s="67">
        <v>514100768877</v>
      </c>
      <c r="C849" s="14" t="s">
        <v>2208</v>
      </c>
      <c r="D849" s="13" t="s">
        <v>28</v>
      </c>
      <c r="E849" s="14" t="s">
        <v>2209</v>
      </c>
      <c r="F849" s="15" t="s">
        <v>24</v>
      </c>
      <c r="G849" s="16">
        <v>2200</v>
      </c>
      <c r="H849" s="52" t="s">
        <v>25</v>
      </c>
      <c r="I849" s="52" t="s">
        <v>2210</v>
      </c>
      <c r="J849" s="102">
        <v>431</v>
      </c>
      <c r="K849" s="102">
        <v>526</v>
      </c>
      <c r="L849" s="102">
        <v>95</v>
      </c>
      <c r="M849" s="41">
        <v>161455</v>
      </c>
      <c r="N849" s="102">
        <v>0</v>
      </c>
      <c r="O849" s="102">
        <v>0</v>
      </c>
      <c r="P849" s="102">
        <v>0</v>
      </c>
      <c r="Q849" s="102">
        <v>0</v>
      </c>
      <c r="R849" s="19">
        <f t="shared" si="118"/>
        <v>161455</v>
      </c>
      <c r="S849" s="19">
        <v>3000</v>
      </c>
      <c r="T849" s="19">
        <f t="shared" si="119"/>
        <v>164455</v>
      </c>
      <c r="U849" s="105"/>
      <c r="X849" s="10">
        <f t="shared" si="111"/>
        <v>161455</v>
      </c>
      <c r="Y849" s="2">
        <f t="shared" si="112"/>
        <v>0</v>
      </c>
      <c r="Z849" s="10">
        <f t="shared" si="120"/>
        <v>0</v>
      </c>
    </row>
    <row r="850" spans="1:26" ht="18" customHeight="1" x14ac:dyDescent="0.25">
      <c r="A850" s="11">
        <v>48</v>
      </c>
      <c r="B850" s="52">
        <v>514100844327</v>
      </c>
      <c r="C850" s="53" t="s">
        <v>2211</v>
      </c>
      <c r="D850" s="13" t="s">
        <v>28</v>
      </c>
      <c r="E850" s="53" t="s">
        <v>2212</v>
      </c>
      <c r="F850" s="54" t="s">
        <v>24</v>
      </c>
      <c r="G850" s="55">
        <v>3500</v>
      </c>
      <c r="H850" s="52" t="s">
        <v>25</v>
      </c>
      <c r="I850" s="52" t="s">
        <v>2213</v>
      </c>
      <c r="J850" s="102">
        <v>25358</v>
      </c>
      <c r="K850" s="102">
        <v>27029</v>
      </c>
      <c r="L850" s="102">
        <v>1671</v>
      </c>
      <c r="M850" s="41">
        <v>2839915</v>
      </c>
      <c r="N850" s="102">
        <v>0</v>
      </c>
      <c r="O850" s="102">
        <v>0</v>
      </c>
      <c r="P850" s="102">
        <v>0</v>
      </c>
      <c r="Q850" s="102">
        <v>0</v>
      </c>
      <c r="R850" s="19">
        <f t="shared" si="118"/>
        <v>2839915</v>
      </c>
      <c r="S850" s="19">
        <v>3000</v>
      </c>
      <c r="T850" s="19">
        <f t="shared" si="119"/>
        <v>2842915</v>
      </c>
      <c r="U850" s="105"/>
      <c r="X850" s="10">
        <f t="shared" si="111"/>
        <v>2839915</v>
      </c>
      <c r="Y850" s="2">
        <f t="shared" si="112"/>
        <v>0</v>
      </c>
      <c r="Z850" s="10">
        <f t="shared" si="120"/>
        <v>0</v>
      </c>
    </row>
    <row r="851" spans="1:26" ht="18" customHeight="1" x14ac:dyDescent="0.25">
      <c r="A851" s="11">
        <v>49</v>
      </c>
      <c r="B851" s="52">
        <v>514100844335</v>
      </c>
      <c r="C851" s="53" t="s">
        <v>2214</v>
      </c>
      <c r="D851" s="13" t="s">
        <v>22</v>
      </c>
      <c r="E851" s="53" t="s">
        <v>2215</v>
      </c>
      <c r="F851" s="54" t="s">
        <v>24</v>
      </c>
      <c r="G851" s="55">
        <v>3500</v>
      </c>
      <c r="H851" s="52" t="s">
        <v>25</v>
      </c>
      <c r="I851" s="52" t="s">
        <v>2216</v>
      </c>
      <c r="J851" s="102">
        <v>23821</v>
      </c>
      <c r="K851" s="102">
        <v>25776</v>
      </c>
      <c r="L851" s="102">
        <v>1955</v>
      </c>
      <c r="M851" s="41">
        <v>3322581</v>
      </c>
      <c r="N851" s="102">
        <v>0</v>
      </c>
      <c r="O851" s="102">
        <v>0</v>
      </c>
      <c r="P851" s="102">
        <v>0</v>
      </c>
      <c r="Q851" s="102">
        <v>0</v>
      </c>
      <c r="R851" s="19">
        <f t="shared" si="118"/>
        <v>3322581</v>
      </c>
      <c r="S851" s="19">
        <v>3000</v>
      </c>
      <c r="T851" s="19">
        <f t="shared" si="119"/>
        <v>3325581</v>
      </c>
      <c r="U851" s="105"/>
      <c r="X851" s="10">
        <f t="shared" si="111"/>
        <v>3322581</v>
      </c>
      <c r="Y851" s="2">
        <f t="shared" si="112"/>
        <v>0</v>
      </c>
      <c r="Z851" s="10">
        <f t="shared" si="120"/>
        <v>0</v>
      </c>
    </row>
    <row r="852" spans="1:26" ht="18" customHeight="1" x14ac:dyDescent="0.25">
      <c r="A852" s="11">
        <v>50</v>
      </c>
      <c r="B852" s="52">
        <v>514100844343</v>
      </c>
      <c r="C852" s="53" t="s">
        <v>2217</v>
      </c>
      <c r="D852" s="13" t="s">
        <v>28</v>
      </c>
      <c r="E852" s="53" t="s">
        <v>2218</v>
      </c>
      <c r="F852" s="54" t="s">
        <v>24</v>
      </c>
      <c r="G852" s="55">
        <v>3500</v>
      </c>
      <c r="H852" s="52" t="s">
        <v>25</v>
      </c>
      <c r="I852" s="52" t="s">
        <v>2219</v>
      </c>
      <c r="J852" s="102">
        <v>147672</v>
      </c>
      <c r="K852" s="102">
        <v>149261</v>
      </c>
      <c r="L852" s="102">
        <v>1589</v>
      </c>
      <c r="M852" s="41">
        <v>2700553</v>
      </c>
      <c r="N852" s="102">
        <v>0</v>
      </c>
      <c r="O852" s="102">
        <v>0</v>
      </c>
      <c r="P852" s="102">
        <v>0</v>
      </c>
      <c r="Q852" s="102">
        <v>0</v>
      </c>
      <c r="R852" s="19">
        <f t="shared" si="118"/>
        <v>2700553</v>
      </c>
      <c r="S852" s="19">
        <v>3000</v>
      </c>
      <c r="T852" s="19">
        <f t="shared" si="119"/>
        <v>2703553</v>
      </c>
      <c r="U852" s="105"/>
      <c r="X852" s="10">
        <f t="shared" si="111"/>
        <v>2700553</v>
      </c>
      <c r="Y852" s="2">
        <f t="shared" si="112"/>
        <v>0</v>
      </c>
      <c r="Z852" s="10">
        <f t="shared" si="120"/>
        <v>0</v>
      </c>
    </row>
    <row r="853" spans="1:26" ht="18" customHeight="1" x14ac:dyDescent="0.25">
      <c r="A853" s="11">
        <v>51</v>
      </c>
      <c r="B853" s="52">
        <v>514100844350</v>
      </c>
      <c r="C853" s="53" t="s">
        <v>2220</v>
      </c>
      <c r="D853" s="13" t="s">
        <v>28</v>
      </c>
      <c r="E853" s="53" t="s">
        <v>2221</v>
      </c>
      <c r="F853" s="54" t="s">
        <v>24</v>
      </c>
      <c r="G853" s="55">
        <v>3500</v>
      </c>
      <c r="H853" s="52" t="s">
        <v>25</v>
      </c>
      <c r="I853" s="52" t="s">
        <v>2222</v>
      </c>
      <c r="J853" s="102">
        <v>49241</v>
      </c>
      <c r="K853" s="102">
        <v>49241</v>
      </c>
      <c r="L853" s="102">
        <v>140</v>
      </c>
      <c r="M853" s="41">
        <v>237934</v>
      </c>
      <c r="N853" s="102">
        <v>0</v>
      </c>
      <c r="O853" s="102">
        <v>0</v>
      </c>
      <c r="P853" s="102">
        <v>0</v>
      </c>
      <c r="Q853" s="102">
        <v>0</v>
      </c>
      <c r="R853" s="19">
        <f t="shared" si="118"/>
        <v>237934</v>
      </c>
      <c r="S853" s="19">
        <v>3000</v>
      </c>
      <c r="T853" s="19">
        <f t="shared" si="119"/>
        <v>240934</v>
      </c>
      <c r="U853" s="105"/>
      <c r="X853" s="10">
        <f t="shared" si="111"/>
        <v>237934</v>
      </c>
      <c r="Y853" s="2">
        <f t="shared" si="112"/>
        <v>0</v>
      </c>
      <c r="Z853" s="10">
        <f t="shared" si="120"/>
        <v>0</v>
      </c>
    </row>
    <row r="854" spans="1:26" ht="18" customHeight="1" x14ac:dyDescent="0.25">
      <c r="A854" s="11">
        <v>52</v>
      </c>
      <c r="B854" s="52">
        <v>514100844368</v>
      </c>
      <c r="C854" s="53" t="s">
        <v>2223</v>
      </c>
      <c r="D854" s="13" t="s">
        <v>28</v>
      </c>
      <c r="E854" s="53" t="s">
        <v>2224</v>
      </c>
      <c r="F854" s="54" t="s">
        <v>24</v>
      </c>
      <c r="G854" s="55">
        <v>3500</v>
      </c>
      <c r="H854" s="52" t="s">
        <v>25</v>
      </c>
      <c r="I854" s="52" t="s">
        <v>2225</v>
      </c>
      <c r="J854" s="102">
        <v>118529</v>
      </c>
      <c r="K854" s="102">
        <v>119418</v>
      </c>
      <c r="L854" s="102">
        <v>889</v>
      </c>
      <c r="M854" s="41">
        <v>1510882</v>
      </c>
      <c r="N854" s="102">
        <v>0</v>
      </c>
      <c r="O854" s="102">
        <v>0</v>
      </c>
      <c r="P854" s="102">
        <v>0</v>
      </c>
      <c r="Q854" s="102">
        <v>0</v>
      </c>
      <c r="R854" s="19">
        <f t="shared" si="118"/>
        <v>1510882</v>
      </c>
      <c r="S854" s="19">
        <v>3000</v>
      </c>
      <c r="T854" s="19">
        <f t="shared" si="119"/>
        <v>1513882</v>
      </c>
      <c r="U854" s="105"/>
      <c r="X854" s="10">
        <f t="shared" si="111"/>
        <v>1510882</v>
      </c>
      <c r="Y854" s="2">
        <f t="shared" si="112"/>
        <v>0</v>
      </c>
      <c r="Z854" s="10">
        <f t="shared" si="120"/>
        <v>0</v>
      </c>
    </row>
    <row r="855" spans="1:26" ht="18" customHeight="1" x14ac:dyDescent="0.25">
      <c r="A855" s="11">
        <v>53</v>
      </c>
      <c r="B855" s="52">
        <v>514100844376</v>
      </c>
      <c r="C855" s="53" t="s">
        <v>2226</v>
      </c>
      <c r="D855" s="13" t="s">
        <v>28</v>
      </c>
      <c r="E855" s="53" t="s">
        <v>2227</v>
      </c>
      <c r="F855" s="54" t="s">
        <v>24</v>
      </c>
      <c r="G855" s="55">
        <v>3500</v>
      </c>
      <c r="H855" s="52" t="s">
        <v>25</v>
      </c>
      <c r="I855" s="52" t="s">
        <v>2228</v>
      </c>
      <c r="J855" s="102">
        <v>22952</v>
      </c>
      <c r="K855" s="102">
        <v>24572</v>
      </c>
      <c r="L855" s="102">
        <v>1620</v>
      </c>
      <c r="M855" s="41">
        <v>2753239</v>
      </c>
      <c r="N855" s="102">
        <v>0</v>
      </c>
      <c r="O855" s="102">
        <v>0</v>
      </c>
      <c r="P855" s="102">
        <v>0</v>
      </c>
      <c r="Q855" s="102">
        <v>0</v>
      </c>
      <c r="R855" s="19">
        <f t="shared" si="118"/>
        <v>2753239</v>
      </c>
      <c r="S855" s="19">
        <v>3000</v>
      </c>
      <c r="T855" s="19">
        <f t="shared" si="119"/>
        <v>2756239</v>
      </c>
      <c r="U855" s="105"/>
      <c r="X855" s="10">
        <f t="shared" si="111"/>
        <v>2753239</v>
      </c>
      <c r="Y855" s="2">
        <f t="shared" si="112"/>
        <v>0</v>
      </c>
      <c r="Z855" s="10">
        <f t="shared" si="120"/>
        <v>0</v>
      </c>
    </row>
    <row r="856" spans="1:26" ht="18" customHeight="1" x14ac:dyDescent="0.25">
      <c r="A856" s="11">
        <v>54</v>
      </c>
      <c r="B856" s="52">
        <v>514100844384</v>
      </c>
      <c r="C856" s="53" t="s">
        <v>2229</v>
      </c>
      <c r="D856" s="13" t="s">
        <v>28</v>
      </c>
      <c r="E856" s="53" t="s">
        <v>2230</v>
      </c>
      <c r="F856" s="54" t="s">
        <v>24</v>
      </c>
      <c r="G856" s="55">
        <v>5500</v>
      </c>
      <c r="H856" s="52" t="s">
        <v>25</v>
      </c>
      <c r="I856" s="52" t="s">
        <v>2231</v>
      </c>
      <c r="J856" s="102">
        <v>71041</v>
      </c>
      <c r="K856" s="102">
        <v>72553</v>
      </c>
      <c r="L856" s="102">
        <v>1512</v>
      </c>
      <c r="M856" s="41">
        <v>2569689</v>
      </c>
      <c r="N856" s="102">
        <v>0</v>
      </c>
      <c r="O856" s="102">
        <v>0</v>
      </c>
      <c r="P856" s="102">
        <v>0</v>
      </c>
      <c r="Q856" s="102">
        <v>0</v>
      </c>
      <c r="R856" s="19">
        <f t="shared" si="118"/>
        <v>2569689</v>
      </c>
      <c r="S856" s="19">
        <v>3000</v>
      </c>
      <c r="T856" s="19">
        <f t="shared" si="119"/>
        <v>2572689</v>
      </c>
      <c r="U856" s="105"/>
      <c r="X856" s="10">
        <f t="shared" ref="X856:X920" si="121">M856+N856+O856+P856</f>
        <v>2569689</v>
      </c>
      <c r="Y856" s="2">
        <f t="shared" ref="Y856:Y920" si="122">IF(X856&gt;5000000,10000,IF(V856&lt;5000000,0,IF(V856=5000000,10000)))</f>
        <v>0</v>
      </c>
      <c r="Z856" s="10">
        <f t="shared" si="120"/>
        <v>0</v>
      </c>
    </row>
    <row r="857" spans="1:26" ht="18" customHeight="1" x14ac:dyDescent="0.25">
      <c r="A857" s="11">
        <v>55</v>
      </c>
      <c r="B857" s="52">
        <v>514100844392</v>
      </c>
      <c r="C857" s="53" t="s">
        <v>2232</v>
      </c>
      <c r="D857" s="13" t="s">
        <v>28</v>
      </c>
      <c r="E857" s="53" t="s">
        <v>2233</v>
      </c>
      <c r="F857" s="54" t="s">
        <v>24</v>
      </c>
      <c r="G857" s="55">
        <v>3500</v>
      </c>
      <c r="H857" s="52" t="s">
        <v>25</v>
      </c>
      <c r="I857" s="52" t="s">
        <v>2234</v>
      </c>
      <c r="J857" s="102">
        <v>14149</v>
      </c>
      <c r="K857" s="102">
        <v>15143</v>
      </c>
      <c r="L857" s="102">
        <v>994</v>
      </c>
      <c r="M857" s="41">
        <v>1689333</v>
      </c>
      <c r="N857" s="102">
        <v>0</v>
      </c>
      <c r="O857" s="102">
        <v>0</v>
      </c>
      <c r="P857" s="102">
        <v>0</v>
      </c>
      <c r="Q857" s="102">
        <v>0</v>
      </c>
      <c r="R857" s="19">
        <f t="shared" si="118"/>
        <v>1689333</v>
      </c>
      <c r="S857" s="19">
        <v>3000</v>
      </c>
      <c r="T857" s="19">
        <f t="shared" si="119"/>
        <v>1692333</v>
      </c>
      <c r="U857" s="105"/>
      <c r="X857" s="10">
        <f t="shared" si="121"/>
        <v>1689333</v>
      </c>
      <c r="Y857" s="2">
        <f t="shared" si="122"/>
        <v>0</v>
      </c>
      <c r="Z857" s="10">
        <f t="shared" si="120"/>
        <v>0</v>
      </c>
    </row>
    <row r="858" spans="1:26" ht="18" customHeight="1" x14ac:dyDescent="0.25">
      <c r="A858" s="11">
        <v>56</v>
      </c>
      <c r="B858" s="52">
        <v>514100844405</v>
      </c>
      <c r="C858" s="53" t="s">
        <v>2235</v>
      </c>
      <c r="D858" s="13" t="s">
        <v>28</v>
      </c>
      <c r="E858" s="53" t="s">
        <v>2236</v>
      </c>
      <c r="F858" s="54" t="s">
        <v>24</v>
      </c>
      <c r="G858" s="55">
        <v>5500</v>
      </c>
      <c r="H858" s="52" t="s">
        <v>25</v>
      </c>
      <c r="I858" s="52" t="s">
        <v>2237</v>
      </c>
      <c r="J858" s="102">
        <v>20508</v>
      </c>
      <c r="K858" s="102">
        <v>21878</v>
      </c>
      <c r="L858" s="102">
        <v>1370</v>
      </c>
      <c r="M858" s="41">
        <v>2328356</v>
      </c>
      <c r="N858" s="102">
        <v>0</v>
      </c>
      <c r="O858" s="102">
        <v>0</v>
      </c>
      <c r="P858" s="102">
        <v>0</v>
      </c>
      <c r="Q858" s="102">
        <v>0</v>
      </c>
      <c r="R858" s="19">
        <f t="shared" si="118"/>
        <v>2328356</v>
      </c>
      <c r="S858" s="19">
        <v>3000</v>
      </c>
      <c r="T858" s="19">
        <f t="shared" si="119"/>
        <v>2331356</v>
      </c>
      <c r="U858" s="105"/>
      <c r="X858" s="10">
        <f t="shared" si="121"/>
        <v>2328356</v>
      </c>
      <c r="Y858" s="2">
        <f t="shared" si="122"/>
        <v>0</v>
      </c>
      <c r="Z858" s="10">
        <f t="shared" si="120"/>
        <v>0</v>
      </c>
    </row>
    <row r="859" spans="1:26" ht="18" customHeight="1" x14ac:dyDescent="0.25">
      <c r="A859" s="11">
        <v>57</v>
      </c>
      <c r="B859" s="67">
        <v>514100844413</v>
      </c>
      <c r="C859" s="14" t="s">
        <v>2238</v>
      </c>
      <c r="D859" s="13" t="s">
        <v>28</v>
      </c>
      <c r="E859" s="14" t="s">
        <v>2239</v>
      </c>
      <c r="F859" s="15" t="s">
        <v>24</v>
      </c>
      <c r="G859" s="16">
        <v>3500</v>
      </c>
      <c r="H859" s="52" t="s">
        <v>25</v>
      </c>
      <c r="I859" s="52" t="s">
        <v>2240</v>
      </c>
      <c r="J859" s="102">
        <v>106421</v>
      </c>
      <c r="K859" s="102">
        <v>106886</v>
      </c>
      <c r="L859" s="102">
        <v>465</v>
      </c>
      <c r="M859" s="41">
        <v>790281</v>
      </c>
      <c r="N859" s="102">
        <v>0</v>
      </c>
      <c r="O859" s="102">
        <v>0</v>
      </c>
      <c r="P859" s="102">
        <v>0</v>
      </c>
      <c r="Q859" s="102">
        <v>0</v>
      </c>
      <c r="R859" s="19">
        <f t="shared" si="118"/>
        <v>790281</v>
      </c>
      <c r="S859" s="19">
        <v>3000</v>
      </c>
      <c r="T859" s="19">
        <f t="shared" si="119"/>
        <v>793281</v>
      </c>
      <c r="U859" s="105"/>
      <c r="X859" s="10">
        <f t="shared" si="121"/>
        <v>790281</v>
      </c>
      <c r="Y859" s="2">
        <f t="shared" si="122"/>
        <v>0</v>
      </c>
      <c r="Z859" s="10">
        <f t="shared" si="120"/>
        <v>0</v>
      </c>
    </row>
    <row r="860" spans="1:26" ht="18" customHeight="1" x14ac:dyDescent="0.25">
      <c r="A860" s="11">
        <v>58</v>
      </c>
      <c r="B860" s="52">
        <v>514100844421</v>
      </c>
      <c r="C860" s="53" t="s">
        <v>2241</v>
      </c>
      <c r="D860" s="13" t="s">
        <v>28</v>
      </c>
      <c r="E860" s="53" t="s">
        <v>2242</v>
      </c>
      <c r="F860" s="54" t="s">
        <v>24</v>
      </c>
      <c r="G860" s="55">
        <v>3500</v>
      </c>
      <c r="H860" s="52" t="s">
        <v>25</v>
      </c>
      <c r="I860" s="52" t="s">
        <v>2243</v>
      </c>
      <c r="J860" s="102">
        <v>72848</v>
      </c>
      <c r="K860" s="102">
        <v>434</v>
      </c>
      <c r="L860" s="102">
        <v>957</v>
      </c>
      <c r="M860" s="41">
        <v>1626450</v>
      </c>
      <c r="N860" s="102">
        <v>0</v>
      </c>
      <c r="O860" s="102">
        <v>0</v>
      </c>
      <c r="P860" s="102">
        <v>0</v>
      </c>
      <c r="Q860" s="102">
        <v>0</v>
      </c>
      <c r="R860" s="19">
        <f t="shared" si="118"/>
        <v>1626450</v>
      </c>
      <c r="S860" s="19">
        <v>3000</v>
      </c>
      <c r="T860" s="19">
        <f t="shared" si="119"/>
        <v>1629450</v>
      </c>
      <c r="U860" s="105"/>
      <c r="X860" s="10">
        <f t="shared" si="121"/>
        <v>1626450</v>
      </c>
      <c r="Y860" s="2">
        <f t="shared" si="122"/>
        <v>0</v>
      </c>
      <c r="Z860" s="10">
        <f t="shared" si="120"/>
        <v>0</v>
      </c>
    </row>
    <row r="861" spans="1:26" ht="18" customHeight="1" x14ac:dyDescent="0.25">
      <c r="A861" s="11">
        <v>59</v>
      </c>
      <c r="B861" s="67">
        <v>514100844439</v>
      </c>
      <c r="C861" s="14" t="s">
        <v>2244</v>
      </c>
      <c r="D861" s="13" t="s">
        <v>28</v>
      </c>
      <c r="E861" s="14" t="s">
        <v>2245</v>
      </c>
      <c r="F861" s="15" t="s">
        <v>24</v>
      </c>
      <c r="G861" s="16">
        <v>5500</v>
      </c>
      <c r="H861" s="52" t="s">
        <v>25</v>
      </c>
      <c r="I861" s="52" t="s">
        <v>2246</v>
      </c>
      <c r="J861" s="102">
        <v>75744</v>
      </c>
      <c r="K861" s="102">
        <v>76932</v>
      </c>
      <c r="L861" s="102">
        <v>1188</v>
      </c>
      <c r="M861" s="41">
        <v>2019042</v>
      </c>
      <c r="N861" s="102">
        <v>0</v>
      </c>
      <c r="O861" s="102">
        <v>0</v>
      </c>
      <c r="P861" s="102">
        <v>0</v>
      </c>
      <c r="Q861" s="102">
        <v>0</v>
      </c>
      <c r="R861" s="19">
        <f t="shared" si="118"/>
        <v>2019042</v>
      </c>
      <c r="S861" s="19">
        <v>3000</v>
      </c>
      <c r="T861" s="19">
        <f t="shared" si="119"/>
        <v>2022042</v>
      </c>
      <c r="U861" s="105"/>
      <c r="X861" s="10">
        <f t="shared" si="121"/>
        <v>2019042</v>
      </c>
      <c r="Y861" s="2">
        <f t="shared" si="122"/>
        <v>0</v>
      </c>
      <c r="Z861" s="10">
        <f t="shared" si="120"/>
        <v>0</v>
      </c>
    </row>
    <row r="862" spans="1:26" ht="18" customHeight="1" x14ac:dyDescent="0.25">
      <c r="A862" s="11">
        <v>60</v>
      </c>
      <c r="B862" s="52">
        <v>514100844447</v>
      </c>
      <c r="C862" s="53" t="s">
        <v>2247</v>
      </c>
      <c r="D862" s="13" t="s">
        <v>28</v>
      </c>
      <c r="E862" s="53" t="s">
        <v>2212</v>
      </c>
      <c r="F862" s="54" t="s">
        <v>24</v>
      </c>
      <c r="G862" s="55">
        <v>3500</v>
      </c>
      <c r="H862" s="52" t="s">
        <v>25</v>
      </c>
      <c r="I862" s="52" t="s">
        <v>2248</v>
      </c>
      <c r="J862" s="102">
        <v>87947</v>
      </c>
      <c r="K862" s="102">
        <v>89165</v>
      </c>
      <c r="L862" s="102">
        <v>1218</v>
      </c>
      <c r="M862" s="41">
        <v>2070028</v>
      </c>
      <c r="N862" s="102">
        <v>0</v>
      </c>
      <c r="O862" s="102">
        <v>0</v>
      </c>
      <c r="P862" s="102">
        <v>0</v>
      </c>
      <c r="Q862" s="102">
        <v>0</v>
      </c>
      <c r="R862" s="19">
        <f t="shared" si="118"/>
        <v>2070028</v>
      </c>
      <c r="S862" s="19">
        <v>3000</v>
      </c>
      <c r="T862" s="19">
        <f t="shared" si="119"/>
        <v>2073028</v>
      </c>
      <c r="U862" s="105"/>
      <c r="X862" s="10">
        <f t="shared" si="121"/>
        <v>2070028</v>
      </c>
      <c r="Y862" s="2">
        <f t="shared" si="122"/>
        <v>0</v>
      </c>
      <c r="Z862" s="10">
        <f t="shared" si="120"/>
        <v>0</v>
      </c>
    </row>
    <row r="863" spans="1:26" ht="18" customHeight="1" x14ac:dyDescent="0.25">
      <c r="A863" s="11">
        <v>61</v>
      </c>
      <c r="B863" s="52">
        <v>514100844454</v>
      </c>
      <c r="C863" s="53" t="s">
        <v>2249</v>
      </c>
      <c r="D863" s="13" t="s">
        <v>28</v>
      </c>
      <c r="E863" s="53" t="s">
        <v>2250</v>
      </c>
      <c r="F863" s="54" t="s">
        <v>24</v>
      </c>
      <c r="G863" s="55">
        <v>4400</v>
      </c>
      <c r="H863" s="52" t="s">
        <v>25</v>
      </c>
      <c r="I863" s="52" t="s">
        <v>2251</v>
      </c>
      <c r="J863" s="102">
        <v>108075</v>
      </c>
      <c r="K863" s="102">
        <v>109292</v>
      </c>
      <c r="L863" s="102">
        <v>1217</v>
      </c>
      <c r="M863" s="41">
        <v>2068328</v>
      </c>
      <c r="N863" s="102">
        <v>0</v>
      </c>
      <c r="O863" s="102">
        <v>0</v>
      </c>
      <c r="P863" s="102">
        <v>0</v>
      </c>
      <c r="Q863" s="102">
        <v>0</v>
      </c>
      <c r="R863" s="19">
        <f t="shared" si="118"/>
        <v>2068328</v>
      </c>
      <c r="S863" s="19">
        <v>3000</v>
      </c>
      <c r="T863" s="19">
        <f t="shared" si="119"/>
        <v>2071328</v>
      </c>
      <c r="U863" s="105"/>
      <c r="X863" s="10">
        <f t="shared" si="121"/>
        <v>2068328</v>
      </c>
      <c r="Y863" s="2">
        <f t="shared" si="122"/>
        <v>0</v>
      </c>
      <c r="Z863" s="10">
        <f t="shared" si="120"/>
        <v>0</v>
      </c>
    </row>
    <row r="864" spans="1:26" ht="18" customHeight="1" x14ac:dyDescent="0.25">
      <c r="A864" s="11">
        <v>62</v>
      </c>
      <c r="B864" s="52">
        <v>514100844470</v>
      </c>
      <c r="C864" s="53" t="s">
        <v>2252</v>
      </c>
      <c r="D864" s="13" t="s">
        <v>28</v>
      </c>
      <c r="E864" s="53" t="s">
        <v>2253</v>
      </c>
      <c r="F864" s="54" t="s">
        <v>24</v>
      </c>
      <c r="G864" s="55">
        <v>3500</v>
      </c>
      <c r="H864" s="52" t="s">
        <v>25</v>
      </c>
      <c r="I864" s="52" t="s">
        <v>2254</v>
      </c>
      <c r="J864" s="102">
        <v>44802</v>
      </c>
      <c r="K864" s="102">
        <v>45714</v>
      </c>
      <c r="L864" s="102">
        <v>912</v>
      </c>
      <c r="M864" s="41">
        <v>1549971</v>
      </c>
      <c r="N864" s="102">
        <v>0</v>
      </c>
      <c r="O864" s="102">
        <v>0</v>
      </c>
      <c r="P864" s="102">
        <v>0</v>
      </c>
      <c r="Q864" s="102">
        <v>0</v>
      </c>
      <c r="R864" s="19">
        <f t="shared" si="118"/>
        <v>1549971</v>
      </c>
      <c r="S864" s="19">
        <v>3000</v>
      </c>
      <c r="T864" s="19">
        <f t="shared" si="119"/>
        <v>1552971</v>
      </c>
      <c r="U864" s="105"/>
      <c r="X864" s="10">
        <f t="shared" si="121"/>
        <v>1549971</v>
      </c>
      <c r="Y864" s="2">
        <f t="shared" si="122"/>
        <v>0</v>
      </c>
      <c r="Z864" s="10">
        <f t="shared" si="120"/>
        <v>0</v>
      </c>
    </row>
    <row r="865" spans="1:26" ht="18" customHeight="1" x14ac:dyDescent="0.25">
      <c r="A865" s="11">
        <v>63</v>
      </c>
      <c r="B865" s="67">
        <v>514100844488</v>
      </c>
      <c r="C865" s="14" t="s">
        <v>2255</v>
      </c>
      <c r="D865" s="13" t="s">
        <v>22</v>
      </c>
      <c r="E865" s="14" t="s">
        <v>173</v>
      </c>
      <c r="F865" s="15" t="s">
        <v>24</v>
      </c>
      <c r="G865" s="16">
        <v>3500</v>
      </c>
      <c r="H865" s="52" t="s">
        <v>25</v>
      </c>
      <c r="I865" s="52" t="s">
        <v>2256</v>
      </c>
      <c r="J865" s="102">
        <v>80315</v>
      </c>
      <c r="K865" s="102">
        <v>80706</v>
      </c>
      <c r="L865" s="102">
        <v>391</v>
      </c>
      <c r="M865" s="41">
        <v>664516</v>
      </c>
      <c r="N865" s="102">
        <v>0</v>
      </c>
      <c r="O865" s="102">
        <v>0</v>
      </c>
      <c r="P865" s="102">
        <v>0</v>
      </c>
      <c r="Q865" s="102">
        <v>0</v>
      </c>
      <c r="R865" s="19">
        <f t="shared" si="118"/>
        <v>664516</v>
      </c>
      <c r="S865" s="19">
        <v>3000</v>
      </c>
      <c r="T865" s="19">
        <f t="shared" si="119"/>
        <v>667516</v>
      </c>
      <c r="U865" s="105"/>
      <c r="X865" s="10">
        <f t="shared" si="121"/>
        <v>664516</v>
      </c>
      <c r="Y865" s="2">
        <f t="shared" si="122"/>
        <v>0</v>
      </c>
      <c r="Z865" s="10">
        <f t="shared" si="120"/>
        <v>0</v>
      </c>
    </row>
    <row r="866" spans="1:26" ht="18" customHeight="1" x14ac:dyDescent="0.25">
      <c r="A866" s="11">
        <v>64</v>
      </c>
      <c r="B866" s="52">
        <v>514100844496</v>
      </c>
      <c r="C866" s="53" t="s">
        <v>2257</v>
      </c>
      <c r="D866" s="13" t="s">
        <v>28</v>
      </c>
      <c r="E866" s="53" t="s">
        <v>2258</v>
      </c>
      <c r="F866" s="54" t="s">
        <v>24</v>
      </c>
      <c r="G866" s="55">
        <v>3500</v>
      </c>
      <c r="H866" s="52" t="s">
        <v>25</v>
      </c>
      <c r="I866" s="52" t="s">
        <v>2259</v>
      </c>
      <c r="J866" s="102">
        <v>13423</v>
      </c>
      <c r="K866" s="102">
        <v>14236</v>
      </c>
      <c r="L866" s="102">
        <v>813</v>
      </c>
      <c r="M866" s="41">
        <v>1381718</v>
      </c>
      <c r="N866" s="102">
        <v>0</v>
      </c>
      <c r="O866" s="102">
        <v>0</v>
      </c>
      <c r="P866" s="102">
        <v>0</v>
      </c>
      <c r="Q866" s="102">
        <v>0</v>
      </c>
      <c r="R866" s="19">
        <f t="shared" si="118"/>
        <v>1381718</v>
      </c>
      <c r="S866" s="19">
        <v>3000</v>
      </c>
      <c r="T866" s="19">
        <f t="shared" si="119"/>
        <v>1384718</v>
      </c>
      <c r="U866" s="105"/>
      <c r="X866" s="10">
        <f t="shared" si="121"/>
        <v>1381718</v>
      </c>
      <c r="Y866" s="2">
        <f t="shared" si="122"/>
        <v>0</v>
      </c>
      <c r="Z866" s="10">
        <f t="shared" si="120"/>
        <v>0</v>
      </c>
    </row>
    <row r="867" spans="1:26" ht="18" customHeight="1" x14ac:dyDescent="0.25">
      <c r="A867" s="11">
        <v>65</v>
      </c>
      <c r="B867" s="52">
        <v>514100844500</v>
      </c>
      <c r="C867" s="53" t="s">
        <v>2260</v>
      </c>
      <c r="D867" s="13" t="s">
        <v>28</v>
      </c>
      <c r="E867" s="53" t="s">
        <v>2261</v>
      </c>
      <c r="F867" s="54" t="s">
        <v>24</v>
      </c>
      <c r="G867" s="55">
        <v>4400</v>
      </c>
      <c r="H867" s="52" t="s">
        <v>25</v>
      </c>
      <c r="I867" s="52" t="s">
        <v>2262</v>
      </c>
      <c r="J867" s="102">
        <v>85300</v>
      </c>
      <c r="K867" s="102">
        <v>86002</v>
      </c>
      <c r="L867" s="102">
        <v>702</v>
      </c>
      <c r="M867" s="41">
        <v>1193070</v>
      </c>
      <c r="N867" s="102">
        <v>0</v>
      </c>
      <c r="O867" s="102">
        <v>0</v>
      </c>
      <c r="P867" s="102">
        <v>0</v>
      </c>
      <c r="Q867" s="102">
        <v>0</v>
      </c>
      <c r="R867" s="19">
        <f t="shared" si="118"/>
        <v>1193070</v>
      </c>
      <c r="S867" s="19">
        <v>3000</v>
      </c>
      <c r="T867" s="19">
        <f t="shared" si="119"/>
        <v>1196070</v>
      </c>
      <c r="U867" s="105"/>
      <c r="X867" s="10">
        <f t="shared" si="121"/>
        <v>1193070</v>
      </c>
      <c r="Y867" s="2">
        <f t="shared" si="122"/>
        <v>0</v>
      </c>
      <c r="Z867" s="10">
        <f t="shared" si="120"/>
        <v>0</v>
      </c>
    </row>
    <row r="868" spans="1:26" ht="18" customHeight="1" x14ac:dyDescent="0.25">
      <c r="A868" s="11">
        <v>66</v>
      </c>
      <c r="B868" s="52">
        <v>514100844518</v>
      </c>
      <c r="C868" s="53" t="s">
        <v>2263</v>
      </c>
      <c r="D868" s="13" t="s">
        <v>28</v>
      </c>
      <c r="E868" s="53" t="s">
        <v>2239</v>
      </c>
      <c r="F868" s="54" t="s">
        <v>24</v>
      </c>
      <c r="G868" s="55">
        <v>3500</v>
      </c>
      <c r="H868" s="52" t="s">
        <v>25</v>
      </c>
      <c r="I868" s="52" t="s">
        <v>2264</v>
      </c>
      <c r="J868" s="102">
        <v>171252</v>
      </c>
      <c r="K868" s="102">
        <v>172489</v>
      </c>
      <c r="L868" s="102">
        <v>1237</v>
      </c>
      <c r="M868" s="41">
        <v>2102319</v>
      </c>
      <c r="N868" s="102">
        <v>0</v>
      </c>
      <c r="O868" s="102">
        <v>0</v>
      </c>
      <c r="P868" s="102">
        <v>0</v>
      </c>
      <c r="Q868" s="102">
        <v>0</v>
      </c>
      <c r="R868" s="19">
        <f t="shared" si="118"/>
        <v>2102319</v>
      </c>
      <c r="S868" s="19">
        <v>3000</v>
      </c>
      <c r="T868" s="19">
        <f t="shared" si="119"/>
        <v>2105319</v>
      </c>
      <c r="U868" s="105"/>
      <c r="X868" s="10">
        <f t="shared" si="121"/>
        <v>2102319</v>
      </c>
      <c r="Y868" s="2">
        <f t="shared" si="122"/>
        <v>0</v>
      </c>
      <c r="Z868" s="10">
        <f t="shared" si="120"/>
        <v>0</v>
      </c>
    </row>
    <row r="869" spans="1:26" ht="18" customHeight="1" x14ac:dyDescent="0.25">
      <c r="A869" s="11">
        <v>67</v>
      </c>
      <c r="B869" s="52">
        <v>514100844526</v>
      </c>
      <c r="C869" s="53" t="s">
        <v>2265</v>
      </c>
      <c r="D869" s="13" t="s">
        <v>22</v>
      </c>
      <c r="E869" s="53" t="s">
        <v>2093</v>
      </c>
      <c r="F869" s="54" t="s">
        <v>24</v>
      </c>
      <c r="G869" s="55">
        <v>7700</v>
      </c>
      <c r="H869" s="52" t="s">
        <v>25</v>
      </c>
      <c r="I869" s="52" t="s">
        <v>2266</v>
      </c>
      <c r="J869" s="102">
        <v>60143</v>
      </c>
      <c r="K869" s="102">
        <v>61131</v>
      </c>
      <c r="L869" s="102">
        <v>988</v>
      </c>
      <c r="M869" s="41">
        <v>1679136</v>
      </c>
      <c r="N869" s="102">
        <v>0</v>
      </c>
      <c r="O869" s="102">
        <v>0</v>
      </c>
      <c r="P869" s="102">
        <v>0</v>
      </c>
      <c r="Q869" s="102">
        <v>0</v>
      </c>
      <c r="R869" s="19">
        <f t="shared" si="118"/>
        <v>1679136</v>
      </c>
      <c r="S869" s="19">
        <v>3000</v>
      </c>
      <c r="T869" s="19">
        <f t="shared" si="119"/>
        <v>1682136</v>
      </c>
      <c r="U869" s="105"/>
      <c r="X869" s="10">
        <f t="shared" si="121"/>
        <v>1679136</v>
      </c>
      <c r="Y869" s="2">
        <f t="shared" si="122"/>
        <v>0</v>
      </c>
      <c r="Z869" s="10">
        <f t="shared" si="120"/>
        <v>0</v>
      </c>
    </row>
    <row r="870" spans="1:26" ht="18" customHeight="1" x14ac:dyDescent="0.25">
      <c r="A870" s="11">
        <v>68</v>
      </c>
      <c r="B870" s="67">
        <v>514100844534</v>
      </c>
      <c r="C870" s="14" t="s">
        <v>2267</v>
      </c>
      <c r="D870" s="13" t="s">
        <v>28</v>
      </c>
      <c r="E870" s="14" t="s">
        <v>2268</v>
      </c>
      <c r="F870" s="15" t="s">
        <v>24</v>
      </c>
      <c r="G870" s="16">
        <v>3500</v>
      </c>
      <c r="H870" s="52" t="s">
        <v>25</v>
      </c>
      <c r="I870" s="52" t="s">
        <v>2269</v>
      </c>
      <c r="J870" s="102">
        <v>168738</v>
      </c>
      <c r="K870" s="102">
        <v>169805</v>
      </c>
      <c r="L870" s="102">
        <v>1067</v>
      </c>
      <c r="M870" s="41">
        <v>1813399</v>
      </c>
      <c r="N870" s="102">
        <v>0</v>
      </c>
      <c r="O870" s="102">
        <v>0</v>
      </c>
      <c r="P870" s="102">
        <v>0</v>
      </c>
      <c r="Q870" s="102">
        <v>0</v>
      </c>
      <c r="R870" s="19">
        <f t="shared" si="118"/>
        <v>1813399</v>
      </c>
      <c r="S870" s="19">
        <v>3000</v>
      </c>
      <c r="T870" s="19">
        <f t="shared" si="119"/>
        <v>1816399</v>
      </c>
      <c r="U870" s="105"/>
      <c r="X870" s="10">
        <f t="shared" si="121"/>
        <v>1813399</v>
      </c>
      <c r="Y870" s="2">
        <f t="shared" si="122"/>
        <v>0</v>
      </c>
      <c r="Z870" s="10">
        <f t="shared" si="120"/>
        <v>0</v>
      </c>
    </row>
    <row r="871" spans="1:26" ht="18" customHeight="1" x14ac:dyDescent="0.25">
      <c r="A871" s="11">
        <v>69</v>
      </c>
      <c r="B871" s="52">
        <v>514100844542</v>
      </c>
      <c r="C871" s="53" t="s">
        <v>2270</v>
      </c>
      <c r="D871" s="13" t="s">
        <v>28</v>
      </c>
      <c r="E871" s="53" t="s">
        <v>2086</v>
      </c>
      <c r="F871" s="54" t="s">
        <v>24</v>
      </c>
      <c r="G871" s="55">
        <v>3500</v>
      </c>
      <c r="H871" s="52" t="s">
        <v>25</v>
      </c>
      <c r="I871" s="52" t="s">
        <v>2271</v>
      </c>
      <c r="J871" s="102">
        <v>129808</v>
      </c>
      <c r="K871" s="102">
        <v>131270</v>
      </c>
      <c r="L871" s="102">
        <v>1462</v>
      </c>
      <c r="M871" s="41">
        <v>2484713</v>
      </c>
      <c r="N871" s="102">
        <v>0</v>
      </c>
      <c r="O871" s="102">
        <v>0</v>
      </c>
      <c r="P871" s="102">
        <v>0</v>
      </c>
      <c r="Q871" s="102">
        <v>0</v>
      </c>
      <c r="R871" s="19">
        <f t="shared" si="118"/>
        <v>2484713</v>
      </c>
      <c r="S871" s="19">
        <v>3000</v>
      </c>
      <c r="T871" s="19">
        <f t="shared" si="119"/>
        <v>2487713</v>
      </c>
      <c r="U871" s="105"/>
      <c r="X871" s="10">
        <f t="shared" si="121"/>
        <v>2484713</v>
      </c>
      <c r="Y871" s="2">
        <f t="shared" si="122"/>
        <v>0</v>
      </c>
      <c r="Z871" s="10">
        <f t="shared" si="120"/>
        <v>0</v>
      </c>
    </row>
    <row r="872" spans="1:26" ht="18" customHeight="1" x14ac:dyDescent="0.25">
      <c r="A872" s="11">
        <v>70</v>
      </c>
      <c r="B872" s="52">
        <v>514100844559</v>
      </c>
      <c r="C872" s="53" t="s">
        <v>2272</v>
      </c>
      <c r="D872" s="13" t="s">
        <v>22</v>
      </c>
      <c r="E872" s="53" t="s">
        <v>2273</v>
      </c>
      <c r="F872" s="54" t="s">
        <v>24</v>
      </c>
      <c r="G872" s="55">
        <v>5500</v>
      </c>
      <c r="H872" s="52" t="s">
        <v>25</v>
      </c>
      <c r="I872" s="52" t="s">
        <v>2274</v>
      </c>
      <c r="J872" s="102">
        <v>25778</v>
      </c>
      <c r="K872" s="102">
        <v>27417</v>
      </c>
      <c r="L872" s="102">
        <v>1639</v>
      </c>
      <c r="M872" s="41">
        <v>2785530</v>
      </c>
      <c r="N872" s="102">
        <v>0</v>
      </c>
      <c r="O872" s="102">
        <v>0</v>
      </c>
      <c r="P872" s="102">
        <v>0</v>
      </c>
      <c r="Q872" s="102">
        <v>0</v>
      </c>
      <c r="R872" s="19">
        <f t="shared" si="118"/>
        <v>2785530</v>
      </c>
      <c r="S872" s="19">
        <v>3000</v>
      </c>
      <c r="T872" s="19">
        <f t="shared" si="119"/>
        <v>2788530</v>
      </c>
      <c r="U872" s="105"/>
      <c r="X872" s="10">
        <f t="shared" si="121"/>
        <v>2785530</v>
      </c>
      <c r="Y872" s="2">
        <f t="shared" si="122"/>
        <v>0</v>
      </c>
      <c r="Z872" s="10">
        <f t="shared" si="120"/>
        <v>0</v>
      </c>
    </row>
    <row r="873" spans="1:26" ht="18" customHeight="1" x14ac:dyDescent="0.25">
      <c r="A873" s="11">
        <v>71</v>
      </c>
      <c r="B873" s="67">
        <v>514100844567</v>
      </c>
      <c r="C873" s="14" t="s">
        <v>2275</v>
      </c>
      <c r="D873" s="13" t="s">
        <v>22</v>
      </c>
      <c r="E873" s="14" t="s">
        <v>2086</v>
      </c>
      <c r="F873" s="15" t="s">
        <v>24</v>
      </c>
      <c r="G873" s="16">
        <v>3500</v>
      </c>
      <c r="H873" s="52" t="s">
        <v>25</v>
      </c>
      <c r="I873" s="52" t="s">
        <v>2276</v>
      </c>
      <c r="J873" s="102">
        <v>27356</v>
      </c>
      <c r="K873" s="102">
        <v>28569</v>
      </c>
      <c r="L873" s="102">
        <v>1213</v>
      </c>
      <c r="M873" s="41">
        <v>2061530</v>
      </c>
      <c r="N873" s="102">
        <v>0</v>
      </c>
      <c r="O873" s="102">
        <v>0</v>
      </c>
      <c r="P873" s="102">
        <v>0</v>
      </c>
      <c r="Q873" s="102">
        <v>0</v>
      </c>
      <c r="R873" s="19">
        <f t="shared" si="118"/>
        <v>2061530</v>
      </c>
      <c r="S873" s="19">
        <v>3000</v>
      </c>
      <c r="T873" s="19">
        <f t="shared" si="119"/>
        <v>2064530</v>
      </c>
      <c r="U873" s="105"/>
      <c r="X873" s="10">
        <f t="shared" si="121"/>
        <v>2061530</v>
      </c>
      <c r="Y873" s="2">
        <f t="shared" si="122"/>
        <v>0</v>
      </c>
      <c r="Z873" s="10">
        <f t="shared" si="120"/>
        <v>0</v>
      </c>
    </row>
    <row r="874" spans="1:26" ht="18" customHeight="1" x14ac:dyDescent="0.25">
      <c r="A874" s="11">
        <v>72</v>
      </c>
      <c r="B874" s="52">
        <v>514100844575</v>
      </c>
      <c r="C874" s="53" t="s">
        <v>2277</v>
      </c>
      <c r="D874" s="13" t="s">
        <v>68</v>
      </c>
      <c r="E874" s="53" t="s">
        <v>2227</v>
      </c>
      <c r="F874" s="54" t="s">
        <v>24</v>
      </c>
      <c r="G874" s="55">
        <v>3500</v>
      </c>
      <c r="H874" s="52" t="s">
        <v>25</v>
      </c>
      <c r="I874" s="52" t="s">
        <v>2278</v>
      </c>
      <c r="J874" s="102">
        <v>110019</v>
      </c>
      <c r="K874" s="102">
        <v>110536</v>
      </c>
      <c r="L874" s="102">
        <v>517</v>
      </c>
      <c r="M874" s="41">
        <v>878657</v>
      </c>
      <c r="N874" s="102">
        <v>0</v>
      </c>
      <c r="O874" s="102">
        <v>0</v>
      </c>
      <c r="P874" s="102">
        <v>0</v>
      </c>
      <c r="Q874" s="102">
        <v>0</v>
      </c>
      <c r="R874" s="19">
        <f t="shared" si="118"/>
        <v>878657</v>
      </c>
      <c r="S874" s="19">
        <v>3000</v>
      </c>
      <c r="T874" s="19">
        <f t="shared" si="119"/>
        <v>881657</v>
      </c>
      <c r="U874" s="105"/>
      <c r="X874" s="10">
        <f t="shared" si="121"/>
        <v>878657</v>
      </c>
      <c r="Y874" s="2">
        <f t="shared" si="122"/>
        <v>0</v>
      </c>
      <c r="Z874" s="10">
        <f t="shared" si="120"/>
        <v>0</v>
      </c>
    </row>
    <row r="875" spans="1:26" ht="18" customHeight="1" x14ac:dyDescent="0.25">
      <c r="A875" s="11">
        <v>73</v>
      </c>
      <c r="B875" s="67">
        <v>514100844583</v>
      </c>
      <c r="C875" s="14" t="s">
        <v>2085</v>
      </c>
      <c r="D875" s="13" t="s">
        <v>28</v>
      </c>
      <c r="E875" s="14" t="s">
        <v>2086</v>
      </c>
      <c r="F875" s="15" t="s">
        <v>24</v>
      </c>
      <c r="G875" s="16">
        <v>3500</v>
      </c>
      <c r="H875" s="52" t="s">
        <v>25</v>
      </c>
      <c r="I875" s="52" t="s">
        <v>2279</v>
      </c>
      <c r="J875" s="102">
        <v>15526</v>
      </c>
      <c r="K875" s="102">
        <v>16453</v>
      </c>
      <c r="L875" s="102">
        <v>927</v>
      </c>
      <c r="M875" s="41">
        <v>1575464</v>
      </c>
      <c r="N875" s="102">
        <v>0</v>
      </c>
      <c r="O875" s="102">
        <v>0</v>
      </c>
      <c r="P875" s="102">
        <v>0</v>
      </c>
      <c r="Q875" s="102">
        <v>0</v>
      </c>
      <c r="R875" s="19">
        <f t="shared" si="118"/>
        <v>1575464</v>
      </c>
      <c r="S875" s="19">
        <v>3000</v>
      </c>
      <c r="T875" s="19">
        <f t="shared" si="119"/>
        <v>1578464</v>
      </c>
      <c r="U875" s="105"/>
      <c r="X875" s="10">
        <f t="shared" si="121"/>
        <v>1575464</v>
      </c>
      <c r="Y875" s="2">
        <f t="shared" si="122"/>
        <v>0</v>
      </c>
      <c r="Z875" s="10">
        <f t="shared" si="120"/>
        <v>0</v>
      </c>
    </row>
    <row r="876" spans="1:26" ht="18" customHeight="1" x14ac:dyDescent="0.25">
      <c r="A876" s="11">
        <v>74</v>
      </c>
      <c r="B876" s="67">
        <v>514100844591</v>
      </c>
      <c r="C876" s="14" t="s">
        <v>2280</v>
      </c>
      <c r="D876" s="13" t="s">
        <v>28</v>
      </c>
      <c r="E876" s="14" t="s">
        <v>2281</v>
      </c>
      <c r="F876" s="15" t="s">
        <v>24</v>
      </c>
      <c r="G876" s="16">
        <v>3500</v>
      </c>
      <c r="H876" s="52" t="s">
        <v>25</v>
      </c>
      <c r="I876" s="52" t="s">
        <v>2282</v>
      </c>
      <c r="J876" s="102">
        <v>59468</v>
      </c>
      <c r="K876" s="102">
        <v>59905</v>
      </c>
      <c r="L876" s="102">
        <v>437</v>
      </c>
      <c r="M876" s="41">
        <v>742695</v>
      </c>
      <c r="N876" s="102">
        <v>0</v>
      </c>
      <c r="O876" s="102">
        <v>0</v>
      </c>
      <c r="P876" s="102">
        <v>0</v>
      </c>
      <c r="Q876" s="102">
        <v>0</v>
      </c>
      <c r="R876" s="19">
        <f t="shared" si="118"/>
        <v>742695</v>
      </c>
      <c r="S876" s="19">
        <v>3000</v>
      </c>
      <c r="T876" s="19">
        <f t="shared" si="119"/>
        <v>745695</v>
      </c>
      <c r="U876" s="105"/>
      <c r="X876" s="10">
        <f t="shared" si="121"/>
        <v>742695</v>
      </c>
      <c r="Y876" s="2">
        <f t="shared" si="122"/>
        <v>0</v>
      </c>
      <c r="Z876" s="10">
        <f t="shared" si="120"/>
        <v>0</v>
      </c>
    </row>
    <row r="877" spans="1:26" ht="18" customHeight="1" x14ac:dyDescent="0.25">
      <c r="A877" s="11">
        <v>75</v>
      </c>
      <c r="B877" s="67">
        <v>514100844604</v>
      </c>
      <c r="C877" s="14" t="s">
        <v>2283</v>
      </c>
      <c r="D877" s="13" t="s">
        <v>28</v>
      </c>
      <c r="E877" s="14" t="s">
        <v>2284</v>
      </c>
      <c r="F877" s="15" t="s">
        <v>24</v>
      </c>
      <c r="G877" s="16">
        <v>3500</v>
      </c>
      <c r="H877" s="52" t="s">
        <v>25</v>
      </c>
      <c r="I877" s="52" t="s">
        <v>2285</v>
      </c>
      <c r="J877" s="102">
        <v>104674</v>
      </c>
      <c r="K877" s="102">
        <v>105411</v>
      </c>
      <c r="L877" s="102">
        <v>737</v>
      </c>
      <c r="M877" s="41">
        <v>1252554</v>
      </c>
      <c r="N877" s="102">
        <v>0</v>
      </c>
      <c r="O877" s="102">
        <v>0</v>
      </c>
      <c r="P877" s="102">
        <v>0</v>
      </c>
      <c r="Q877" s="102">
        <v>0</v>
      </c>
      <c r="R877" s="19">
        <f t="shared" si="118"/>
        <v>1252554</v>
      </c>
      <c r="S877" s="19">
        <v>3000</v>
      </c>
      <c r="T877" s="19">
        <f t="shared" si="119"/>
        <v>1255554</v>
      </c>
      <c r="U877" s="105"/>
      <c r="X877" s="10">
        <f t="shared" si="121"/>
        <v>1252554</v>
      </c>
      <c r="Y877" s="2">
        <f t="shared" si="122"/>
        <v>0</v>
      </c>
      <c r="Z877" s="10">
        <f t="shared" si="120"/>
        <v>0</v>
      </c>
    </row>
    <row r="878" spans="1:26" ht="18" customHeight="1" x14ac:dyDescent="0.25">
      <c r="A878" s="11">
        <v>76</v>
      </c>
      <c r="B878" s="67">
        <v>514100844612</v>
      </c>
      <c r="C878" s="14" t="s">
        <v>389</v>
      </c>
      <c r="D878" s="13" t="s">
        <v>28</v>
      </c>
      <c r="E878" s="14" t="s">
        <v>173</v>
      </c>
      <c r="F878" s="15" t="s">
        <v>24</v>
      </c>
      <c r="G878" s="16">
        <v>3500</v>
      </c>
      <c r="H878" s="52" t="s">
        <v>25</v>
      </c>
      <c r="I878" s="52" t="s">
        <v>2286</v>
      </c>
      <c r="J878" s="102">
        <v>14793</v>
      </c>
      <c r="K878" s="102">
        <v>15802</v>
      </c>
      <c r="L878" s="102">
        <v>1009</v>
      </c>
      <c r="M878" s="41">
        <v>1714826</v>
      </c>
      <c r="N878" s="102">
        <v>0</v>
      </c>
      <c r="O878" s="102">
        <v>0</v>
      </c>
      <c r="P878" s="102">
        <v>0</v>
      </c>
      <c r="Q878" s="102">
        <v>0</v>
      </c>
      <c r="R878" s="19">
        <f t="shared" si="118"/>
        <v>1714826</v>
      </c>
      <c r="S878" s="19">
        <v>3000</v>
      </c>
      <c r="T878" s="19">
        <f t="shared" si="119"/>
        <v>1717826</v>
      </c>
      <c r="U878" s="105"/>
      <c r="X878" s="10">
        <f t="shared" si="121"/>
        <v>1714826</v>
      </c>
      <c r="Y878" s="2">
        <f t="shared" si="122"/>
        <v>0</v>
      </c>
      <c r="Z878" s="10">
        <f t="shared" si="120"/>
        <v>0</v>
      </c>
    </row>
    <row r="879" spans="1:26" ht="18" customHeight="1" x14ac:dyDescent="0.25">
      <c r="A879" s="11">
        <v>77</v>
      </c>
      <c r="B879" s="67">
        <v>514100844620</v>
      </c>
      <c r="C879" s="14" t="s">
        <v>2235</v>
      </c>
      <c r="D879" s="13" t="s">
        <v>28</v>
      </c>
      <c r="E879" s="14" t="s">
        <v>535</v>
      </c>
      <c r="F879" s="15" t="s">
        <v>24</v>
      </c>
      <c r="G879" s="16">
        <v>5500</v>
      </c>
      <c r="H879" s="52" t="s">
        <v>25</v>
      </c>
      <c r="I879" s="52" t="s">
        <v>2287</v>
      </c>
      <c r="J879" s="102">
        <v>22706</v>
      </c>
      <c r="K879" s="102">
        <v>24071</v>
      </c>
      <c r="L879" s="102">
        <v>1365</v>
      </c>
      <c r="M879" s="41">
        <v>2319858</v>
      </c>
      <c r="N879" s="102">
        <v>0</v>
      </c>
      <c r="O879" s="102">
        <v>0</v>
      </c>
      <c r="P879" s="102">
        <v>0</v>
      </c>
      <c r="Q879" s="102">
        <v>0</v>
      </c>
      <c r="R879" s="19">
        <f t="shared" si="118"/>
        <v>2319858</v>
      </c>
      <c r="S879" s="19">
        <v>3000</v>
      </c>
      <c r="T879" s="19">
        <f t="shared" si="119"/>
        <v>2322858</v>
      </c>
      <c r="U879" s="105"/>
      <c r="X879" s="10">
        <f t="shared" si="121"/>
        <v>2319858</v>
      </c>
      <c r="Y879" s="2">
        <f t="shared" si="122"/>
        <v>0</v>
      </c>
      <c r="Z879" s="10">
        <f t="shared" si="120"/>
        <v>0</v>
      </c>
    </row>
    <row r="880" spans="1:26" ht="18" customHeight="1" x14ac:dyDescent="0.25">
      <c r="A880" s="11">
        <v>78</v>
      </c>
      <c r="B880" s="67">
        <v>514100844638</v>
      </c>
      <c r="C880" s="14" t="s">
        <v>2288</v>
      </c>
      <c r="D880" s="13" t="s">
        <v>28</v>
      </c>
      <c r="E880" s="14" t="s">
        <v>2227</v>
      </c>
      <c r="F880" s="15" t="s">
        <v>24</v>
      </c>
      <c r="G880" s="16">
        <v>3500</v>
      </c>
      <c r="H880" s="52" t="s">
        <v>25</v>
      </c>
      <c r="I880" s="52" t="s">
        <v>2289</v>
      </c>
      <c r="J880" s="102">
        <v>22370</v>
      </c>
      <c r="K880" s="102">
        <v>23366</v>
      </c>
      <c r="L880" s="102">
        <v>996</v>
      </c>
      <c r="M880" s="41">
        <v>1692732</v>
      </c>
      <c r="N880" s="102">
        <v>0</v>
      </c>
      <c r="O880" s="102">
        <v>0</v>
      </c>
      <c r="P880" s="102">
        <v>0</v>
      </c>
      <c r="Q880" s="102">
        <v>0</v>
      </c>
      <c r="R880" s="19">
        <f t="shared" si="118"/>
        <v>1692732</v>
      </c>
      <c r="S880" s="19">
        <v>3000</v>
      </c>
      <c r="T880" s="19">
        <f t="shared" si="119"/>
        <v>1695732</v>
      </c>
      <c r="U880" s="105"/>
      <c r="X880" s="10">
        <f t="shared" si="121"/>
        <v>1692732</v>
      </c>
      <c r="Y880" s="2">
        <f t="shared" si="122"/>
        <v>0</v>
      </c>
      <c r="Z880" s="10">
        <f t="shared" si="120"/>
        <v>0</v>
      </c>
    </row>
    <row r="881" spans="1:26" ht="18" customHeight="1" x14ac:dyDescent="0.25">
      <c r="A881" s="11">
        <v>79</v>
      </c>
      <c r="B881" s="67">
        <v>514100844646</v>
      </c>
      <c r="C881" s="14" t="s">
        <v>2290</v>
      </c>
      <c r="D881" s="13" t="s">
        <v>28</v>
      </c>
      <c r="E881" s="14" t="s">
        <v>2291</v>
      </c>
      <c r="F881" s="15" t="s">
        <v>24</v>
      </c>
      <c r="G881" s="16">
        <v>3500</v>
      </c>
      <c r="H881" s="52" t="s">
        <v>25</v>
      </c>
      <c r="I881" s="52" t="s">
        <v>2292</v>
      </c>
      <c r="J881" s="102">
        <v>76385</v>
      </c>
      <c r="K881" s="102">
        <v>77351</v>
      </c>
      <c r="L881" s="102">
        <v>966</v>
      </c>
      <c r="M881" s="41">
        <v>1641746</v>
      </c>
      <c r="N881" s="102">
        <v>0</v>
      </c>
      <c r="O881" s="102">
        <v>0</v>
      </c>
      <c r="P881" s="102">
        <v>0</v>
      </c>
      <c r="Q881" s="102">
        <v>0</v>
      </c>
      <c r="R881" s="19">
        <f t="shared" si="118"/>
        <v>1641746</v>
      </c>
      <c r="S881" s="19">
        <v>3000</v>
      </c>
      <c r="T881" s="19">
        <f t="shared" si="119"/>
        <v>1644746</v>
      </c>
      <c r="U881" s="105"/>
      <c r="X881" s="10">
        <f t="shared" si="121"/>
        <v>1641746</v>
      </c>
      <c r="Y881" s="2">
        <f t="shared" si="122"/>
        <v>0</v>
      </c>
      <c r="Z881" s="10">
        <f t="shared" si="120"/>
        <v>0</v>
      </c>
    </row>
    <row r="882" spans="1:26" ht="18" customHeight="1" x14ac:dyDescent="0.25">
      <c r="A882" s="11">
        <v>80</v>
      </c>
      <c r="B882" s="67">
        <v>514100844653</v>
      </c>
      <c r="C882" s="14" t="s">
        <v>2293</v>
      </c>
      <c r="D882" s="13" t="s">
        <v>28</v>
      </c>
      <c r="E882" s="14" t="s">
        <v>2258</v>
      </c>
      <c r="F882" s="15" t="s">
        <v>24</v>
      </c>
      <c r="G882" s="16">
        <v>5500</v>
      </c>
      <c r="H882" s="52" t="s">
        <v>25</v>
      </c>
      <c r="I882" s="52" t="s">
        <v>2294</v>
      </c>
      <c r="J882" s="102">
        <v>22329</v>
      </c>
      <c r="K882" s="102">
        <v>23856</v>
      </c>
      <c r="L882" s="102">
        <v>1527</v>
      </c>
      <c r="M882" s="41">
        <v>2595182</v>
      </c>
      <c r="N882" s="102">
        <v>0</v>
      </c>
      <c r="O882" s="102">
        <v>0</v>
      </c>
      <c r="P882" s="102">
        <v>0</v>
      </c>
      <c r="Q882" s="102">
        <v>0</v>
      </c>
      <c r="R882" s="19">
        <f t="shared" si="118"/>
        <v>2595182</v>
      </c>
      <c r="S882" s="19">
        <v>3000</v>
      </c>
      <c r="T882" s="19">
        <f t="shared" si="119"/>
        <v>2598182</v>
      </c>
      <c r="U882" s="105"/>
      <c r="X882" s="10">
        <f t="shared" si="121"/>
        <v>2595182</v>
      </c>
      <c r="Y882" s="2">
        <f t="shared" si="122"/>
        <v>0</v>
      </c>
      <c r="Z882" s="10">
        <f t="shared" si="120"/>
        <v>0</v>
      </c>
    </row>
    <row r="883" spans="1:26" ht="18" customHeight="1" x14ac:dyDescent="0.25">
      <c r="A883" s="11"/>
      <c r="B883" s="67"/>
      <c r="C883" s="14"/>
      <c r="D883" s="13"/>
      <c r="E883" s="14"/>
      <c r="F883" s="15"/>
      <c r="G883" s="16"/>
      <c r="H883" s="52"/>
      <c r="I883" s="52"/>
      <c r="J883" s="102"/>
      <c r="K883" s="102"/>
      <c r="L883" s="102"/>
      <c r="M883" s="41"/>
      <c r="N883" s="102"/>
      <c r="O883" s="102"/>
      <c r="P883" s="102"/>
      <c r="Q883" s="102"/>
      <c r="R883" s="19"/>
      <c r="S883" s="19"/>
      <c r="T883" s="19"/>
      <c r="U883" s="105"/>
      <c r="X883" s="10"/>
      <c r="Z883" s="10"/>
    </row>
    <row r="884" spans="1:26" ht="33" customHeight="1" x14ac:dyDescent="0.25">
      <c r="A884" s="11"/>
      <c r="B884" s="12"/>
      <c r="C884" s="13"/>
      <c r="D884" s="13"/>
      <c r="E884" s="14" t="s">
        <v>139</v>
      </c>
      <c r="F884" s="12"/>
      <c r="G884" s="103">
        <f>SUM(G842:G882)</f>
        <v>486460</v>
      </c>
      <c r="H884" s="103">
        <f>SUM(H842:H882)</f>
        <v>0</v>
      </c>
      <c r="I884" s="103">
        <f>SUM(I842:I882)</f>
        <v>0</v>
      </c>
      <c r="J884" s="103"/>
      <c r="K884" s="103"/>
      <c r="L884" s="103">
        <f t="shared" ref="L884:T884" si="123">SUM(L842:L882)</f>
        <v>157732</v>
      </c>
      <c r="M884" s="23">
        <f t="shared" si="123"/>
        <v>268070269</v>
      </c>
      <c r="N884" s="24">
        <f t="shared" si="123"/>
        <v>0</v>
      </c>
      <c r="O884" s="24">
        <f t="shared" si="123"/>
        <v>0</v>
      </c>
      <c r="P884" s="24">
        <f t="shared" si="123"/>
        <v>0</v>
      </c>
      <c r="Q884" s="24">
        <f t="shared" si="123"/>
        <v>120000</v>
      </c>
      <c r="R884" s="23">
        <f t="shared" si="123"/>
        <v>268190269</v>
      </c>
      <c r="S884" s="23">
        <f t="shared" si="123"/>
        <v>240000</v>
      </c>
      <c r="T884" s="23">
        <f t="shared" si="123"/>
        <v>268430269</v>
      </c>
      <c r="U884" s="146"/>
      <c r="V884" s="2">
        <v>366794125</v>
      </c>
      <c r="W884" s="10">
        <f>R884-V884</f>
        <v>-98603856</v>
      </c>
      <c r="X884" s="10">
        <f t="shared" si="121"/>
        <v>268070269</v>
      </c>
      <c r="Y884" s="2">
        <f t="shared" si="122"/>
        <v>10000</v>
      </c>
      <c r="Z884" s="10"/>
    </row>
    <row r="885" spans="1:26" ht="18" customHeight="1" x14ac:dyDescent="0.25">
      <c r="A885" s="87"/>
      <c r="B885" s="84"/>
      <c r="C885" s="85"/>
      <c r="D885" s="85"/>
      <c r="F885" s="84"/>
      <c r="G885" s="104"/>
      <c r="H885" s="104"/>
      <c r="L885" s="31"/>
      <c r="M885" s="105"/>
      <c r="N885" s="106"/>
      <c r="O885" s="106"/>
      <c r="P885" s="106"/>
      <c r="Q885" s="106"/>
      <c r="R885" s="105"/>
      <c r="S885" s="105"/>
      <c r="T885" s="105"/>
      <c r="U885" s="105"/>
      <c r="X885" s="10">
        <f t="shared" si="121"/>
        <v>0</v>
      </c>
      <c r="Y885" s="2">
        <f t="shared" si="122"/>
        <v>0</v>
      </c>
      <c r="Z885" s="10"/>
    </row>
    <row r="886" spans="1:26" ht="18" customHeight="1" x14ac:dyDescent="0.25">
      <c r="A886" s="87"/>
      <c r="B886" s="84"/>
      <c r="C886" s="85"/>
      <c r="D886" s="85"/>
      <c r="E886" s="85"/>
      <c r="F886" s="84"/>
      <c r="G886" s="104"/>
      <c r="L886" s="31"/>
      <c r="M886" s="105"/>
      <c r="N886" s="106"/>
      <c r="O886" s="106"/>
      <c r="P886" s="106"/>
      <c r="Q886" s="106"/>
      <c r="R886" s="105"/>
      <c r="S886" s="105"/>
      <c r="T886" s="105"/>
      <c r="U886" s="105"/>
      <c r="X886" s="10">
        <f t="shared" si="121"/>
        <v>0</v>
      </c>
      <c r="Y886" s="2">
        <f t="shared" si="122"/>
        <v>0</v>
      </c>
      <c r="Z886" s="10"/>
    </row>
    <row r="887" spans="1:26" s="84" customFormat="1" ht="39" customHeight="1" x14ac:dyDescent="0.25">
      <c r="A887" s="9" t="s">
        <v>4</v>
      </c>
      <c r="B887" s="21" t="s">
        <v>5</v>
      </c>
      <c r="C887" s="21" t="s">
        <v>6</v>
      </c>
      <c r="D887" s="12"/>
      <c r="E887" s="9" t="s">
        <v>7</v>
      </c>
      <c r="F887" s="21" t="s">
        <v>8</v>
      </c>
      <c r="G887" s="21" t="s">
        <v>9</v>
      </c>
      <c r="H887" s="21" t="s">
        <v>10</v>
      </c>
      <c r="I887" s="21" t="s">
        <v>11</v>
      </c>
      <c r="J887" s="21" t="s">
        <v>12</v>
      </c>
      <c r="K887" s="21" t="s">
        <v>13</v>
      </c>
      <c r="L887" s="21" t="s">
        <v>14</v>
      </c>
      <c r="M887" s="143" t="s">
        <v>15</v>
      </c>
      <c r="N887" s="144" t="s">
        <v>16</v>
      </c>
      <c r="O887" s="144" t="s">
        <v>17</v>
      </c>
      <c r="P887" s="144" t="s">
        <v>18</v>
      </c>
      <c r="Q887" s="144" t="s">
        <v>19</v>
      </c>
      <c r="R887" s="143" t="s">
        <v>20</v>
      </c>
      <c r="S887" s="143" t="s">
        <v>3471</v>
      </c>
      <c r="T887" s="143" t="s">
        <v>3472</v>
      </c>
      <c r="U887" s="145"/>
      <c r="V887" s="145"/>
      <c r="W887" s="145"/>
      <c r="X887" s="145"/>
    </row>
    <row r="888" spans="1:26" ht="18" customHeight="1" x14ac:dyDescent="0.25">
      <c r="A888" s="11"/>
      <c r="B888" s="12"/>
      <c r="C888" s="13"/>
      <c r="D888" s="13"/>
      <c r="E888" s="13"/>
      <c r="F888" s="12"/>
      <c r="G888" s="12"/>
      <c r="H888" s="17"/>
      <c r="I888" s="15"/>
      <c r="J888" s="15"/>
      <c r="K888" s="15"/>
      <c r="L888" s="18"/>
      <c r="M888" s="19"/>
      <c r="N888" s="20"/>
      <c r="O888" s="20"/>
      <c r="P888" s="20"/>
      <c r="Q888" s="20"/>
      <c r="R888" s="19"/>
      <c r="S888" s="19"/>
      <c r="T888" s="19"/>
      <c r="U888" s="105"/>
      <c r="X888" s="10">
        <f t="shared" si="121"/>
        <v>0</v>
      </c>
      <c r="Y888" s="2">
        <f t="shared" si="122"/>
        <v>0</v>
      </c>
      <c r="Z888" s="10"/>
    </row>
    <row r="889" spans="1:26" ht="18" customHeight="1" x14ac:dyDescent="0.25">
      <c r="A889" s="11"/>
      <c r="B889" s="12"/>
      <c r="C889" s="13"/>
      <c r="D889" s="13"/>
      <c r="E889" s="35" t="s">
        <v>141</v>
      </c>
      <c r="F889" s="12"/>
      <c r="G889" s="22">
        <f>G884</f>
        <v>486460</v>
      </c>
      <c r="H889" s="22">
        <f t="shared" ref="H889:R889" si="124">H884</f>
        <v>0</v>
      </c>
      <c r="I889" s="22">
        <f t="shared" si="124"/>
        <v>0</v>
      </c>
      <c r="J889" s="22"/>
      <c r="K889" s="22"/>
      <c r="L889" s="22">
        <f t="shared" si="124"/>
        <v>157732</v>
      </c>
      <c r="M889" s="23">
        <f t="shared" si="124"/>
        <v>268070269</v>
      </c>
      <c r="N889" s="24">
        <f t="shared" si="124"/>
        <v>0</v>
      </c>
      <c r="O889" s="24">
        <f t="shared" si="124"/>
        <v>0</v>
      </c>
      <c r="P889" s="24">
        <f t="shared" si="124"/>
        <v>0</v>
      </c>
      <c r="Q889" s="24">
        <f t="shared" si="124"/>
        <v>120000</v>
      </c>
      <c r="R889" s="23">
        <f t="shared" si="124"/>
        <v>268190269</v>
      </c>
      <c r="S889" s="23">
        <f>S884</f>
        <v>240000</v>
      </c>
      <c r="T889" s="23">
        <f>T884</f>
        <v>268430269</v>
      </c>
      <c r="U889" s="146"/>
      <c r="X889" s="10">
        <f t="shared" si="121"/>
        <v>268070269</v>
      </c>
      <c r="Y889" s="2">
        <f t="shared" si="122"/>
        <v>10000</v>
      </c>
      <c r="Z889" s="10"/>
    </row>
    <row r="890" spans="1:26" ht="18" customHeight="1" x14ac:dyDescent="0.25">
      <c r="A890" s="11">
        <v>81</v>
      </c>
      <c r="B890" s="67">
        <v>514100844661</v>
      </c>
      <c r="C890" s="14" t="s">
        <v>2295</v>
      </c>
      <c r="D890" s="13" t="s">
        <v>28</v>
      </c>
      <c r="E890" s="14" t="s">
        <v>2296</v>
      </c>
      <c r="F890" s="15" t="s">
        <v>24</v>
      </c>
      <c r="G890" s="16">
        <v>3500</v>
      </c>
      <c r="H890" s="52" t="s">
        <v>25</v>
      </c>
      <c r="I890" s="52" t="s">
        <v>2297</v>
      </c>
      <c r="J890" s="102">
        <v>17388</v>
      </c>
      <c r="K890" s="102">
        <v>18511</v>
      </c>
      <c r="L890" s="102">
        <v>1123</v>
      </c>
      <c r="M890" s="41">
        <v>1908572</v>
      </c>
      <c r="N890" s="102">
        <v>0</v>
      </c>
      <c r="O890" s="102">
        <v>0</v>
      </c>
      <c r="P890" s="102">
        <v>0</v>
      </c>
      <c r="Q890" s="102">
        <v>0</v>
      </c>
      <c r="R890" s="19">
        <f t="shared" ref="R890:R929" si="125">M890+N890+O890+P890+Q890</f>
        <v>1908572</v>
      </c>
      <c r="S890" s="19">
        <v>3000</v>
      </c>
      <c r="T890" s="19">
        <f t="shared" ref="T890:T929" si="126">R890+S890</f>
        <v>1911572</v>
      </c>
      <c r="U890" s="105"/>
      <c r="X890" s="10">
        <f t="shared" si="121"/>
        <v>1908572</v>
      </c>
      <c r="Y890" s="2">
        <f t="shared" si="122"/>
        <v>0</v>
      </c>
      <c r="Z890" s="10">
        <f t="shared" ref="Z890:Z929" si="127">Q890-Y890</f>
        <v>0</v>
      </c>
    </row>
    <row r="891" spans="1:26" ht="18" customHeight="1" x14ac:dyDescent="0.25">
      <c r="A891" s="11">
        <v>82</v>
      </c>
      <c r="B891" s="67">
        <v>514100844679</v>
      </c>
      <c r="C891" s="14" t="s">
        <v>2298</v>
      </c>
      <c r="D891" s="13" t="s">
        <v>68</v>
      </c>
      <c r="E891" s="14" t="s">
        <v>2253</v>
      </c>
      <c r="F891" s="15" t="s">
        <v>24</v>
      </c>
      <c r="G891" s="16">
        <v>3500</v>
      </c>
      <c r="H891" s="52" t="s">
        <v>25</v>
      </c>
      <c r="I891" s="52" t="s">
        <v>2299</v>
      </c>
      <c r="J891" s="102">
        <v>16191</v>
      </c>
      <c r="K891" s="102">
        <v>17569</v>
      </c>
      <c r="L891" s="102">
        <v>1378</v>
      </c>
      <c r="M891" s="41">
        <v>2341952</v>
      </c>
      <c r="N891" s="102">
        <v>0</v>
      </c>
      <c r="O891" s="102">
        <v>0</v>
      </c>
      <c r="P891" s="102">
        <v>0</v>
      </c>
      <c r="Q891" s="102">
        <v>0</v>
      </c>
      <c r="R891" s="19">
        <f t="shared" si="125"/>
        <v>2341952</v>
      </c>
      <c r="S891" s="19">
        <v>3000</v>
      </c>
      <c r="T891" s="19">
        <f t="shared" si="126"/>
        <v>2344952</v>
      </c>
      <c r="U891" s="105"/>
      <c r="X891" s="10">
        <f t="shared" si="121"/>
        <v>2341952</v>
      </c>
      <c r="Y891" s="2">
        <f t="shared" si="122"/>
        <v>0</v>
      </c>
      <c r="Z891" s="10">
        <f t="shared" si="127"/>
        <v>0</v>
      </c>
    </row>
    <row r="892" spans="1:26" ht="18" customHeight="1" x14ac:dyDescent="0.25">
      <c r="A892" s="11">
        <v>83</v>
      </c>
      <c r="B892" s="67">
        <v>514100844687</v>
      </c>
      <c r="C892" s="14" t="s">
        <v>2300</v>
      </c>
      <c r="D892" s="14" t="s">
        <v>22</v>
      </c>
      <c r="E892" s="14" t="s">
        <v>362</v>
      </c>
      <c r="F892" s="15" t="s">
        <v>24</v>
      </c>
      <c r="G892" s="16">
        <v>7700</v>
      </c>
      <c r="H892" s="52" t="s">
        <v>25</v>
      </c>
      <c r="I892" s="52" t="s">
        <v>2301</v>
      </c>
      <c r="J892" s="102">
        <v>2422</v>
      </c>
      <c r="K892" s="102">
        <v>4455</v>
      </c>
      <c r="L892" s="102">
        <v>2033</v>
      </c>
      <c r="M892" s="41">
        <v>3455144</v>
      </c>
      <c r="N892" s="102">
        <v>0</v>
      </c>
      <c r="O892" s="102">
        <v>0</v>
      </c>
      <c r="P892" s="102">
        <v>0</v>
      </c>
      <c r="Q892" s="102">
        <v>0</v>
      </c>
      <c r="R892" s="19">
        <f t="shared" si="125"/>
        <v>3455144</v>
      </c>
      <c r="S892" s="19">
        <v>3000</v>
      </c>
      <c r="T892" s="19">
        <f t="shared" si="126"/>
        <v>3458144</v>
      </c>
      <c r="U892" s="105"/>
      <c r="X892" s="10">
        <f t="shared" si="121"/>
        <v>3455144</v>
      </c>
      <c r="Y892" s="2">
        <f t="shared" si="122"/>
        <v>0</v>
      </c>
      <c r="Z892" s="10">
        <f t="shared" si="127"/>
        <v>0</v>
      </c>
    </row>
    <row r="893" spans="1:26" ht="18" customHeight="1" x14ac:dyDescent="0.25">
      <c r="A893" s="11">
        <v>84</v>
      </c>
      <c r="B893" s="67">
        <v>514100844695</v>
      </c>
      <c r="C893" s="14" t="s">
        <v>2302</v>
      </c>
      <c r="D893" s="14" t="s">
        <v>28</v>
      </c>
      <c r="E893" s="14" t="s">
        <v>2303</v>
      </c>
      <c r="F893" s="15" t="s">
        <v>24</v>
      </c>
      <c r="G893" s="16">
        <v>3500</v>
      </c>
      <c r="H893" s="52" t="s">
        <v>25</v>
      </c>
      <c r="I893" s="52" t="s">
        <v>2304</v>
      </c>
      <c r="J893" s="102">
        <v>16275</v>
      </c>
      <c r="K893" s="102">
        <v>17584</v>
      </c>
      <c r="L893" s="102">
        <v>1309</v>
      </c>
      <c r="M893" s="41">
        <v>2224685</v>
      </c>
      <c r="N893" s="102">
        <v>0</v>
      </c>
      <c r="O893" s="102">
        <v>0</v>
      </c>
      <c r="P893" s="102">
        <v>0</v>
      </c>
      <c r="Q893" s="102">
        <v>0</v>
      </c>
      <c r="R893" s="19">
        <f t="shared" si="125"/>
        <v>2224685</v>
      </c>
      <c r="S893" s="19">
        <v>3000</v>
      </c>
      <c r="T893" s="19">
        <f t="shared" si="126"/>
        <v>2227685</v>
      </c>
      <c r="U893" s="105"/>
      <c r="X893" s="10">
        <f t="shared" si="121"/>
        <v>2224685</v>
      </c>
      <c r="Y893" s="2">
        <f t="shared" si="122"/>
        <v>0</v>
      </c>
      <c r="Z893" s="10">
        <f t="shared" si="127"/>
        <v>0</v>
      </c>
    </row>
    <row r="894" spans="1:26" ht="18" customHeight="1" x14ac:dyDescent="0.25">
      <c r="A894" s="11">
        <v>85</v>
      </c>
      <c r="B894" s="67">
        <v>514100844709</v>
      </c>
      <c r="C894" s="14" t="s">
        <v>2305</v>
      </c>
      <c r="D894" s="14" t="s">
        <v>22</v>
      </c>
      <c r="E894" s="14" t="s">
        <v>2306</v>
      </c>
      <c r="F894" s="15" t="s">
        <v>24</v>
      </c>
      <c r="G894" s="16">
        <v>3500</v>
      </c>
      <c r="H894" s="52" t="s">
        <v>25</v>
      </c>
      <c r="I894" s="52" t="s">
        <v>2307</v>
      </c>
      <c r="J894" s="102">
        <v>23624</v>
      </c>
      <c r="K894" s="102">
        <v>25280</v>
      </c>
      <c r="L894" s="102">
        <v>1656</v>
      </c>
      <c r="M894" s="41">
        <v>2814422</v>
      </c>
      <c r="N894" s="102">
        <v>0</v>
      </c>
      <c r="O894" s="102">
        <v>0</v>
      </c>
      <c r="P894" s="102">
        <v>0</v>
      </c>
      <c r="Q894" s="102">
        <v>0</v>
      </c>
      <c r="R894" s="19">
        <f t="shared" si="125"/>
        <v>2814422</v>
      </c>
      <c r="S894" s="19">
        <v>3000</v>
      </c>
      <c r="T894" s="19">
        <f t="shared" si="126"/>
        <v>2817422</v>
      </c>
      <c r="U894" s="105"/>
      <c r="X894" s="10">
        <f t="shared" si="121"/>
        <v>2814422</v>
      </c>
      <c r="Y894" s="2">
        <f t="shared" si="122"/>
        <v>0</v>
      </c>
      <c r="Z894" s="10">
        <f t="shared" si="127"/>
        <v>0</v>
      </c>
    </row>
    <row r="895" spans="1:26" ht="18" customHeight="1" x14ac:dyDescent="0.25">
      <c r="A895" s="11">
        <v>86</v>
      </c>
      <c r="B895" s="67">
        <v>514100844717</v>
      </c>
      <c r="C895" s="14" t="s">
        <v>2308</v>
      </c>
      <c r="D895" s="14" t="s">
        <v>22</v>
      </c>
      <c r="E895" s="53" t="s">
        <v>2309</v>
      </c>
      <c r="F895" s="54" t="s">
        <v>24</v>
      </c>
      <c r="G895" s="55">
        <v>3500</v>
      </c>
      <c r="H895" s="52" t="s">
        <v>25</v>
      </c>
      <c r="I895" s="52" t="s">
        <v>2310</v>
      </c>
      <c r="J895" s="102">
        <v>98146</v>
      </c>
      <c r="K895" s="102">
        <v>99183</v>
      </c>
      <c r="L895" s="102">
        <v>1037</v>
      </c>
      <c r="M895" s="41">
        <v>1762413</v>
      </c>
      <c r="N895" s="102">
        <v>0</v>
      </c>
      <c r="O895" s="102">
        <v>0</v>
      </c>
      <c r="P895" s="102">
        <v>0</v>
      </c>
      <c r="Q895" s="102">
        <v>0</v>
      </c>
      <c r="R895" s="19">
        <f t="shared" si="125"/>
        <v>1762413</v>
      </c>
      <c r="S895" s="19">
        <v>3000</v>
      </c>
      <c r="T895" s="19">
        <f t="shared" si="126"/>
        <v>1765413</v>
      </c>
      <c r="U895" s="105"/>
      <c r="X895" s="10">
        <f t="shared" si="121"/>
        <v>1762413</v>
      </c>
      <c r="Y895" s="2">
        <f t="shared" si="122"/>
        <v>0</v>
      </c>
      <c r="Z895" s="10">
        <f t="shared" si="127"/>
        <v>0</v>
      </c>
    </row>
    <row r="896" spans="1:26" ht="18" customHeight="1" x14ac:dyDescent="0.25">
      <c r="A896" s="11">
        <v>87</v>
      </c>
      <c r="B896" s="67">
        <v>514100844725</v>
      </c>
      <c r="C896" s="14" t="s">
        <v>2311</v>
      </c>
      <c r="D896" s="14" t="s">
        <v>22</v>
      </c>
      <c r="E896" s="14" t="s">
        <v>2312</v>
      </c>
      <c r="F896" s="15" t="s">
        <v>24</v>
      </c>
      <c r="G896" s="16">
        <v>7700</v>
      </c>
      <c r="H896" s="52" t="s">
        <v>25</v>
      </c>
      <c r="I896" s="52" t="s">
        <v>2313</v>
      </c>
      <c r="J896" s="102">
        <v>46124</v>
      </c>
      <c r="K896" s="102">
        <v>48636</v>
      </c>
      <c r="L896" s="102">
        <v>2512</v>
      </c>
      <c r="M896" s="41">
        <v>4269219</v>
      </c>
      <c r="N896" s="102">
        <v>0</v>
      </c>
      <c r="O896" s="102">
        <v>0</v>
      </c>
      <c r="P896" s="102">
        <v>0</v>
      </c>
      <c r="Q896" s="102">
        <v>0</v>
      </c>
      <c r="R896" s="19">
        <f t="shared" si="125"/>
        <v>4269219</v>
      </c>
      <c r="S896" s="19">
        <v>3000</v>
      </c>
      <c r="T896" s="19">
        <f t="shared" si="126"/>
        <v>4272219</v>
      </c>
      <c r="U896" s="105"/>
      <c r="X896" s="10">
        <f t="shared" si="121"/>
        <v>4269219</v>
      </c>
      <c r="Y896" s="2">
        <f t="shared" si="122"/>
        <v>0</v>
      </c>
      <c r="Z896" s="10">
        <f t="shared" si="127"/>
        <v>0</v>
      </c>
    </row>
    <row r="897" spans="1:26" ht="18" customHeight="1" x14ac:dyDescent="0.25">
      <c r="A897" s="11">
        <v>88</v>
      </c>
      <c r="B897" s="67">
        <v>514100844733</v>
      </c>
      <c r="C897" s="14" t="s">
        <v>2314</v>
      </c>
      <c r="D897" s="14" t="s">
        <v>28</v>
      </c>
      <c r="E897" s="14" t="s">
        <v>2315</v>
      </c>
      <c r="F897" s="15" t="s">
        <v>24</v>
      </c>
      <c r="G897" s="16">
        <v>3500</v>
      </c>
      <c r="H897" s="52" t="s">
        <v>25</v>
      </c>
      <c r="I897" s="52" t="s">
        <v>2316</v>
      </c>
      <c r="J897" s="102">
        <v>98366</v>
      </c>
      <c r="K897" s="102">
        <v>99982</v>
      </c>
      <c r="L897" s="102">
        <v>1616</v>
      </c>
      <c r="M897" s="41">
        <v>2746440</v>
      </c>
      <c r="N897" s="102">
        <v>0</v>
      </c>
      <c r="O897" s="102">
        <v>0</v>
      </c>
      <c r="P897" s="102">
        <v>0</v>
      </c>
      <c r="Q897" s="102">
        <v>0</v>
      </c>
      <c r="R897" s="19">
        <f t="shared" si="125"/>
        <v>2746440</v>
      </c>
      <c r="S897" s="19">
        <v>3000</v>
      </c>
      <c r="T897" s="19">
        <f t="shared" si="126"/>
        <v>2749440</v>
      </c>
      <c r="U897" s="105"/>
      <c r="X897" s="10">
        <f t="shared" si="121"/>
        <v>2746440</v>
      </c>
      <c r="Y897" s="2">
        <f t="shared" si="122"/>
        <v>0</v>
      </c>
      <c r="Z897" s="10">
        <f t="shared" si="127"/>
        <v>0</v>
      </c>
    </row>
    <row r="898" spans="1:26" ht="18" customHeight="1" x14ac:dyDescent="0.25">
      <c r="A898" s="11">
        <v>89</v>
      </c>
      <c r="B898" s="52">
        <v>514100844741</v>
      </c>
      <c r="C898" s="53" t="s">
        <v>2317</v>
      </c>
      <c r="D898" s="14" t="s">
        <v>28</v>
      </c>
      <c r="E898" s="14" t="s">
        <v>2281</v>
      </c>
      <c r="F898" s="15" t="s">
        <v>24</v>
      </c>
      <c r="G898" s="16">
        <v>3500</v>
      </c>
      <c r="H898" s="52" t="s">
        <v>25</v>
      </c>
      <c r="I898" s="52" t="s">
        <v>2318</v>
      </c>
      <c r="J898" s="102">
        <v>81094</v>
      </c>
      <c r="K898" s="102">
        <v>81814</v>
      </c>
      <c r="L898" s="102">
        <v>720</v>
      </c>
      <c r="M898" s="41">
        <v>1223662</v>
      </c>
      <c r="N898" s="102">
        <v>0</v>
      </c>
      <c r="O898" s="102">
        <v>0</v>
      </c>
      <c r="P898" s="102">
        <v>0</v>
      </c>
      <c r="Q898" s="102">
        <v>0</v>
      </c>
      <c r="R898" s="19">
        <f t="shared" si="125"/>
        <v>1223662</v>
      </c>
      <c r="S898" s="19">
        <v>3000</v>
      </c>
      <c r="T898" s="19">
        <f t="shared" si="126"/>
        <v>1226662</v>
      </c>
      <c r="U898" s="105"/>
      <c r="X898" s="10">
        <f t="shared" si="121"/>
        <v>1223662</v>
      </c>
      <c r="Y898" s="2">
        <f t="shared" si="122"/>
        <v>0</v>
      </c>
      <c r="Z898" s="10">
        <f t="shared" si="127"/>
        <v>0</v>
      </c>
    </row>
    <row r="899" spans="1:26" ht="18" customHeight="1" x14ac:dyDescent="0.25">
      <c r="A899" s="11">
        <v>90</v>
      </c>
      <c r="B899" s="67">
        <v>514100844758</v>
      </c>
      <c r="C899" s="14" t="s">
        <v>2319</v>
      </c>
      <c r="D899" s="14" t="s">
        <v>22</v>
      </c>
      <c r="E899" s="14" t="s">
        <v>2242</v>
      </c>
      <c r="F899" s="15" t="s">
        <v>24</v>
      </c>
      <c r="G899" s="16">
        <v>3500</v>
      </c>
      <c r="H899" s="52" t="s">
        <v>25</v>
      </c>
      <c r="I899" s="52" t="s">
        <v>2320</v>
      </c>
      <c r="J899" s="102">
        <v>24470</v>
      </c>
      <c r="K899" s="102">
        <v>26192</v>
      </c>
      <c r="L899" s="102">
        <v>1722</v>
      </c>
      <c r="M899" s="41">
        <v>2926591</v>
      </c>
      <c r="N899" s="102">
        <v>0</v>
      </c>
      <c r="O899" s="102">
        <v>0</v>
      </c>
      <c r="P899" s="102">
        <v>0</v>
      </c>
      <c r="Q899" s="102">
        <v>0</v>
      </c>
      <c r="R899" s="19">
        <f t="shared" si="125"/>
        <v>2926591</v>
      </c>
      <c r="S899" s="19">
        <v>3000</v>
      </c>
      <c r="T899" s="19">
        <f t="shared" si="126"/>
        <v>2929591</v>
      </c>
      <c r="U899" s="105"/>
      <c r="X899" s="10">
        <f t="shared" si="121"/>
        <v>2926591</v>
      </c>
      <c r="Y899" s="2">
        <f t="shared" si="122"/>
        <v>0</v>
      </c>
      <c r="Z899" s="10">
        <f t="shared" si="127"/>
        <v>0</v>
      </c>
    </row>
    <row r="900" spans="1:26" ht="18" customHeight="1" x14ac:dyDescent="0.25">
      <c r="A900" s="11">
        <v>91</v>
      </c>
      <c r="B900" s="67">
        <v>514100844766</v>
      </c>
      <c r="C900" s="14" t="s">
        <v>2295</v>
      </c>
      <c r="D900" s="14" t="s">
        <v>22</v>
      </c>
      <c r="E900" s="14" t="s">
        <v>2321</v>
      </c>
      <c r="F900" s="15" t="s">
        <v>24</v>
      </c>
      <c r="G900" s="16">
        <v>3500</v>
      </c>
      <c r="H900" s="52" t="s">
        <v>25</v>
      </c>
      <c r="I900" s="52" t="s">
        <v>2322</v>
      </c>
      <c r="J900" s="102">
        <v>50566</v>
      </c>
      <c r="K900" s="102">
        <v>52042</v>
      </c>
      <c r="L900" s="102">
        <v>1476</v>
      </c>
      <c r="M900" s="41">
        <v>2508506</v>
      </c>
      <c r="N900" s="102">
        <v>0</v>
      </c>
      <c r="O900" s="102">
        <v>0</v>
      </c>
      <c r="P900" s="102">
        <v>0</v>
      </c>
      <c r="Q900" s="102">
        <v>0</v>
      </c>
      <c r="R900" s="19">
        <f t="shared" si="125"/>
        <v>2508506</v>
      </c>
      <c r="S900" s="19">
        <v>3000</v>
      </c>
      <c r="T900" s="19">
        <f t="shared" si="126"/>
        <v>2511506</v>
      </c>
      <c r="U900" s="105"/>
      <c r="X900" s="10">
        <f t="shared" si="121"/>
        <v>2508506</v>
      </c>
      <c r="Y900" s="2">
        <f t="shared" si="122"/>
        <v>0</v>
      </c>
      <c r="Z900" s="10">
        <f t="shared" si="127"/>
        <v>0</v>
      </c>
    </row>
    <row r="901" spans="1:26" ht="18" customHeight="1" x14ac:dyDescent="0.25">
      <c r="A901" s="11">
        <v>92</v>
      </c>
      <c r="B901" s="67">
        <v>514100844774</v>
      </c>
      <c r="C901" s="14" t="s">
        <v>2323</v>
      </c>
      <c r="D901" s="14" t="s">
        <v>28</v>
      </c>
      <c r="E901" s="14" t="s">
        <v>2324</v>
      </c>
      <c r="F901" s="15" t="s">
        <v>24</v>
      </c>
      <c r="G901" s="16">
        <v>5500</v>
      </c>
      <c r="H901" s="52" t="s">
        <v>25</v>
      </c>
      <c r="I901" s="52" t="s">
        <v>2325</v>
      </c>
      <c r="J901" s="102">
        <v>150658</v>
      </c>
      <c r="K901" s="102">
        <v>151740</v>
      </c>
      <c r="L901" s="102">
        <v>1082</v>
      </c>
      <c r="M901" s="41">
        <v>1838891</v>
      </c>
      <c r="N901" s="102">
        <v>0</v>
      </c>
      <c r="O901" s="102">
        <v>0</v>
      </c>
      <c r="P901" s="102">
        <v>0</v>
      </c>
      <c r="Q901" s="102">
        <v>0</v>
      </c>
      <c r="R901" s="19">
        <f t="shared" si="125"/>
        <v>1838891</v>
      </c>
      <c r="S901" s="19">
        <v>3000</v>
      </c>
      <c r="T901" s="19">
        <f t="shared" si="126"/>
        <v>1841891</v>
      </c>
      <c r="U901" s="105"/>
      <c r="X901" s="10">
        <f t="shared" si="121"/>
        <v>1838891</v>
      </c>
      <c r="Y901" s="2">
        <f t="shared" si="122"/>
        <v>0</v>
      </c>
      <c r="Z901" s="10">
        <f t="shared" si="127"/>
        <v>0</v>
      </c>
    </row>
    <row r="902" spans="1:26" ht="18" customHeight="1" x14ac:dyDescent="0.25">
      <c r="A902" s="11">
        <v>93</v>
      </c>
      <c r="B902" s="67">
        <v>514100844782</v>
      </c>
      <c r="C902" s="14" t="s">
        <v>2326</v>
      </c>
      <c r="D902" s="14" t="s">
        <v>22</v>
      </c>
      <c r="E902" s="14" t="s">
        <v>2083</v>
      </c>
      <c r="F902" s="15" t="s">
        <v>24</v>
      </c>
      <c r="G902" s="16">
        <v>5500</v>
      </c>
      <c r="H902" s="52" t="s">
        <v>25</v>
      </c>
      <c r="I902" s="52" t="s">
        <v>2327</v>
      </c>
      <c r="J902" s="102">
        <v>78764</v>
      </c>
      <c r="K902" s="102">
        <v>79733</v>
      </c>
      <c r="L902" s="102">
        <v>969</v>
      </c>
      <c r="M902" s="41">
        <v>1646845</v>
      </c>
      <c r="N902" s="102">
        <v>0</v>
      </c>
      <c r="O902" s="102">
        <v>0</v>
      </c>
      <c r="P902" s="102">
        <v>0</v>
      </c>
      <c r="Q902" s="102">
        <v>0</v>
      </c>
      <c r="R902" s="19">
        <f t="shared" si="125"/>
        <v>1646845</v>
      </c>
      <c r="S902" s="19">
        <v>3000</v>
      </c>
      <c r="T902" s="19">
        <f t="shared" si="126"/>
        <v>1649845</v>
      </c>
      <c r="U902" s="105"/>
      <c r="X902" s="10">
        <f t="shared" si="121"/>
        <v>1646845</v>
      </c>
      <c r="Y902" s="2">
        <f t="shared" si="122"/>
        <v>0</v>
      </c>
      <c r="Z902" s="10">
        <f t="shared" si="127"/>
        <v>0</v>
      </c>
    </row>
    <row r="903" spans="1:26" ht="18" customHeight="1" x14ac:dyDescent="0.25">
      <c r="A903" s="11">
        <v>94</v>
      </c>
      <c r="B903" s="67">
        <v>514100844790</v>
      </c>
      <c r="C903" s="14" t="s">
        <v>2328</v>
      </c>
      <c r="D903" s="14" t="s">
        <v>22</v>
      </c>
      <c r="E903" s="14" t="s">
        <v>2329</v>
      </c>
      <c r="F903" s="15" t="s">
        <v>24</v>
      </c>
      <c r="G903" s="16">
        <v>5500</v>
      </c>
      <c r="H903" s="52" t="s">
        <v>25</v>
      </c>
      <c r="I903" s="52" t="s">
        <v>2330</v>
      </c>
      <c r="J903" s="102">
        <v>13529</v>
      </c>
      <c r="K903" s="102">
        <v>15579</v>
      </c>
      <c r="L903" s="102">
        <v>2050</v>
      </c>
      <c r="M903" s="41">
        <v>3484037</v>
      </c>
      <c r="N903" s="102">
        <v>0</v>
      </c>
      <c r="O903" s="102">
        <v>0</v>
      </c>
      <c r="P903" s="102">
        <v>0</v>
      </c>
      <c r="Q903" s="102">
        <v>0</v>
      </c>
      <c r="R903" s="19">
        <f t="shared" si="125"/>
        <v>3484037</v>
      </c>
      <c r="S903" s="19">
        <v>3000</v>
      </c>
      <c r="T903" s="19">
        <f t="shared" si="126"/>
        <v>3487037</v>
      </c>
      <c r="U903" s="105"/>
      <c r="X903" s="10">
        <f t="shared" si="121"/>
        <v>3484037</v>
      </c>
      <c r="Y903" s="2">
        <f t="shared" si="122"/>
        <v>0</v>
      </c>
      <c r="Z903" s="10">
        <f t="shared" si="127"/>
        <v>0</v>
      </c>
    </row>
    <row r="904" spans="1:26" ht="18" customHeight="1" x14ac:dyDescent="0.25">
      <c r="A904" s="11">
        <v>95</v>
      </c>
      <c r="B904" s="67">
        <v>514100844803</v>
      </c>
      <c r="C904" s="14" t="s">
        <v>2331</v>
      </c>
      <c r="D904" s="14" t="s">
        <v>22</v>
      </c>
      <c r="E904" s="14" t="s">
        <v>2332</v>
      </c>
      <c r="F904" s="15" t="s">
        <v>24</v>
      </c>
      <c r="G904" s="16">
        <v>7700</v>
      </c>
      <c r="H904" s="52" t="s">
        <v>25</v>
      </c>
      <c r="I904" s="52" t="s">
        <v>2333</v>
      </c>
      <c r="J904" s="102">
        <v>86626</v>
      </c>
      <c r="K904" s="102">
        <v>88798</v>
      </c>
      <c r="L904" s="102">
        <v>2172</v>
      </c>
      <c r="M904" s="41">
        <v>3691379</v>
      </c>
      <c r="N904" s="102">
        <v>0</v>
      </c>
      <c r="O904" s="102">
        <v>0</v>
      </c>
      <c r="P904" s="102">
        <v>0</v>
      </c>
      <c r="Q904" s="102">
        <v>0</v>
      </c>
      <c r="R904" s="19">
        <f t="shared" si="125"/>
        <v>3691379</v>
      </c>
      <c r="S904" s="19">
        <v>3000</v>
      </c>
      <c r="T904" s="19">
        <f t="shared" si="126"/>
        <v>3694379</v>
      </c>
      <c r="U904" s="105"/>
      <c r="X904" s="10">
        <f t="shared" si="121"/>
        <v>3691379</v>
      </c>
      <c r="Y904" s="2">
        <f t="shared" si="122"/>
        <v>0</v>
      </c>
      <c r="Z904" s="10">
        <f t="shared" si="127"/>
        <v>0</v>
      </c>
    </row>
    <row r="905" spans="1:26" ht="18" customHeight="1" x14ac:dyDescent="0.25">
      <c r="A905" s="11">
        <v>96</v>
      </c>
      <c r="B905" s="67">
        <v>514100844811</v>
      </c>
      <c r="C905" s="14" t="s">
        <v>2334</v>
      </c>
      <c r="D905" s="14" t="s">
        <v>22</v>
      </c>
      <c r="E905" s="14" t="s">
        <v>2335</v>
      </c>
      <c r="F905" s="15" t="s">
        <v>24</v>
      </c>
      <c r="G905" s="16">
        <v>3500</v>
      </c>
      <c r="H905" s="52" t="s">
        <v>25</v>
      </c>
      <c r="I905" s="52" t="s">
        <v>2336</v>
      </c>
      <c r="J905" s="102">
        <v>67431</v>
      </c>
      <c r="K905" s="102">
        <v>69264</v>
      </c>
      <c r="L905" s="102">
        <v>1833</v>
      </c>
      <c r="M905" s="41">
        <v>3115238</v>
      </c>
      <c r="N905" s="102">
        <v>0</v>
      </c>
      <c r="O905" s="102">
        <v>0</v>
      </c>
      <c r="P905" s="102">
        <v>0</v>
      </c>
      <c r="Q905" s="102">
        <v>0</v>
      </c>
      <c r="R905" s="19">
        <f t="shared" si="125"/>
        <v>3115238</v>
      </c>
      <c r="S905" s="19">
        <v>3000</v>
      </c>
      <c r="T905" s="19">
        <f t="shared" si="126"/>
        <v>3118238</v>
      </c>
      <c r="U905" s="105"/>
      <c r="X905" s="10">
        <f t="shared" si="121"/>
        <v>3115238</v>
      </c>
      <c r="Y905" s="2">
        <f t="shared" si="122"/>
        <v>0</v>
      </c>
      <c r="Z905" s="10">
        <f t="shared" si="127"/>
        <v>0</v>
      </c>
    </row>
    <row r="906" spans="1:26" ht="18" customHeight="1" x14ac:dyDescent="0.25">
      <c r="A906" s="11">
        <v>97</v>
      </c>
      <c r="B906" s="67">
        <v>514100844829</v>
      </c>
      <c r="C906" s="14" t="s">
        <v>2337</v>
      </c>
      <c r="D906" s="14" t="s">
        <v>22</v>
      </c>
      <c r="E906" s="14" t="s">
        <v>2086</v>
      </c>
      <c r="F906" s="15" t="s">
        <v>24</v>
      </c>
      <c r="G906" s="16">
        <v>3500</v>
      </c>
      <c r="H906" s="52" t="s">
        <v>25</v>
      </c>
      <c r="I906" s="52" t="s">
        <v>2338</v>
      </c>
      <c r="J906" s="102">
        <v>78540</v>
      </c>
      <c r="K906" s="102">
        <v>79789</v>
      </c>
      <c r="L906" s="102">
        <v>1249</v>
      </c>
      <c r="M906" s="41">
        <v>2122713</v>
      </c>
      <c r="N906" s="102">
        <v>0</v>
      </c>
      <c r="O906" s="102">
        <v>0</v>
      </c>
      <c r="P906" s="102">
        <v>0</v>
      </c>
      <c r="Q906" s="102">
        <v>0</v>
      </c>
      <c r="R906" s="19">
        <f t="shared" si="125"/>
        <v>2122713</v>
      </c>
      <c r="S906" s="19">
        <v>3000</v>
      </c>
      <c r="T906" s="19">
        <f t="shared" si="126"/>
        <v>2125713</v>
      </c>
      <c r="U906" s="105"/>
      <c r="X906" s="10">
        <f t="shared" si="121"/>
        <v>2122713</v>
      </c>
      <c r="Y906" s="2">
        <f t="shared" si="122"/>
        <v>0</v>
      </c>
      <c r="Z906" s="10">
        <f t="shared" si="127"/>
        <v>0</v>
      </c>
    </row>
    <row r="907" spans="1:26" ht="18" customHeight="1" x14ac:dyDescent="0.25">
      <c r="A907" s="11">
        <v>98</v>
      </c>
      <c r="B907" s="67">
        <v>514100844837</v>
      </c>
      <c r="C907" s="14" t="s">
        <v>2339</v>
      </c>
      <c r="D907" s="14" t="s">
        <v>22</v>
      </c>
      <c r="E907" s="14" t="s">
        <v>2340</v>
      </c>
      <c r="F907" s="15" t="s">
        <v>24</v>
      </c>
      <c r="G907" s="16">
        <v>3500</v>
      </c>
      <c r="H907" s="52" t="s">
        <v>25</v>
      </c>
      <c r="I907" s="52" t="s">
        <v>2341</v>
      </c>
      <c r="J907" s="102">
        <v>10142</v>
      </c>
      <c r="K907" s="102">
        <v>11075</v>
      </c>
      <c r="L907" s="102">
        <v>933</v>
      </c>
      <c r="M907" s="41">
        <v>1585661</v>
      </c>
      <c r="N907" s="102">
        <v>0</v>
      </c>
      <c r="O907" s="102">
        <v>0</v>
      </c>
      <c r="P907" s="102">
        <v>0</v>
      </c>
      <c r="Q907" s="102">
        <v>0</v>
      </c>
      <c r="R907" s="19">
        <f t="shared" si="125"/>
        <v>1585661</v>
      </c>
      <c r="S907" s="19">
        <v>3000</v>
      </c>
      <c r="T907" s="19">
        <f t="shared" si="126"/>
        <v>1588661</v>
      </c>
      <c r="U907" s="105"/>
      <c r="X907" s="10">
        <f t="shared" si="121"/>
        <v>1585661</v>
      </c>
      <c r="Y907" s="2">
        <f t="shared" si="122"/>
        <v>0</v>
      </c>
      <c r="Z907" s="10">
        <f t="shared" si="127"/>
        <v>0</v>
      </c>
    </row>
    <row r="908" spans="1:26" ht="18" customHeight="1" x14ac:dyDescent="0.25">
      <c r="A908" s="11">
        <v>99</v>
      </c>
      <c r="B908" s="67">
        <v>514100844845</v>
      </c>
      <c r="C908" s="14" t="s">
        <v>2342</v>
      </c>
      <c r="D908" s="14" t="s">
        <v>28</v>
      </c>
      <c r="E908" s="14" t="s">
        <v>2253</v>
      </c>
      <c r="F908" s="15" t="s">
        <v>24</v>
      </c>
      <c r="G908" s="16">
        <v>3500</v>
      </c>
      <c r="H908" s="52" t="s">
        <v>25</v>
      </c>
      <c r="I908" s="52" t="s">
        <v>2343</v>
      </c>
      <c r="J908" s="102">
        <v>37295</v>
      </c>
      <c r="K908" s="102">
        <v>37844</v>
      </c>
      <c r="L908" s="102">
        <v>549</v>
      </c>
      <c r="M908" s="41">
        <v>933042</v>
      </c>
      <c r="N908" s="102">
        <v>0</v>
      </c>
      <c r="O908" s="102">
        <v>0</v>
      </c>
      <c r="P908" s="102">
        <v>0</v>
      </c>
      <c r="Q908" s="102">
        <v>0</v>
      </c>
      <c r="R908" s="19">
        <f t="shared" si="125"/>
        <v>933042</v>
      </c>
      <c r="S908" s="19">
        <v>3000</v>
      </c>
      <c r="T908" s="19">
        <f t="shared" si="126"/>
        <v>936042</v>
      </c>
      <c r="U908" s="105"/>
      <c r="X908" s="10">
        <f t="shared" si="121"/>
        <v>933042</v>
      </c>
      <c r="Y908" s="2">
        <f t="shared" si="122"/>
        <v>0</v>
      </c>
      <c r="Z908" s="10">
        <f t="shared" si="127"/>
        <v>0</v>
      </c>
    </row>
    <row r="909" spans="1:26" ht="18" customHeight="1" x14ac:dyDescent="0.25">
      <c r="A909" s="11">
        <v>100</v>
      </c>
      <c r="B909" s="67">
        <v>514100844852</v>
      </c>
      <c r="C909" s="14" t="s">
        <v>2344</v>
      </c>
      <c r="D909" s="14" t="s">
        <v>22</v>
      </c>
      <c r="E909" s="14" t="s">
        <v>656</v>
      </c>
      <c r="F909" s="15" t="s">
        <v>24</v>
      </c>
      <c r="G909" s="16">
        <v>3500</v>
      </c>
      <c r="H909" s="52" t="s">
        <v>25</v>
      </c>
      <c r="I909" s="52" t="s">
        <v>2345</v>
      </c>
      <c r="J909" s="102">
        <v>111932</v>
      </c>
      <c r="K909" s="102">
        <v>112559</v>
      </c>
      <c r="L909" s="102">
        <v>627</v>
      </c>
      <c r="M909" s="41">
        <v>1065605</v>
      </c>
      <c r="N909" s="102">
        <v>0</v>
      </c>
      <c r="O909" s="102">
        <v>0</v>
      </c>
      <c r="P909" s="102">
        <v>0</v>
      </c>
      <c r="Q909" s="102">
        <v>0</v>
      </c>
      <c r="R909" s="19">
        <f t="shared" si="125"/>
        <v>1065605</v>
      </c>
      <c r="S909" s="19">
        <v>3000</v>
      </c>
      <c r="T909" s="19">
        <f t="shared" si="126"/>
        <v>1068605</v>
      </c>
      <c r="U909" s="105"/>
      <c r="X909" s="10">
        <f t="shared" si="121"/>
        <v>1065605</v>
      </c>
      <c r="Y909" s="2">
        <f t="shared" si="122"/>
        <v>0</v>
      </c>
      <c r="Z909" s="10">
        <f t="shared" si="127"/>
        <v>0</v>
      </c>
    </row>
    <row r="910" spans="1:26" ht="18" customHeight="1" x14ac:dyDescent="0.25">
      <c r="A910" s="11">
        <v>101</v>
      </c>
      <c r="B910" s="67">
        <v>514100844860</v>
      </c>
      <c r="C910" s="14" t="s">
        <v>2346</v>
      </c>
      <c r="D910" s="14" t="s">
        <v>28</v>
      </c>
      <c r="E910" s="14" t="s">
        <v>2347</v>
      </c>
      <c r="F910" s="15" t="s">
        <v>24</v>
      </c>
      <c r="G910" s="16">
        <v>3500</v>
      </c>
      <c r="H910" s="52" t="s">
        <v>25</v>
      </c>
      <c r="I910" s="52" t="s">
        <v>2348</v>
      </c>
      <c r="J910" s="102">
        <v>143384</v>
      </c>
      <c r="K910" s="102">
        <v>144973</v>
      </c>
      <c r="L910" s="102">
        <v>1589</v>
      </c>
      <c r="M910" s="41">
        <v>2700553</v>
      </c>
      <c r="N910" s="102">
        <v>0</v>
      </c>
      <c r="O910" s="102">
        <v>0</v>
      </c>
      <c r="P910" s="102">
        <v>0</v>
      </c>
      <c r="Q910" s="102">
        <v>0</v>
      </c>
      <c r="R910" s="19">
        <f t="shared" si="125"/>
        <v>2700553</v>
      </c>
      <c r="S910" s="19">
        <v>3000</v>
      </c>
      <c r="T910" s="19">
        <f t="shared" si="126"/>
        <v>2703553</v>
      </c>
      <c r="U910" s="105"/>
      <c r="X910" s="10">
        <f t="shared" si="121"/>
        <v>2700553</v>
      </c>
      <c r="Y910" s="2">
        <f t="shared" si="122"/>
        <v>0</v>
      </c>
      <c r="Z910" s="10">
        <f t="shared" si="127"/>
        <v>0</v>
      </c>
    </row>
    <row r="911" spans="1:26" ht="18" customHeight="1" x14ac:dyDescent="0.25">
      <c r="A911" s="11">
        <v>102</v>
      </c>
      <c r="B911" s="67">
        <v>514100844878</v>
      </c>
      <c r="C911" s="14" t="s">
        <v>2349</v>
      </c>
      <c r="D911" s="14" t="s">
        <v>22</v>
      </c>
      <c r="E911" s="14" t="s">
        <v>187</v>
      </c>
      <c r="F911" s="15" t="s">
        <v>24</v>
      </c>
      <c r="G911" s="16">
        <v>3500</v>
      </c>
      <c r="H911" s="52" t="s">
        <v>25</v>
      </c>
      <c r="I911" s="52" t="s">
        <v>2350</v>
      </c>
      <c r="J911" s="102">
        <v>66102</v>
      </c>
      <c r="K911" s="102">
        <v>67299</v>
      </c>
      <c r="L911" s="102">
        <v>1197</v>
      </c>
      <c r="M911" s="41">
        <v>2034337</v>
      </c>
      <c r="N911" s="102">
        <v>0</v>
      </c>
      <c r="O911" s="102">
        <v>0</v>
      </c>
      <c r="P911" s="102">
        <v>0</v>
      </c>
      <c r="Q911" s="102">
        <v>0</v>
      </c>
      <c r="R911" s="19">
        <f t="shared" si="125"/>
        <v>2034337</v>
      </c>
      <c r="S911" s="19">
        <v>3000</v>
      </c>
      <c r="T911" s="19">
        <f t="shared" si="126"/>
        <v>2037337</v>
      </c>
      <c r="U911" s="105"/>
      <c r="X911" s="10">
        <f t="shared" si="121"/>
        <v>2034337</v>
      </c>
      <c r="Y911" s="2">
        <f t="shared" si="122"/>
        <v>0</v>
      </c>
      <c r="Z911" s="10">
        <f t="shared" si="127"/>
        <v>0</v>
      </c>
    </row>
    <row r="912" spans="1:26" ht="18" customHeight="1" x14ac:dyDescent="0.25">
      <c r="A912" s="11">
        <v>103</v>
      </c>
      <c r="B912" s="67">
        <v>514100844886</v>
      </c>
      <c r="C912" s="14" t="s">
        <v>2351</v>
      </c>
      <c r="D912" s="14" t="s">
        <v>22</v>
      </c>
      <c r="E912" s="14" t="s">
        <v>2352</v>
      </c>
      <c r="F912" s="15" t="s">
        <v>24</v>
      </c>
      <c r="G912" s="16">
        <v>3500</v>
      </c>
      <c r="H912" s="52" t="s">
        <v>25</v>
      </c>
      <c r="I912" s="52" t="s">
        <v>2353</v>
      </c>
      <c r="J912" s="102">
        <v>63042</v>
      </c>
      <c r="K912" s="102">
        <v>64305</v>
      </c>
      <c r="L912" s="102">
        <v>1263</v>
      </c>
      <c r="M912" s="41">
        <v>2146506</v>
      </c>
      <c r="N912" s="102">
        <v>0</v>
      </c>
      <c r="O912" s="102">
        <v>0</v>
      </c>
      <c r="P912" s="102">
        <v>0</v>
      </c>
      <c r="Q912" s="102">
        <v>0</v>
      </c>
      <c r="R912" s="19">
        <f t="shared" si="125"/>
        <v>2146506</v>
      </c>
      <c r="S912" s="19">
        <v>3000</v>
      </c>
      <c r="T912" s="19">
        <f t="shared" si="126"/>
        <v>2149506</v>
      </c>
      <c r="U912" s="105"/>
      <c r="X912" s="10">
        <f t="shared" si="121"/>
        <v>2146506</v>
      </c>
      <c r="Y912" s="2">
        <f t="shared" si="122"/>
        <v>0</v>
      </c>
      <c r="Z912" s="10">
        <f t="shared" si="127"/>
        <v>0</v>
      </c>
    </row>
    <row r="913" spans="1:26" ht="18" customHeight="1" x14ac:dyDescent="0.25">
      <c r="A913" s="11">
        <v>104</v>
      </c>
      <c r="B913" s="67">
        <v>514100844894</v>
      </c>
      <c r="C913" s="14" t="s">
        <v>2354</v>
      </c>
      <c r="D913" s="14" t="s">
        <v>28</v>
      </c>
      <c r="E913" s="14" t="s">
        <v>2355</v>
      </c>
      <c r="F913" s="15" t="s">
        <v>24</v>
      </c>
      <c r="G913" s="16">
        <v>4400</v>
      </c>
      <c r="H913" s="52" t="s">
        <v>25</v>
      </c>
      <c r="I913" s="52" t="s">
        <v>2356</v>
      </c>
      <c r="J913" s="102">
        <v>40120</v>
      </c>
      <c r="K913" s="102">
        <v>42614</v>
      </c>
      <c r="L913" s="102">
        <v>2494</v>
      </c>
      <c r="M913" s="41">
        <v>4238628</v>
      </c>
      <c r="N913" s="102">
        <v>0</v>
      </c>
      <c r="O913" s="102">
        <v>0</v>
      </c>
      <c r="P913" s="102">
        <v>0</v>
      </c>
      <c r="Q913" s="102">
        <v>0</v>
      </c>
      <c r="R913" s="19">
        <f t="shared" si="125"/>
        <v>4238628</v>
      </c>
      <c r="S913" s="19">
        <v>3000</v>
      </c>
      <c r="T913" s="19">
        <f t="shared" si="126"/>
        <v>4241628</v>
      </c>
      <c r="U913" s="105"/>
      <c r="X913" s="10">
        <f t="shared" si="121"/>
        <v>4238628</v>
      </c>
      <c r="Y913" s="2">
        <f t="shared" si="122"/>
        <v>0</v>
      </c>
      <c r="Z913" s="10">
        <f t="shared" si="127"/>
        <v>0</v>
      </c>
    </row>
    <row r="914" spans="1:26" ht="18" customHeight="1" x14ac:dyDescent="0.25">
      <c r="A914" s="11">
        <v>105</v>
      </c>
      <c r="B914" s="67">
        <v>514100844908</v>
      </c>
      <c r="C914" s="14" t="s">
        <v>2357</v>
      </c>
      <c r="D914" s="14" t="s">
        <v>22</v>
      </c>
      <c r="E914" s="14" t="s">
        <v>2099</v>
      </c>
      <c r="F914" s="15" t="s">
        <v>24</v>
      </c>
      <c r="G914" s="16">
        <v>5500</v>
      </c>
      <c r="H914" s="52" t="s">
        <v>25</v>
      </c>
      <c r="I914" s="52" t="s">
        <v>2358</v>
      </c>
      <c r="J914" s="102">
        <v>72299</v>
      </c>
      <c r="K914" s="102">
        <v>73212</v>
      </c>
      <c r="L914" s="102">
        <v>913</v>
      </c>
      <c r="M914" s="41">
        <v>1551671</v>
      </c>
      <c r="N914" s="102">
        <v>0</v>
      </c>
      <c r="O914" s="102">
        <v>0</v>
      </c>
      <c r="P914" s="102">
        <v>0</v>
      </c>
      <c r="Q914" s="102">
        <v>0</v>
      </c>
      <c r="R914" s="19">
        <f t="shared" si="125"/>
        <v>1551671</v>
      </c>
      <c r="S914" s="19">
        <v>3000</v>
      </c>
      <c r="T914" s="19">
        <f t="shared" si="126"/>
        <v>1554671</v>
      </c>
      <c r="U914" s="105"/>
      <c r="X914" s="10">
        <f t="shared" si="121"/>
        <v>1551671</v>
      </c>
      <c r="Y914" s="2">
        <f t="shared" si="122"/>
        <v>0</v>
      </c>
      <c r="Z914" s="10">
        <f t="shared" si="127"/>
        <v>0</v>
      </c>
    </row>
    <row r="915" spans="1:26" ht="18" customHeight="1" x14ac:dyDescent="0.25">
      <c r="A915" s="11">
        <v>106</v>
      </c>
      <c r="B915" s="67">
        <v>514100844916</v>
      </c>
      <c r="C915" s="14" t="s">
        <v>2359</v>
      </c>
      <c r="D915" s="14" t="s">
        <v>28</v>
      </c>
      <c r="E915" s="14" t="s">
        <v>2360</v>
      </c>
      <c r="F915" s="15" t="s">
        <v>24</v>
      </c>
      <c r="G915" s="16">
        <v>7700</v>
      </c>
      <c r="H915" s="52" t="s">
        <v>25</v>
      </c>
      <c r="I915" s="52" t="s">
        <v>2361</v>
      </c>
      <c r="J915" s="102">
        <v>70031</v>
      </c>
      <c r="K915" s="102">
        <v>71338</v>
      </c>
      <c r="L915" s="102">
        <v>1307</v>
      </c>
      <c r="M915" s="41">
        <v>2221286</v>
      </c>
      <c r="N915" s="102">
        <v>0</v>
      </c>
      <c r="O915" s="102">
        <v>0</v>
      </c>
      <c r="P915" s="102">
        <v>0</v>
      </c>
      <c r="Q915" s="102">
        <v>0</v>
      </c>
      <c r="R915" s="19">
        <f t="shared" si="125"/>
        <v>2221286</v>
      </c>
      <c r="S915" s="19">
        <v>3000</v>
      </c>
      <c r="T915" s="19">
        <f t="shared" si="126"/>
        <v>2224286</v>
      </c>
      <c r="U915" s="105"/>
      <c r="X915" s="10">
        <f t="shared" si="121"/>
        <v>2221286</v>
      </c>
      <c r="Y915" s="2">
        <f t="shared" si="122"/>
        <v>0</v>
      </c>
      <c r="Z915" s="10">
        <f t="shared" si="127"/>
        <v>0</v>
      </c>
    </row>
    <row r="916" spans="1:26" ht="18" customHeight="1" x14ac:dyDescent="0.25">
      <c r="A916" s="11">
        <v>107</v>
      </c>
      <c r="B916" s="52">
        <v>514100844924</v>
      </c>
      <c r="C916" s="53" t="s">
        <v>279</v>
      </c>
      <c r="D916" s="14" t="s">
        <v>28</v>
      </c>
      <c r="E916" s="14" t="s">
        <v>280</v>
      </c>
      <c r="F916" s="15" t="s">
        <v>24</v>
      </c>
      <c r="G916" s="16">
        <v>3500</v>
      </c>
      <c r="H916" s="52" t="s">
        <v>25</v>
      </c>
      <c r="I916" s="52" t="s">
        <v>2362</v>
      </c>
      <c r="J916" s="102">
        <v>46647</v>
      </c>
      <c r="K916" s="102">
        <v>46647</v>
      </c>
      <c r="L916" s="102">
        <v>140</v>
      </c>
      <c r="M916" s="41">
        <v>237934</v>
      </c>
      <c r="N916" s="102">
        <v>0</v>
      </c>
      <c r="O916" s="102">
        <v>0</v>
      </c>
      <c r="P916" s="102">
        <v>0</v>
      </c>
      <c r="Q916" s="102">
        <v>0</v>
      </c>
      <c r="R916" s="19">
        <f t="shared" si="125"/>
        <v>237934</v>
      </c>
      <c r="S916" s="19">
        <v>3000</v>
      </c>
      <c r="T916" s="19">
        <f t="shared" si="126"/>
        <v>240934</v>
      </c>
      <c r="U916" s="105"/>
      <c r="X916" s="10">
        <f t="shared" si="121"/>
        <v>237934</v>
      </c>
      <c r="Y916" s="2">
        <f t="shared" si="122"/>
        <v>0</v>
      </c>
      <c r="Z916" s="10">
        <f t="shared" si="127"/>
        <v>0</v>
      </c>
    </row>
    <row r="917" spans="1:26" ht="18" customHeight="1" x14ac:dyDescent="0.25">
      <c r="A917" s="11">
        <v>108</v>
      </c>
      <c r="B917" s="67">
        <v>514100844932</v>
      </c>
      <c r="C917" s="14" t="s">
        <v>2363</v>
      </c>
      <c r="D917" s="14" t="s">
        <v>28</v>
      </c>
      <c r="E917" s="14" t="s">
        <v>2099</v>
      </c>
      <c r="F917" s="15" t="s">
        <v>24</v>
      </c>
      <c r="G917" s="16">
        <v>5500</v>
      </c>
      <c r="H917" s="52" t="s">
        <v>25</v>
      </c>
      <c r="I917" s="52" t="s">
        <v>2364</v>
      </c>
      <c r="J917" s="102">
        <v>20468</v>
      </c>
      <c r="K917" s="102">
        <v>21659</v>
      </c>
      <c r="L917" s="102">
        <v>1191</v>
      </c>
      <c r="M917" s="41">
        <v>2024140</v>
      </c>
      <c r="N917" s="102">
        <v>0</v>
      </c>
      <c r="O917" s="102">
        <v>0</v>
      </c>
      <c r="P917" s="102">
        <v>0</v>
      </c>
      <c r="Q917" s="102">
        <v>0</v>
      </c>
      <c r="R917" s="19">
        <f t="shared" si="125"/>
        <v>2024140</v>
      </c>
      <c r="S917" s="19">
        <v>3000</v>
      </c>
      <c r="T917" s="19">
        <f t="shared" si="126"/>
        <v>2027140</v>
      </c>
      <c r="U917" s="105"/>
      <c r="X917" s="10">
        <f t="shared" si="121"/>
        <v>2024140</v>
      </c>
      <c r="Y917" s="2">
        <f t="shared" si="122"/>
        <v>0</v>
      </c>
      <c r="Z917" s="10">
        <f t="shared" si="127"/>
        <v>0</v>
      </c>
    </row>
    <row r="918" spans="1:26" ht="18" customHeight="1" x14ac:dyDescent="0.25">
      <c r="A918" s="11">
        <v>109</v>
      </c>
      <c r="B918" s="67">
        <v>514100844940</v>
      </c>
      <c r="C918" s="14" t="s">
        <v>2365</v>
      </c>
      <c r="D918" s="14" t="s">
        <v>22</v>
      </c>
      <c r="E918" s="14" t="s">
        <v>2360</v>
      </c>
      <c r="F918" s="15" t="s">
        <v>24</v>
      </c>
      <c r="G918" s="16">
        <v>3500</v>
      </c>
      <c r="H918" s="52" t="s">
        <v>25</v>
      </c>
      <c r="I918" s="52" t="s">
        <v>2366</v>
      </c>
      <c r="J918" s="102">
        <v>95989</v>
      </c>
      <c r="K918" s="102">
        <v>97192</v>
      </c>
      <c r="L918" s="102">
        <v>1203</v>
      </c>
      <c r="M918" s="41">
        <v>2044535</v>
      </c>
      <c r="N918" s="102">
        <v>0</v>
      </c>
      <c r="O918" s="102">
        <v>0</v>
      </c>
      <c r="P918" s="102">
        <v>0</v>
      </c>
      <c r="Q918" s="102">
        <v>0</v>
      </c>
      <c r="R918" s="19">
        <f t="shared" si="125"/>
        <v>2044535</v>
      </c>
      <c r="S918" s="19">
        <v>3000</v>
      </c>
      <c r="T918" s="19">
        <f t="shared" si="126"/>
        <v>2047535</v>
      </c>
      <c r="U918" s="105"/>
      <c r="X918" s="10">
        <f t="shared" si="121"/>
        <v>2044535</v>
      </c>
      <c r="Y918" s="2">
        <f t="shared" si="122"/>
        <v>0</v>
      </c>
      <c r="Z918" s="10">
        <f t="shared" si="127"/>
        <v>0</v>
      </c>
    </row>
    <row r="919" spans="1:26" ht="18" customHeight="1" x14ac:dyDescent="0.25">
      <c r="A919" s="11">
        <v>110</v>
      </c>
      <c r="B919" s="67">
        <v>514100844957</v>
      </c>
      <c r="C919" s="14" t="s">
        <v>2367</v>
      </c>
      <c r="D919" s="14" t="s">
        <v>22</v>
      </c>
      <c r="E919" s="14" t="s">
        <v>2321</v>
      </c>
      <c r="F919" s="15" t="s">
        <v>24</v>
      </c>
      <c r="G919" s="16">
        <v>4400</v>
      </c>
      <c r="H919" s="52" t="s">
        <v>25</v>
      </c>
      <c r="I919" s="52" t="s">
        <v>2368</v>
      </c>
      <c r="J919" s="102">
        <v>19197</v>
      </c>
      <c r="K919" s="102">
        <v>20621</v>
      </c>
      <c r="L919" s="102">
        <v>1424</v>
      </c>
      <c r="M919" s="41">
        <v>2420131</v>
      </c>
      <c r="N919" s="102">
        <v>0</v>
      </c>
      <c r="O919" s="102">
        <v>0</v>
      </c>
      <c r="P919" s="102">
        <v>0</v>
      </c>
      <c r="Q919" s="102">
        <v>0</v>
      </c>
      <c r="R919" s="19">
        <f t="shared" si="125"/>
        <v>2420131</v>
      </c>
      <c r="S919" s="19">
        <v>3000</v>
      </c>
      <c r="T919" s="19">
        <f t="shared" si="126"/>
        <v>2423131</v>
      </c>
      <c r="U919" s="105"/>
      <c r="X919" s="10">
        <f t="shared" si="121"/>
        <v>2420131</v>
      </c>
      <c r="Y919" s="2">
        <f t="shared" si="122"/>
        <v>0</v>
      </c>
      <c r="Z919" s="10">
        <f t="shared" si="127"/>
        <v>0</v>
      </c>
    </row>
    <row r="920" spans="1:26" ht="18" customHeight="1" x14ac:dyDescent="0.25">
      <c r="A920" s="11">
        <v>111</v>
      </c>
      <c r="B920" s="67">
        <v>514100844965</v>
      </c>
      <c r="C920" s="14" t="s">
        <v>2369</v>
      </c>
      <c r="D920" s="14" t="s">
        <v>22</v>
      </c>
      <c r="E920" s="14" t="s">
        <v>2281</v>
      </c>
      <c r="F920" s="15" t="s">
        <v>24</v>
      </c>
      <c r="G920" s="16">
        <v>3500</v>
      </c>
      <c r="H920" s="52" t="s">
        <v>25</v>
      </c>
      <c r="I920" s="52" t="s">
        <v>2370</v>
      </c>
      <c r="J920" s="102">
        <v>130302</v>
      </c>
      <c r="K920" s="102">
        <v>131108</v>
      </c>
      <c r="L920" s="102">
        <v>806</v>
      </c>
      <c r="M920" s="41">
        <v>1369821</v>
      </c>
      <c r="N920" s="102">
        <v>0</v>
      </c>
      <c r="O920" s="102">
        <v>0</v>
      </c>
      <c r="P920" s="102">
        <v>0</v>
      </c>
      <c r="Q920" s="102">
        <v>0</v>
      </c>
      <c r="R920" s="19">
        <f t="shared" si="125"/>
        <v>1369821</v>
      </c>
      <c r="S920" s="19">
        <v>3000</v>
      </c>
      <c r="T920" s="19">
        <f t="shared" si="126"/>
        <v>1372821</v>
      </c>
      <c r="U920" s="105"/>
      <c r="X920" s="10">
        <f t="shared" si="121"/>
        <v>1369821</v>
      </c>
      <c r="Y920" s="2">
        <f t="shared" si="122"/>
        <v>0</v>
      </c>
      <c r="Z920" s="10">
        <f t="shared" si="127"/>
        <v>0</v>
      </c>
    </row>
    <row r="921" spans="1:26" ht="18" customHeight="1" x14ac:dyDescent="0.25">
      <c r="A921" s="11">
        <v>112</v>
      </c>
      <c r="B921" s="67">
        <v>514100844973</v>
      </c>
      <c r="C921" s="14" t="s">
        <v>2371</v>
      </c>
      <c r="D921" s="14" t="s">
        <v>22</v>
      </c>
      <c r="E921" s="14" t="s">
        <v>2372</v>
      </c>
      <c r="F921" s="15" t="s">
        <v>24</v>
      </c>
      <c r="G921" s="16">
        <v>7700</v>
      </c>
      <c r="H921" s="52" t="s">
        <v>25</v>
      </c>
      <c r="I921" s="52" t="s">
        <v>2373</v>
      </c>
      <c r="J921" s="102">
        <v>64255</v>
      </c>
      <c r="K921" s="102">
        <v>64285</v>
      </c>
      <c r="L921" s="102">
        <v>308</v>
      </c>
      <c r="M921" s="41">
        <v>523455</v>
      </c>
      <c r="N921" s="102">
        <v>0</v>
      </c>
      <c r="O921" s="102">
        <v>0</v>
      </c>
      <c r="P921" s="102">
        <v>0</v>
      </c>
      <c r="Q921" s="102">
        <v>0</v>
      </c>
      <c r="R921" s="19">
        <f t="shared" si="125"/>
        <v>523455</v>
      </c>
      <c r="S921" s="19">
        <v>3000</v>
      </c>
      <c r="T921" s="19">
        <f t="shared" si="126"/>
        <v>526455</v>
      </c>
      <c r="U921" s="105"/>
      <c r="X921" s="10">
        <f t="shared" ref="X921:X986" si="128">M921+N921+O921+P921</f>
        <v>523455</v>
      </c>
      <c r="Y921" s="2">
        <f t="shared" ref="Y921:Y986" si="129">IF(X921&gt;5000000,10000,IF(V921&lt;5000000,0,IF(V921=5000000,10000)))</f>
        <v>0</v>
      </c>
      <c r="Z921" s="10">
        <f t="shared" si="127"/>
        <v>0</v>
      </c>
    </row>
    <row r="922" spans="1:26" ht="18" customHeight="1" x14ac:dyDescent="0.25">
      <c r="A922" s="11">
        <v>113</v>
      </c>
      <c r="B922" s="67">
        <v>514100844981</v>
      </c>
      <c r="C922" s="14" t="s">
        <v>2135</v>
      </c>
      <c r="D922" s="14" t="s">
        <v>28</v>
      </c>
      <c r="E922" s="14" t="s">
        <v>2136</v>
      </c>
      <c r="F922" s="15" t="s">
        <v>24</v>
      </c>
      <c r="G922" s="16">
        <v>4400</v>
      </c>
      <c r="H922" s="52" t="s">
        <v>25</v>
      </c>
      <c r="I922" s="52" t="s">
        <v>2374</v>
      </c>
      <c r="J922" s="102">
        <v>75637</v>
      </c>
      <c r="K922" s="102">
        <v>77771</v>
      </c>
      <c r="L922" s="102">
        <v>2134</v>
      </c>
      <c r="M922" s="41">
        <v>3626797</v>
      </c>
      <c r="N922" s="102">
        <v>0</v>
      </c>
      <c r="O922" s="102">
        <v>0</v>
      </c>
      <c r="P922" s="102">
        <v>0</v>
      </c>
      <c r="Q922" s="102">
        <v>0</v>
      </c>
      <c r="R922" s="19">
        <f t="shared" si="125"/>
        <v>3626797</v>
      </c>
      <c r="S922" s="19">
        <v>3000</v>
      </c>
      <c r="T922" s="19">
        <f t="shared" si="126"/>
        <v>3629797</v>
      </c>
      <c r="U922" s="105"/>
      <c r="X922" s="10">
        <f t="shared" si="128"/>
        <v>3626797</v>
      </c>
      <c r="Y922" s="2">
        <f t="shared" si="129"/>
        <v>0</v>
      </c>
      <c r="Z922" s="10">
        <f t="shared" si="127"/>
        <v>0</v>
      </c>
    </row>
    <row r="923" spans="1:26" ht="18" customHeight="1" x14ac:dyDescent="0.25">
      <c r="A923" s="11">
        <v>114</v>
      </c>
      <c r="B923" s="67">
        <v>514100844999</v>
      </c>
      <c r="C923" s="14" t="s">
        <v>2375</v>
      </c>
      <c r="D923" s="14" t="s">
        <v>22</v>
      </c>
      <c r="E923" s="14" t="s">
        <v>2212</v>
      </c>
      <c r="F923" s="15" t="s">
        <v>24</v>
      </c>
      <c r="G923" s="16">
        <v>3500</v>
      </c>
      <c r="H923" s="52" t="s">
        <v>25</v>
      </c>
      <c r="I923" s="52" t="s">
        <v>2376</v>
      </c>
      <c r="J923" s="102">
        <v>58105</v>
      </c>
      <c r="K923" s="102">
        <v>59210</v>
      </c>
      <c r="L923" s="102">
        <v>1105</v>
      </c>
      <c r="M923" s="41">
        <v>1877981</v>
      </c>
      <c r="N923" s="102">
        <v>0</v>
      </c>
      <c r="O923" s="102">
        <v>0</v>
      </c>
      <c r="P923" s="102">
        <v>0</v>
      </c>
      <c r="Q923" s="102">
        <v>0</v>
      </c>
      <c r="R923" s="19">
        <f t="shared" si="125"/>
        <v>1877981</v>
      </c>
      <c r="S923" s="19">
        <v>3000</v>
      </c>
      <c r="T923" s="19">
        <f t="shared" si="126"/>
        <v>1880981</v>
      </c>
      <c r="U923" s="105"/>
      <c r="X923" s="10">
        <f t="shared" si="128"/>
        <v>1877981</v>
      </c>
      <c r="Y923" s="2">
        <f t="shared" si="129"/>
        <v>0</v>
      </c>
      <c r="Z923" s="10">
        <f t="shared" si="127"/>
        <v>0</v>
      </c>
    </row>
    <row r="924" spans="1:26" ht="18" customHeight="1" x14ac:dyDescent="0.25">
      <c r="A924" s="11">
        <v>115</v>
      </c>
      <c r="B924" s="67">
        <v>514100845009</v>
      </c>
      <c r="C924" s="14" t="s">
        <v>2377</v>
      </c>
      <c r="D924" s="14" t="s">
        <v>22</v>
      </c>
      <c r="E924" s="14" t="s">
        <v>2124</v>
      </c>
      <c r="F924" s="15" t="s">
        <v>24</v>
      </c>
      <c r="G924" s="16">
        <v>3500</v>
      </c>
      <c r="H924" s="52" t="s">
        <v>25</v>
      </c>
      <c r="I924" s="52" t="s">
        <v>2378</v>
      </c>
      <c r="J924" s="102">
        <v>16844</v>
      </c>
      <c r="K924" s="102">
        <v>17903</v>
      </c>
      <c r="L924" s="102">
        <v>1059</v>
      </c>
      <c r="M924" s="41">
        <v>1799802</v>
      </c>
      <c r="N924" s="102">
        <v>0</v>
      </c>
      <c r="O924" s="102">
        <v>0</v>
      </c>
      <c r="P924" s="102">
        <v>0</v>
      </c>
      <c r="Q924" s="102">
        <v>0</v>
      </c>
      <c r="R924" s="19">
        <f t="shared" si="125"/>
        <v>1799802</v>
      </c>
      <c r="S924" s="19">
        <v>3000</v>
      </c>
      <c r="T924" s="19">
        <f t="shared" si="126"/>
        <v>1802802</v>
      </c>
      <c r="U924" s="105"/>
      <c r="X924" s="10">
        <f t="shared" si="128"/>
        <v>1799802</v>
      </c>
      <c r="Y924" s="2">
        <f t="shared" si="129"/>
        <v>0</v>
      </c>
      <c r="Z924" s="10">
        <f t="shared" si="127"/>
        <v>0</v>
      </c>
    </row>
    <row r="925" spans="1:26" ht="18" customHeight="1" x14ac:dyDescent="0.25">
      <c r="A925" s="11">
        <v>116</v>
      </c>
      <c r="B925" s="67">
        <v>514100845017</v>
      </c>
      <c r="C925" s="14" t="s">
        <v>2379</v>
      </c>
      <c r="D925" s="14" t="s">
        <v>28</v>
      </c>
      <c r="E925" s="14" t="s">
        <v>2355</v>
      </c>
      <c r="F925" s="15" t="s">
        <v>24</v>
      </c>
      <c r="G925" s="16">
        <v>4400</v>
      </c>
      <c r="H925" s="52" t="s">
        <v>25</v>
      </c>
      <c r="I925" s="52" t="s">
        <v>2380</v>
      </c>
      <c r="J925" s="102">
        <v>65812</v>
      </c>
      <c r="K925" s="102">
        <v>67946</v>
      </c>
      <c r="L925" s="102">
        <v>2134</v>
      </c>
      <c r="M925" s="41">
        <v>3626797</v>
      </c>
      <c r="N925" s="102">
        <v>0</v>
      </c>
      <c r="O925" s="102">
        <v>0</v>
      </c>
      <c r="P925" s="102">
        <v>0</v>
      </c>
      <c r="Q925" s="102">
        <v>0</v>
      </c>
      <c r="R925" s="19">
        <f t="shared" si="125"/>
        <v>3626797</v>
      </c>
      <c r="S925" s="19">
        <v>3000</v>
      </c>
      <c r="T925" s="19">
        <f t="shared" si="126"/>
        <v>3629797</v>
      </c>
      <c r="U925" s="105"/>
      <c r="X925" s="10">
        <f t="shared" si="128"/>
        <v>3626797</v>
      </c>
      <c r="Y925" s="2">
        <f t="shared" si="129"/>
        <v>0</v>
      </c>
      <c r="Z925" s="10">
        <f t="shared" si="127"/>
        <v>0</v>
      </c>
    </row>
    <row r="926" spans="1:26" ht="18" customHeight="1" x14ac:dyDescent="0.25">
      <c r="A926" s="11">
        <v>117</v>
      </c>
      <c r="B926" s="67">
        <v>514100845025</v>
      </c>
      <c r="C926" s="14" t="s">
        <v>2381</v>
      </c>
      <c r="D926" s="14" t="s">
        <v>22</v>
      </c>
      <c r="E926" s="14" t="s">
        <v>2212</v>
      </c>
      <c r="F926" s="15" t="s">
        <v>24</v>
      </c>
      <c r="G926" s="16">
        <v>3500</v>
      </c>
      <c r="H926" s="52" t="s">
        <v>25</v>
      </c>
      <c r="I926" s="52" t="s">
        <v>2382</v>
      </c>
      <c r="J926" s="102">
        <v>71301</v>
      </c>
      <c r="K926" s="102">
        <v>72203</v>
      </c>
      <c r="L926" s="102">
        <v>902</v>
      </c>
      <c r="M926" s="41">
        <v>1532976</v>
      </c>
      <c r="N926" s="102">
        <v>0</v>
      </c>
      <c r="O926" s="102">
        <v>0</v>
      </c>
      <c r="P926" s="102">
        <v>0</v>
      </c>
      <c r="Q926" s="102">
        <v>0</v>
      </c>
      <c r="R926" s="19">
        <f t="shared" si="125"/>
        <v>1532976</v>
      </c>
      <c r="S926" s="19">
        <v>3000</v>
      </c>
      <c r="T926" s="19">
        <f t="shared" si="126"/>
        <v>1535976</v>
      </c>
      <c r="U926" s="105"/>
      <c r="X926" s="10">
        <f t="shared" si="128"/>
        <v>1532976</v>
      </c>
      <c r="Y926" s="2">
        <f t="shared" si="129"/>
        <v>0</v>
      </c>
      <c r="Z926" s="10">
        <f t="shared" si="127"/>
        <v>0</v>
      </c>
    </row>
    <row r="927" spans="1:26" ht="18" customHeight="1" x14ac:dyDescent="0.25">
      <c r="A927" s="11">
        <v>118</v>
      </c>
      <c r="B927" s="67">
        <v>514100845033</v>
      </c>
      <c r="C927" s="14" t="s">
        <v>2383</v>
      </c>
      <c r="D927" s="14" t="s">
        <v>22</v>
      </c>
      <c r="E927" s="14" t="s">
        <v>2360</v>
      </c>
      <c r="F927" s="15" t="s">
        <v>24</v>
      </c>
      <c r="G927" s="16">
        <v>3500</v>
      </c>
      <c r="H927" s="52" t="s">
        <v>25</v>
      </c>
      <c r="I927" s="52" t="s">
        <v>2384</v>
      </c>
      <c r="J927" s="102">
        <v>83835</v>
      </c>
      <c r="K927" s="102">
        <v>85072</v>
      </c>
      <c r="L927" s="102">
        <v>1237</v>
      </c>
      <c r="M927" s="41">
        <v>2102319</v>
      </c>
      <c r="N927" s="102">
        <v>0</v>
      </c>
      <c r="O927" s="102">
        <v>0</v>
      </c>
      <c r="P927" s="102">
        <v>0</v>
      </c>
      <c r="Q927" s="102">
        <v>0</v>
      </c>
      <c r="R927" s="19">
        <f t="shared" si="125"/>
        <v>2102319</v>
      </c>
      <c r="S927" s="19">
        <v>3000</v>
      </c>
      <c r="T927" s="19">
        <f t="shared" si="126"/>
        <v>2105319</v>
      </c>
      <c r="U927" s="105"/>
      <c r="X927" s="10">
        <f t="shared" si="128"/>
        <v>2102319</v>
      </c>
      <c r="Y927" s="2">
        <f t="shared" si="129"/>
        <v>0</v>
      </c>
      <c r="Z927" s="10">
        <f t="shared" si="127"/>
        <v>0</v>
      </c>
    </row>
    <row r="928" spans="1:26" ht="18" customHeight="1" x14ac:dyDescent="0.25">
      <c r="A928" s="11">
        <v>119</v>
      </c>
      <c r="B928" s="67">
        <v>514100845041</v>
      </c>
      <c r="C928" s="14" t="s">
        <v>2385</v>
      </c>
      <c r="D928" s="14" t="s">
        <v>22</v>
      </c>
      <c r="E928" s="14" t="s">
        <v>2386</v>
      </c>
      <c r="F928" s="15" t="s">
        <v>24</v>
      </c>
      <c r="G928" s="16">
        <v>3500</v>
      </c>
      <c r="H928" s="52" t="s">
        <v>25</v>
      </c>
      <c r="I928" s="52" t="s">
        <v>2387</v>
      </c>
      <c r="J928" s="102">
        <v>58715</v>
      </c>
      <c r="K928" s="102">
        <v>59367</v>
      </c>
      <c r="L928" s="102">
        <v>652</v>
      </c>
      <c r="M928" s="41">
        <v>1108094</v>
      </c>
      <c r="N928" s="102">
        <v>0</v>
      </c>
      <c r="O928" s="102">
        <v>0</v>
      </c>
      <c r="P928" s="102">
        <v>0</v>
      </c>
      <c r="Q928" s="102">
        <v>0</v>
      </c>
      <c r="R928" s="19">
        <f t="shared" si="125"/>
        <v>1108094</v>
      </c>
      <c r="S928" s="19">
        <v>3000</v>
      </c>
      <c r="T928" s="19">
        <f t="shared" si="126"/>
        <v>1111094</v>
      </c>
      <c r="U928" s="105"/>
      <c r="X928" s="10">
        <f t="shared" si="128"/>
        <v>1108094</v>
      </c>
      <c r="Y928" s="2">
        <f t="shared" si="129"/>
        <v>0</v>
      </c>
      <c r="Z928" s="10">
        <f t="shared" si="127"/>
        <v>0</v>
      </c>
    </row>
    <row r="929" spans="1:26" ht="18" customHeight="1" x14ac:dyDescent="0.25">
      <c r="A929" s="11">
        <v>120</v>
      </c>
      <c r="B929" s="67">
        <v>514100845058</v>
      </c>
      <c r="C929" s="14" t="s">
        <v>2388</v>
      </c>
      <c r="D929" s="14" t="s">
        <v>22</v>
      </c>
      <c r="E929" s="14" t="s">
        <v>2389</v>
      </c>
      <c r="F929" s="15" t="s">
        <v>24</v>
      </c>
      <c r="G929" s="16">
        <v>5500</v>
      </c>
      <c r="H929" s="52" t="s">
        <v>25</v>
      </c>
      <c r="I929" s="52" t="s">
        <v>2390</v>
      </c>
      <c r="J929" s="102">
        <v>2951</v>
      </c>
      <c r="K929" s="102">
        <v>4435</v>
      </c>
      <c r="L929" s="102">
        <v>1484</v>
      </c>
      <c r="M929" s="41">
        <v>2522103</v>
      </c>
      <c r="N929" s="102">
        <v>0</v>
      </c>
      <c r="O929" s="102">
        <v>0</v>
      </c>
      <c r="P929" s="102">
        <v>0</v>
      </c>
      <c r="Q929" s="102">
        <v>0</v>
      </c>
      <c r="R929" s="19">
        <f t="shared" si="125"/>
        <v>2522103</v>
      </c>
      <c r="S929" s="19">
        <v>3000</v>
      </c>
      <c r="T929" s="19">
        <f t="shared" si="126"/>
        <v>2525103</v>
      </c>
      <c r="U929" s="105"/>
      <c r="X929" s="10">
        <f t="shared" si="128"/>
        <v>2522103</v>
      </c>
      <c r="Y929" s="2">
        <f t="shared" si="129"/>
        <v>0</v>
      </c>
      <c r="Z929" s="10">
        <f t="shared" si="127"/>
        <v>0</v>
      </c>
    </row>
    <row r="930" spans="1:26" ht="18" customHeight="1" x14ac:dyDescent="0.25">
      <c r="A930" s="11"/>
      <c r="B930" s="67"/>
      <c r="C930" s="14"/>
      <c r="D930" s="14"/>
      <c r="E930" s="14"/>
      <c r="F930" s="15"/>
      <c r="G930" s="16"/>
      <c r="H930" s="52"/>
      <c r="I930" s="52"/>
      <c r="J930" s="102"/>
      <c r="K930" s="102"/>
      <c r="L930" s="102"/>
      <c r="M930" s="41"/>
      <c r="N930" s="102"/>
      <c r="O930" s="102"/>
      <c r="P930" s="102"/>
      <c r="Q930" s="102"/>
      <c r="R930" s="19"/>
      <c r="S930" s="19"/>
      <c r="T930" s="19"/>
      <c r="U930" s="105"/>
      <c r="X930" s="10"/>
      <c r="Z930" s="10"/>
    </row>
    <row r="931" spans="1:26" ht="33" customHeight="1" x14ac:dyDescent="0.25">
      <c r="A931" s="11"/>
      <c r="B931" s="107"/>
      <c r="C931" s="13"/>
      <c r="D931" s="13"/>
      <c r="E931" s="14" t="s">
        <v>139</v>
      </c>
      <c r="F931" s="12"/>
      <c r="G931" s="103">
        <f>SUM(G889:G929)</f>
        <v>663060</v>
      </c>
      <c r="H931" s="103">
        <f t="shared" ref="H931:R931" si="130">SUM(H889:H929)</f>
        <v>0</v>
      </c>
      <c r="I931" s="103">
        <f t="shared" si="130"/>
        <v>0</v>
      </c>
      <c r="J931" s="103"/>
      <c r="K931" s="103"/>
      <c r="L931" s="103">
        <f t="shared" si="130"/>
        <v>210320</v>
      </c>
      <c r="M931" s="23">
        <f t="shared" si="130"/>
        <v>357445152</v>
      </c>
      <c r="N931" s="24">
        <f t="shared" si="130"/>
        <v>0</v>
      </c>
      <c r="O931" s="24">
        <f t="shared" si="130"/>
        <v>0</v>
      </c>
      <c r="P931" s="24">
        <f t="shared" si="130"/>
        <v>0</v>
      </c>
      <c r="Q931" s="24">
        <f t="shared" si="130"/>
        <v>120000</v>
      </c>
      <c r="R931" s="23">
        <f t="shared" si="130"/>
        <v>357565152</v>
      </c>
      <c r="S931" s="23">
        <f>SUM(S889:S929)</f>
        <v>360000</v>
      </c>
      <c r="T931" s="23">
        <f>SUM(T889:T929)</f>
        <v>357925152</v>
      </c>
      <c r="U931" s="146"/>
      <c r="V931" s="2">
        <v>440667599</v>
      </c>
      <c r="W931" s="10">
        <f>R931-V931</f>
        <v>-83102447</v>
      </c>
      <c r="X931" s="10">
        <f t="shared" si="128"/>
        <v>357445152</v>
      </c>
      <c r="Y931" s="2">
        <f t="shared" si="129"/>
        <v>10000</v>
      </c>
      <c r="Z931" s="10"/>
    </row>
    <row r="932" spans="1:26" ht="18" customHeight="1" x14ac:dyDescent="0.25">
      <c r="A932" s="87"/>
      <c r="B932" s="108"/>
      <c r="C932" s="85"/>
      <c r="D932" s="85"/>
      <c r="E932" s="85"/>
      <c r="F932" s="84"/>
      <c r="G932" s="104"/>
      <c r="H932" s="31"/>
      <c r="L932" s="31"/>
      <c r="M932" s="105"/>
      <c r="N932" s="106"/>
      <c r="O932" s="106"/>
      <c r="P932" s="106"/>
      <c r="Q932" s="106"/>
      <c r="R932" s="105"/>
      <c r="S932" s="105"/>
      <c r="T932" s="105"/>
      <c r="U932" s="105"/>
      <c r="X932" s="10">
        <f t="shared" si="128"/>
        <v>0</v>
      </c>
      <c r="Y932" s="2">
        <f t="shared" si="129"/>
        <v>0</v>
      </c>
      <c r="Z932" s="10"/>
    </row>
    <row r="933" spans="1:26" ht="18" customHeight="1" x14ac:dyDescent="0.25">
      <c r="A933" s="87"/>
      <c r="B933" s="108"/>
      <c r="C933" s="85"/>
      <c r="D933" s="85"/>
      <c r="E933" s="85"/>
      <c r="F933" s="84"/>
      <c r="G933" s="104"/>
      <c r="L933" s="31"/>
      <c r="X933" s="10">
        <f t="shared" si="128"/>
        <v>0</v>
      </c>
      <c r="Y933" s="2">
        <f t="shared" si="129"/>
        <v>0</v>
      </c>
      <c r="Z933" s="10"/>
    </row>
    <row r="934" spans="1:26" s="84" customFormat="1" ht="39" customHeight="1" x14ac:dyDescent="0.25">
      <c r="A934" s="9" t="s">
        <v>4</v>
      </c>
      <c r="B934" s="21" t="s">
        <v>5</v>
      </c>
      <c r="C934" s="21" t="s">
        <v>6</v>
      </c>
      <c r="D934" s="12"/>
      <c r="E934" s="9" t="s">
        <v>7</v>
      </c>
      <c r="F934" s="21" t="s">
        <v>8</v>
      </c>
      <c r="G934" s="21" t="s">
        <v>9</v>
      </c>
      <c r="H934" s="21" t="s">
        <v>10</v>
      </c>
      <c r="I934" s="21" t="s">
        <v>11</v>
      </c>
      <c r="J934" s="21" t="s">
        <v>12</v>
      </c>
      <c r="K934" s="21" t="s">
        <v>13</v>
      </c>
      <c r="L934" s="21" t="s">
        <v>14</v>
      </c>
      <c r="M934" s="143" t="s">
        <v>15</v>
      </c>
      <c r="N934" s="144" t="s">
        <v>16</v>
      </c>
      <c r="O934" s="144" t="s">
        <v>17</v>
      </c>
      <c r="P934" s="144" t="s">
        <v>18</v>
      </c>
      <c r="Q934" s="144" t="s">
        <v>19</v>
      </c>
      <c r="R934" s="143" t="s">
        <v>20</v>
      </c>
      <c r="S934" s="143" t="s">
        <v>3471</v>
      </c>
      <c r="T934" s="143" t="s">
        <v>3472</v>
      </c>
      <c r="U934" s="145"/>
      <c r="V934" s="145"/>
      <c r="W934" s="145"/>
      <c r="X934" s="145"/>
    </row>
    <row r="935" spans="1:26" ht="18" customHeight="1" x14ac:dyDescent="0.25">
      <c r="A935" s="11"/>
      <c r="B935" s="107"/>
      <c r="C935" s="13"/>
      <c r="D935" s="13"/>
      <c r="E935" s="13"/>
      <c r="F935" s="12"/>
      <c r="G935" s="12"/>
      <c r="H935" s="17"/>
      <c r="I935" s="15"/>
      <c r="J935" s="15"/>
      <c r="K935" s="15"/>
      <c r="L935" s="18"/>
      <c r="M935" s="19"/>
      <c r="N935" s="20"/>
      <c r="O935" s="20"/>
      <c r="P935" s="20"/>
      <c r="Q935" s="20"/>
      <c r="R935" s="19"/>
      <c r="S935" s="19"/>
      <c r="T935" s="19"/>
      <c r="U935" s="105"/>
      <c r="X935" s="10">
        <f t="shared" si="128"/>
        <v>0</v>
      </c>
      <c r="Y935" s="2">
        <f t="shared" si="129"/>
        <v>0</v>
      </c>
      <c r="Z935" s="10"/>
    </row>
    <row r="936" spans="1:26" ht="18" customHeight="1" x14ac:dyDescent="0.25">
      <c r="A936" s="11"/>
      <c r="B936" s="107"/>
      <c r="C936" s="13"/>
      <c r="D936" s="13"/>
      <c r="E936" s="35" t="s">
        <v>141</v>
      </c>
      <c r="F936" s="12"/>
      <c r="G936" s="22">
        <f>G931</f>
        <v>663060</v>
      </c>
      <c r="H936" s="22">
        <f t="shared" ref="H936:R936" si="131">H931</f>
        <v>0</v>
      </c>
      <c r="I936" s="22">
        <f t="shared" si="131"/>
        <v>0</v>
      </c>
      <c r="J936" s="22"/>
      <c r="K936" s="22"/>
      <c r="L936" s="22">
        <f t="shared" si="131"/>
        <v>210320</v>
      </c>
      <c r="M936" s="23">
        <f t="shared" si="131"/>
        <v>357445152</v>
      </c>
      <c r="N936" s="24">
        <f t="shared" si="131"/>
        <v>0</v>
      </c>
      <c r="O936" s="24">
        <f t="shared" si="131"/>
        <v>0</v>
      </c>
      <c r="P936" s="24">
        <f t="shared" si="131"/>
        <v>0</v>
      </c>
      <c r="Q936" s="24">
        <f t="shared" si="131"/>
        <v>120000</v>
      </c>
      <c r="R936" s="23">
        <f t="shared" si="131"/>
        <v>357565152</v>
      </c>
      <c r="S936" s="23">
        <f>S931</f>
        <v>360000</v>
      </c>
      <c r="T936" s="23">
        <f>T931</f>
        <v>357925152</v>
      </c>
      <c r="U936" s="146"/>
      <c r="X936" s="10">
        <f t="shared" si="128"/>
        <v>357445152</v>
      </c>
      <c r="Y936" s="2">
        <f t="shared" si="129"/>
        <v>10000</v>
      </c>
      <c r="Z936" s="10"/>
    </row>
    <row r="937" spans="1:26" ht="18" customHeight="1" x14ac:dyDescent="0.25">
      <c r="A937" s="11">
        <v>121</v>
      </c>
      <c r="B937" s="67">
        <v>514100845066</v>
      </c>
      <c r="C937" s="14" t="s">
        <v>2391</v>
      </c>
      <c r="D937" s="14" t="s">
        <v>22</v>
      </c>
      <c r="E937" s="14" t="s">
        <v>2215</v>
      </c>
      <c r="F937" s="15" t="s">
        <v>24</v>
      </c>
      <c r="G937" s="16">
        <v>3500</v>
      </c>
      <c r="H937" s="52" t="s">
        <v>25</v>
      </c>
      <c r="I937" s="52" t="s">
        <v>2392</v>
      </c>
      <c r="J937" s="102">
        <v>93154</v>
      </c>
      <c r="K937" s="102">
        <v>94671</v>
      </c>
      <c r="L937" s="102">
        <v>1517</v>
      </c>
      <c r="M937" s="41">
        <v>2578187</v>
      </c>
      <c r="N937" s="102">
        <v>0</v>
      </c>
      <c r="O937" s="102">
        <v>0</v>
      </c>
      <c r="P937" s="102">
        <v>0</v>
      </c>
      <c r="Q937" s="102">
        <v>0</v>
      </c>
      <c r="R937" s="19">
        <f t="shared" ref="R937:R976" si="132">M937+N937+O937+P937+Q937</f>
        <v>2578187</v>
      </c>
      <c r="S937" s="19">
        <v>3000</v>
      </c>
      <c r="T937" s="19">
        <f t="shared" ref="T937:T976" si="133">R937+S937</f>
        <v>2581187</v>
      </c>
      <c r="U937" s="105"/>
      <c r="X937" s="10">
        <f t="shared" si="128"/>
        <v>2578187</v>
      </c>
      <c r="Y937" s="2">
        <f t="shared" si="129"/>
        <v>0</v>
      </c>
      <c r="Z937" s="10">
        <f t="shared" ref="Z937:Z976" si="134">Q937-Y937</f>
        <v>0</v>
      </c>
    </row>
    <row r="938" spans="1:26" ht="18" customHeight="1" x14ac:dyDescent="0.25">
      <c r="A938" s="11">
        <v>122</v>
      </c>
      <c r="B938" s="67">
        <v>514100845074</v>
      </c>
      <c r="C938" s="14" t="s">
        <v>2393</v>
      </c>
      <c r="D938" s="14" t="s">
        <v>22</v>
      </c>
      <c r="E938" s="14" t="s">
        <v>2227</v>
      </c>
      <c r="F938" s="15" t="s">
        <v>24</v>
      </c>
      <c r="G938" s="16">
        <v>3500</v>
      </c>
      <c r="H938" s="52" t="s">
        <v>25</v>
      </c>
      <c r="I938" s="52" t="s">
        <v>2394</v>
      </c>
      <c r="J938" s="102">
        <v>14730</v>
      </c>
      <c r="K938" s="102">
        <v>15742</v>
      </c>
      <c r="L938" s="102">
        <v>1012</v>
      </c>
      <c r="M938" s="41">
        <v>1719924</v>
      </c>
      <c r="N938" s="102">
        <v>0</v>
      </c>
      <c r="O938" s="102">
        <v>0</v>
      </c>
      <c r="P938" s="102">
        <v>0</v>
      </c>
      <c r="Q938" s="102">
        <v>0</v>
      </c>
      <c r="R938" s="19">
        <f t="shared" si="132"/>
        <v>1719924</v>
      </c>
      <c r="S938" s="19">
        <v>3000</v>
      </c>
      <c r="T938" s="19">
        <f t="shared" si="133"/>
        <v>1722924</v>
      </c>
      <c r="U938" s="105"/>
      <c r="X938" s="10">
        <f t="shared" si="128"/>
        <v>1719924</v>
      </c>
      <c r="Y938" s="2">
        <f t="shared" si="129"/>
        <v>0</v>
      </c>
      <c r="Z938" s="10">
        <f t="shared" si="134"/>
        <v>0</v>
      </c>
    </row>
    <row r="939" spans="1:26" ht="18" customHeight="1" x14ac:dyDescent="0.25">
      <c r="A939" s="11">
        <v>123</v>
      </c>
      <c r="B939" s="67">
        <v>514100845082</v>
      </c>
      <c r="C939" s="14" t="s">
        <v>2395</v>
      </c>
      <c r="D939" s="14" t="s">
        <v>22</v>
      </c>
      <c r="E939" s="14" t="s">
        <v>362</v>
      </c>
      <c r="F939" s="15" t="s">
        <v>24</v>
      </c>
      <c r="G939" s="16">
        <v>4400</v>
      </c>
      <c r="H939" s="52" t="s">
        <v>25</v>
      </c>
      <c r="I939" s="52" t="s">
        <v>2396</v>
      </c>
      <c r="J939" s="102">
        <v>39565</v>
      </c>
      <c r="K939" s="102">
        <v>40588</v>
      </c>
      <c r="L939" s="102">
        <v>1023</v>
      </c>
      <c r="M939" s="41">
        <v>1738619</v>
      </c>
      <c r="N939" s="102">
        <v>0</v>
      </c>
      <c r="O939" s="102">
        <v>0</v>
      </c>
      <c r="P939" s="102">
        <v>0</v>
      </c>
      <c r="Q939" s="102">
        <v>0</v>
      </c>
      <c r="R939" s="19">
        <f t="shared" si="132"/>
        <v>1738619</v>
      </c>
      <c r="S939" s="19">
        <v>3000</v>
      </c>
      <c r="T939" s="19">
        <f t="shared" si="133"/>
        <v>1741619</v>
      </c>
      <c r="U939" s="105"/>
      <c r="X939" s="10">
        <f t="shared" si="128"/>
        <v>1738619</v>
      </c>
      <c r="Y939" s="2">
        <f t="shared" si="129"/>
        <v>0</v>
      </c>
      <c r="Z939" s="10">
        <f t="shared" si="134"/>
        <v>0</v>
      </c>
    </row>
    <row r="940" spans="1:26" ht="18" customHeight="1" x14ac:dyDescent="0.25">
      <c r="A940" s="11">
        <v>124</v>
      </c>
      <c r="B940" s="52">
        <v>514100845090</v>
      </c>
      <c r="C940" s="53" t="s">
        <v>2397</v>
      </c>
      <c r="D940" s="14" t="s">
        <v>22</v>
      </c>
      <c r="E940" s="53" t="s">
        <v>2398</v>
      </c>
      <c r="F940" s="54" t="s">
        <v>24</v>
      </c>
      <c r="G940" s="55">
        <v>3500</v>
      </c>
      <c r="H940" s="52" t="s">
        <v>25</v>
      </c>
      <c r="I940" s="52" t="s">
        <v>2399</v>
      </c>
      <c r="J940" s="102">
        <v>64587</v>
      </c>
      <c r="K940" s="102">
        <v>65707</v>
      </c>
      <c r="L940" s="102">
        <v>1120</v>
      </c>
      <c r="M940" s="41">
        <v>1903474</v>
      </c>
      <c r="N940" s="102">
        <v>0</v>
      </c>
      <c r="O940" s="102">
        <v>0</v>
      </c>
      <c r="P940" s="102">
        <v>0</v>
      </c>
      <c r="Q940" s="102">
        <v>0</v>
      </c>
      <c r="R940" s="19">
        <f t="shared" si="132"/>
        <v>1903474</v>
      </c>
      <c r="S940" s="19">
        <v>3000</v>
      </c>
      <c r="T940" s="19">
        <f t="shared" si="133"/>
        <v>1906474</v>
      </c>
      <c r="U940" s="105"/>
      <c r="X940" s="10">
        <f t="shared" si="128"/>
        <v>1903474</v>
      </c>
      <c r="Y940" s="2">
        <f t="shared" si="129"/>
        <v>0</v>
      </c>
      <c r="Z940" s="10">
        <f t="shared" si="134"/>
        <v>0</v>
      </c>
    </row>
    <row r="941" spans="1:26" ht="18" customHeight="1" x14ac:dyDescent="0.25">
      <c r="A941" s="11">
        <v>125</v>
      </c>
      <c r="B941" s="67">
        <v>514100845104</v>
      </c>
      <c r="C941" s="14" t="s">
        <v>2400</v>
      </c>
      <c r="D941" s="14" t="s">
        <v>22</v>
      </c>
      <c r="E941" s="14" t="s">
        <v>2212</v>
      </c>
      <c r="F941" s="15" t="s">
        <v>24</v>
      </c>
      <c r="G941" s="16">
        <v>3500</v>
      </c>
      <c r="H941" s="52" t="s">
        <v>25</v>
      </c>
      <c r="I941" s="52" t="s">
        <v>2401</v>
      </c>
      <c r="J941" s="102">
        <v>98996</v>
      </c>
      <c r="K941" s="102">
        <v>274</v>
      </c>
      <c r="L941" s="102">
        <v>1278</v>
      </c>
      <c r="M941" s="41">
        <v>2171999</v>
      </c>
      <c r="N941" s="102">
        <v>0</v>
      </c>
      <c r="O941" s="102">
        <v>0</v>
      </c>
      <c r="P941" s="102">
        <v>0</v>
      </c>
      <c r="Q941" s="102">
        <v>0</v>
      </c>
      <c r="R941" s="19">
        <f t="shared" si="132"/>
        <v>2171999</v>
      </c>
      <c r="S941" s="19">
        <v>3000</v>
      </c>
      <c r="T941" s="19">
        <f t="shared" si="133"/>
        <v>2174999</v>
      </c>
      <c r="U941" s="105"/>
      <c r="X941" s="10">
        <f t="shared" si="128"/>
        <v>2171999</v>
      </c>
      <c r="Y941" s="2">
        <f t="shared" si="129"/>
        <v>0</v>
      </c>
      <c r="Z941" s="10">
        <f t="shared" si="134"/>
        <v>0</v>
      </c>
    </row>
    <row r="942" spans="1:26" ht="18" customHeight="1" x14ac:dyDescent="0.25">
      <c r="A942" s="11">
        <v>126</v>
      </c>
      <c r="B942" s="67">
        <v>514100845112</v>
      </c>
      <c r="C942" s="14" t="s">
        <v>2402</v>
      </c>
      <c r="D942" s="14" t="s">
        <v>28</v>
      </c>
      <c r="E942" s="14" t="s">
        <v>2227</v>
      </c>
      <c r="F942" s="15" t="s">
        <v>24</v>
      </c>
      <c r="G942" s="16">
        <v>3500</v>
      </c>
      <c r="H942" s="52" t="s">
        <v>25</v>
      </c>
      <c r="I942" s="52" t="s">
        <v>2403</v>
      </c>
      <c r="J942" s="102">
        <v>118292</v>
      </c>
      <c r="K942" s="102">
        <v>118870</v>
      </c>
      <c r="L942" s="102">
        <v>578</v>
      </c>
      <c r="M942" s="41">
        <v>982328</v>
      </c>
      <c r="N942" s="102">
        <v>0</v>
      </c>
      <c r="O942" s="102">
        <v>0</v>
      </c>
      <c r="P942" s="102">
        <v>0</v>
      </c>
      <c r="Q942" s="102">
        <v>0</v>
      </c>
      <c r="R942" s="19">
        <f t="shared" si="132"/>
        <v>982328</v>
      </c>
      <c r="S942" s="19">
        <v>3000</v>
      </c>
      <c r="T942" s="19">
        <f t="shared" si="133"/>
        <v>985328</v>
      </c>
      <c r="U942" s="105"/>
      <c r="X942" s="10">
        <f t="shared" si="128"/>
        <v>982328</v>
      </c>
      <c r="Y942" s="2">
        <f t="shared" si="129"/>
        <v>0</v>
      </c>
      <c r="Z942" s="10">
        <f t="shared" si="134"/>
        <v>0</v>
      </c>
    </row>
    <row r="943" spans="1:26" ht="18" customHeight="1" x14ac:dyDescent="0.25">
      <c r="A943" s="11">
        <v>127</v>
      </c>
      <c r="B943" s="67">
        <v>514100845120</v>
      </c>
      <c r="C943" s="14" t="s">
        <v>2404</v>
      </c>
      <c r="D943" s="14" t="s">
        <v>22</v>
      </c>
      <c r="E943" s="14" t="s">
        <v>2405</v>
      </c>
      <c r="F943" s="15" t="s">
        <v>24</v>
      </c>
      <c r="G943" s="16">
        <v>7700</v>
      </c>
      <c r="H943" s="52" t="s">
        <v>25</v>
      </c>
      <c r="I943" s="52" t="s">
        <v>2406</v>
      </c>
      <c r="J943" s="102">
        <v>121418</v>
      </c>
      <c r="K943" s="102">
        <v>122541</v>
      </c>
      <c r="L943" s="102">
        <v>1123</v>
      </c>
      <c r="M943" s="41">
        <v>1908572</v>
      </c>
      <c r="N943" s="102">
        <v>0</v>
      </c>
      <c r="O943" s="102">
        <v>0</v>
      </c>
      <c r="P943" s="102">
        <v>0</v>
      </c>
      <c r="Q943" s="102">
        <v>0</v>
      </c>
      <c r="R943" s="19">
        <f t="shared" si="132"/>
        <v>1908572</v>
      </c>
      <c r="S943" s="19">
        <v>3000</v>
      </c>
      <c r="T943" s="19">
        <f t="shared" si="133"/>
        <v>1911572</v>
      </c>
      <c r="U943" s="105"/>
      <c r="X943" s="10">
        <f t="shared" si="128"/>
        <v>1908572</v>
      </c>
      <c r="Y943" s="2">
        <f t="shared" si="129"/>
        <v>0</v>
      </c>
      <c r="Z943" s="10">
        <f t="shared" si="134"/>
        <v>0</v>
      </c>
    </row>
    <row r="944" spans="1:26" ht="18" customHeight="1" x14ac:dyDescent="0.25">
      <c r="A944" s="11">
        <v>128</v>
      </c>
      <c r="B944" s="67">
        <v>514100845138</v>
      </c>
      <c r="C944" s="14" t="s">
        <v>2407</v>
      </c>
      <c r="D944" s="14" t="s">
        <v>22</v>
      </c>
      <c r="E944" s="14" t="s">
        <v>2408</v>
      </c>
      <c r="F944" s="15" t="s">
        <v>24</v>
      </c>
      <c r="G944" s="16">
        <v>3500</v>
      </c>
      <c r="H944" s="52" t="s">
        <v>25</v>
      </c>
      <c r="I944" s="52" t="s">
        <v>2409</v>
      </c>
      <c r="J944" s="102">
        <v>68988</v>
      </c>
      <c r="K944" s="102">
        <v>69770</v>
      </c>
      <c r="L944" s="102">
        <v>782</v>
      </c>
      <c r="M944" s="41">
        <v>1329032</v>
      </c>
      <c r="N944" s="102">
        <v>0</v>
      </c>
      <c r="O944" s="102">
        <v>0</v>
      </c>
      <c r="P944" s="102">
        <v>0</v>
      </c>
      <c r="Q944" s="102">
        <v>0</v>
      </c>
      <c r="R944" s="19">
        <f t="shared" si="132"/>
        <v>1329032</v>
      </c>
      <c r="S944" s="19">
        <v>3000</v>
      </c>
      <c r="T944" s="19">
        <f t="shared" si="133"/>
        <v>1332032</v>
      </c>
      <c r="U944" s="105"/>
      <c r="X944" s="10">
        <f t="shared" si="128"/>
        <v>1329032</v>
      </c>
      <c r="Y944" s="2">
        <f t="shared" si="129"/>
        <v>0</v>
      </c>
      <c r="Z944" s="10">
        <f t="shared" si="134"/>
        <v>0</v>
      </c>
    </row>
    <row r="945" spans="1:26" ht="18" customHeight="1" x14ac:dyDescent="0.25">
      <c r="A945" s="11">
        <v>129</v>
      </c>
      <c r="B945" s="67">
        <v>514100845146</v>
      </c>
      <c r="C945" s="14" t="s">
        <v>2410</v>
      </c>
      <c r="D945" s="14" t="s">
        <v>22</v>
      </c>
      <c r="E945" s="14" t="s">
        <v>2411</v>
      </c>
      <c r="F945" s="15" t="s">
        <v>24</v>
      </c>
      <c r="G945" s="16">
        <v>4400</v>
      </c>
      <c r="H945" s="52" t="s">
        <v>25</v>
      </c>
      <c r="I945" s="52" t="s">
        <v>2412</v>
      </c>
      <c r="J945" s="102">
        <v>16738</v>
      </c>
      <c r="K945" s="102">
        <v>17834</v>
      </c>
      <c r="L945" s="102">
        <v>1096</v>
      </c>
      <c r="M945" s="41">
        <v>1862685</v>
      </c>
      <c r="N945" s="102">
        <v>0</v>
      </c>
      <c r="O945" s="102">
        <v>0</v>
      </c>
      <c r="P945" s="102">
        <v>0</v>
      </c>
      <c r="Q945" s="102">
        <v>0</v>
      </c>
      <c r="R945" s="19">
        <f t="shared" si="132"/>
        <v>1862685</v>
      </c>
      <c r="S945" s="19">
        <v>3000</v>
      </c>
      <c r="T945" s="19">
        <f t="shared" si="133"/>
        <v>1865685</v>
      </c>
      <c r="U945" s="105"/>
      <c r="X945" s="10">
        <f t="shared" si="128"/>
        <v>1862685</v>
      </c>
      <c r="Y945" s="2">
        <f t="shared" si="129"/>
        <v>0</v>
      </c>
      <c r="Z945" s="10">
        <f t="shared" si="134"/>
        <v>0</v>
      </c>
    </row>
    <row r="946" spans="1:26" ht="18" customHeight="1" x14ac:dyDescent="0.25">
      <c r="A946" s="11">
        <v>130</v>
      </c>
      <c r="B946" s="67">
        <v>514100845153</v>
      </c>
      <c r="C946" s="14" t="s">
        <v>2413</v>
      </c>
      <c r="D946" s="14" t="s">
        <v>22</v>
      </c>
      <c r="E946" s="14" t="s">
        <v>2099</v>
      </c>
      <c r="F946" s="15" t="s">
        <v>24</v>
      </c>
      <c r="G946" s="16">
        <v>7700</v>
      </c>
      <c r="H946" s="52" t="s">
        <v>25</v>
      </c>
      <c r="I946" s="52" t="s">
        <v>2414</v>
      </c>
      <c r="J946" s="102">
        <v>5837</v>
      </c>
      <c r="K946" s="102">
        <v>6663</v>
      </c>
      <c r="L946" s="102">
        <v>826</v>
      </c>
      <c r="M946" s="41">
        <v>1403812</v>
      </c>
      <c r="N946" s="102">
        <v>0</v>
      </c>
      <c r="O946" s="102">
        <v>0</v>
      </c>
      <c r="P946" s="102">
        <v>0</v>
      </c>
      <c r="Q946" s="102">
        <v>0</v>
      </c>
      <c r="R946" s="19">
        <f t="shared" si="132"/>
        <v>1403812</v>
      </c>
      <c r="S946" s="19">
        <v>3000</v>
      </c>
      <c r="T946" s="19">
        <f t="shared" si="133"/>
        <v>1406812</v>
      </c>
      <c r="U946" s="105"/>
      <c r="X946" s="10">
        <f t="shared" si="128"/>
        <v>1403812</v>
      </c>
      <c r="Y946" s="2">
        <f t="shared" si="129"/>
        <v>0</v>
      </c>
      <c r="Z946" s="10">
        <f t="shared" si="134"/>
        <v>0</v>
      </c>
    </row>
    <row r="947" spans="1:26" ht="18" customHeight="1" x14ac:dyDescent="0.25">
      <c r="A947" s="11">
        <v>131</v>
      </c>
      <c r="B947" s="67">
        <v>514100845161</v>
      </c>
      <c r="C947" s="14" t="s">
        <v>2098</v>
      </c>
      <c r="D947" s="14" t="s">
        <v>22</v>
      </c>
      <c r="E947" s="14" t="s">
        <v>2099</v>
      </c>
      <c r="F947" s="15" t="s">
        <v>24</v>
      </c>
      <c r="G947" s="16">
        <v>5500</v>
      </c>
      <c r="H947" s="52" t="s">
        <v>25</v>
      </c>
      <c r="I947" s="52" t="s">
        <v>2415</v>
      </c>
      <c r="J947" s="102">
        <v>28055</v>
      </c>
      <c r="K947" s="102">
        <v>29813</v>
      </c>
      <c r="L947" s="102">
        <v>1758</v>
      </c>
      <c r="M947" s="41">
        <v>2987774</v>
      </c>
      <c r="N947" s="102">
        <v>0</v>
      </c>
      <c r="O947" s="102">
        <v>0</v>
      </c>
      <c r="P947" s="102">
        <v>0</v>
      </c>
      <c r="Q947" s="102">
        <v>0</v>
      </c>
      <c r="R947" s="19">
        <f t="shared" si="132"/>
        <v>2987774</v>
      </c>
      <c r="S947" s="19">
        <v>3000</v>
      </c>
      <c r="T947" s="19">
        <f t="shared" si="133"/>
        <v>2990774</v>
      </c>
      <c r="U947" s="105"/>
      <c r="X947" s="10">
        <f t="shared" si="128"/>
        <v>2987774</v>
      </c>
      <c r="Y947" s="2">
        <f t="shared" si="129"/>
        <v>0</v>
      </c>
      <c r="Z947" s="10">
        <f t="shared" si="134"/>
        <v>0</v>
      </c>
    </row>
    <row r="948" spans="1:26" ht="18" customHeight="1" x14ac:dyDescent="0.25">
      <c r="A948" s="11">
        <v>132</v>
      </c>
      <c r="B948" s="67">
        <v>514100845179</v>
      </c>
      <c r="C948" s="14" t="s">
        <v>2416</v>
      </c>
      <c r="D948" s="14" t="s">
        <v>28</v>
      </c>
      <c r="E948" s="14" t="s">
        <v>2233</v>
      </c>
      <c r="F948" s="15" t="s">
        <v>24</v>
      </c>
      <c r="G948" s="16">
        <v>3500</v>
      </c>
      <c r="H948" s="52" t="s">
        <v>25</v>
      </c>
      <c r="I948" s="52" t="s">
        <v>2417</v>
      </c>
      <c r="J948" s="102">
        <v>101724</v>
      </c>
      <c r="K948" s="102">
        <v>102367</v>
      </c>
      <c r="L948" s="102">
        <v>643</v>
      </c>
      <c r="M948" s="41">
        <v>1092798</v>
      </c>
      <c r="N948" s="102">
        <v>0</v>
      </c>
      <c r="O948" s="102">
        <v>0</v>
      </c>
      <c r="P948" s="102">
        <v>0</v>
      </c>
      <c r="Q948" s="102">
        <v>0</v>
      </c>
      <c r="R948" s="19">
        <f t="shared" si="132"/>
        <v>1092798</v>
      </c>
      <c r="S948" s="19">
        <v>3000</v>
      </c>
      <c r="T948" s="19">
        <f t="shared" si="133"/>
        <v>1095798</v>
      </c>
      <c r="U948" s="105"/>
      <c r="X948" s="10">
        <f t="shared" si="128"/>
        <v>1092798</v>
      </c>
      <c r="Y948" s="2">
        <f t="shared" si="129"/>
        <v>0</v>
      </c>
      <c r="Z948" s="10">
        <f t="shared" si="134"/>
        <v>0</v>
      </c>
    </row>
    <row r="949" spans="1:26" ht="18" customHeight="1" x14ac:dyDescent="0.25">
      <c r="A949" s="11">
        <v>133</v>
      </c>
      <c r="B949" s="67">
        <v>514100845187</v>
      </c>
      <c r="C949" s="14" t="s">
        <v>2418</v>
      </c>
      <c r="D949" s="14" t="s">
        <v>22</v>
      </c>
      <c r="E949" s="14" t="s">
        <v>2253</v>
      </c>
      <c r="F949" s="15" t="s">
        <v>24</v>
      </c>
      <c r="G949" s="16">
        <v>3500</v>
      </c>
      <c r="H949" s="52" t="s">
        <v>25</v>
      </c>
      <c r="I949" s="52" t="s">
        <v>2419</v>
      </c>
      <c r="J949" s="102">
        <v>111352</v>
      </c>
      <c r="K949" s="102">
        <v>112333</v>
      </c>
      <c r="L949" s="102">
        <v>981</v>
      </c>
      <c r="M949" s="41">
        <v>1667239</v>
      </c>
      <c r="N949" s="102">
        <v>0</v>
      </c>
      <c r="O949" s="102">
        <v>0</v>
      </c>
      <c r="P949" s="102">
        <v>0</v>
      </c>
      <c r="Q949" s="102">
        <v>0</v>
      </c>
      <c r="R949" s="19">
        <f t="shared" si="132"/>
        <v>1667239</v>
      </c>
      <c r="S949" s="19">
        <v>3000</v>
      </c>
      <c r="T949" s="19">
        <f t="shared" si="133"/>
        <v>1670239</v>
      </c>
      <c r="U949" s="105"/>
      <c r="X949" s="10">
        <f t="shared" si="128"/>
        <v>1667239</v>
      </c>
      <c r="Y949" s="2">
        <f t="shared" si="129"/>
        <v>0</v>
      </c>
      <c r="Z949" s="10">
        <f t="shared" si="134"/>
        <v>0</v>
      </c>
    </row>
    <row r="950" spans="1:26" ht="18" customHeight="1" x14ac:dyDescent="0.25">
      <c r="A950" s="11">
        <v>134</v>
      </c>
      <c r="B950" s="67">
        <v>514100845195</v>
      </c>
      <c r="C950" s="14" t="s">
        <v>2420</v>
      </c>
      <c r="D950" s="14" t="s">
        <v>22</v>
      </c>
      <c r="E950" s="14" t="s">
        <v>2421</v>
      </c>
      <c r="F950" s="15" t="s">
        <v>24</v>
      </c>
      <c r="G950" s="16">
        <v>4400</v>
      </c>
      <c r="H950" s="52" t="s">
        <v>25</v>
      </c>
      <c r="I950" s="52" t="s">
        <v>2422</v>
      </c>
      <c r="J950" s="102">
        <v>35820</v>
      </c>
      <c r="K950" s="102">
        <v>37083</v>
      </c>
      <c r="L950" s="102">
        <v>1263</v>
      </c>
      <c r="M950" s="41">
        <v>2146506</v>
      </c>
      <c r="N950" s="102">
        <v>0</v>
      </c>
      <c r="O950" s="102">
        <v>0</v>
      </c>
      <c r="P950" s="102">
        <v>0</v>
      </c>
      <c r="Q950" s="102">
        <v>0</v>
      </c>
      <c r="R950" s="19">
        <f t="shared" si="132"/>
        <v>2146506</v>
      </c>
      <c r="S950" s="19">
        <v>3000</v>
      </c>
      <c r="T950" s="19">
        <f t="shared" si="133"/>
        <v>2149506</v>
      </c>
      <c r="U950" s="105"/>
      <c r="X950" s="10">
        <f t="shared" si="128"/>
        <v>2146506</v>
      </c>
      <c r="Y950" s="2">
        <f t="shared" si="129"/>
        <v>0</v>
      </c>
      <c r="Z950" s="10">
        <f t="shared" si="134"/>
        <v>0</v>
      </c>
    </row>
    <row r="951" spans="1:26" ht="18" customHeight="1" x14ac:dyDescent="0.25">
      <c r="A951" s="11">
        <v>135</v>
      </c>
      <c r="B951" s="67">
        <v>514100845208</v>
      </c>
      <c r="C951" s="14" t="s">
        <v>2423</v>
      </c>
      <c r="D951" s="14" t="s">
        <v>22</v>
      </c>
      <c r="E951" s="14" t="s">
        <v>2424</v>
      </c>
      <c r="F951" s="15" t="s">
        <v>24</v>
      </c>
      <c r="G951" s="16">
        <v>3500</v>
      </c>
      <c r="H951" s="52" t="s">
        <v>25</v>
      </c>
      <c r="I951" s="52" t="s">
        <v>2425</v>
      </c>
      <c r="J951" s="102">
        <v>17727</v>
      </c>
      <c r="K951" s="102">
        <v>18905</v>
      </c>
      <c r="L951" s="102">
        <v>1178</v>
      </c>
      <c r="M951" s="41">
        <v>2002046</v>
      </c>
      <c r="N951" s="102">
        <v>0</v>
      </c>
      <c r="O951" s="102">
        <v>0</v>
      </c>
      <c r="P951" s="102">
        <v>0</v>
      </c>
      <c r="Q951" s="102">
        <v>0</v>
      </c>
      <c r="R951" s="19">
        <f t="shared" si="132"/>
        <v>2002046</v>
      </c>
      <c r="S951" s="19">
        <v>3000</v>
      </c>
      <c r="T951" s="19">
        <f t="shared" si="133"/>
        <v>2005046</v>
      </c>
      <c r="U951" s="105"/>
      <c r="X951" s="10">
        <f t="shared" si="128"/>
        <v>2002046</v>
      </c>
      <c r="Y951" s="2">
        <f t="shared" si="129"/>
        <v>0</v>
      </c>
      <c r="Z951" s="10">
        <f t="shared" si="134"/>
        <v>0</v>
      </c>
    </row>
    <row r="952" spans="1:26" ht="18" customHeight="1" x14ac:dyDescent="0.25">
      <c r="A952" s="11">
        <v>136</v>
      </c>
      <c r="B952" s="67">
        <v>514100845216</v>
      </c>
      <c r="C952" s="14" t="s">
        <v>2267</v>
      </c>
      <c r="D952" s="14" t="s">
        <v>22</v>
      </c>
      <c r="E952" s="14" t="s">
        <v>669</v>
      </c>
      <c r="F952" s="15" t="s">
        <v>24</v>
      </c>
      <c r="G952" s="16">
        <v>7700</v>
      </c>
      <c r="H952" s="52" t="s">
        <v>25</v>
      </c>
      <c r="I952" s="52" t="s">
        <v>2426</v>
      </c>
      <c r="J952" s="102">
        <v>30128</v>
      </c>
      <c r="K952" s="102">
        <v>32418</v>
      </c>
      <c r="L952" s="102">
        <v>2290</v>
      </c>
      <c r="M952" s="41">
        <v>3891924</v>
      </c>
      <c r="N952" s="102">
        <v>0</v>
      </c>
      <c r="O952" s="102">
        <v>0</v>
      </c>
      <c r="P952" s="102">
        <v>0</v>
      </c>
      <c r="Q952" s="102">
        <v>0</v>
      </c>
      <c r="R952" s="19">
        <f t="shared" si="132"/>
        <v>3891924</v>
      </c>
      <c r="S952" s="19">
        <v>3000</v>
      </c>
      <c r="T952" s="19">
        <f t="shared" si="133"/>
        <v>3894924</v>
      </c>
      <c r="U952" s="105"/>
      <c r="X952" s="10">
        <f t="shared" si="128"/>
        <v>3891924</v>
      </c>
      <c r="Y952" s="2">
        <f t="shared" si="129"/>
        <v>0</v>
      </c>
      <c r="Z952" s="10">
        <f t="shared" si="134"/>
        <v>0</v>
      </c>
    </row>
    <row r="953" spans="1:26" ht="18" customHeight="1" x14ac:dyDescent="0.25">
      <c r="A953" s="11">
        <v>137</v>
      </c>
      <c r="B953" s="67">
        <v>514101015125</v>
      </c>
      <c r="C953" s="14" t="s">
        <v>2427</v>
      </c>
      <c r="D953" s="14" t="s">
        <v>22</v>
      </c>
      <c r="E953" s="14" t="s">
        <v>2428</v>
      </c>
      <c r="F953" s="15" t="s">
        <v>24</v>
      </c>
      <c r="G953" s="16">
        <v>3500</v>
      </c>
      <c r="H953" s="52" t="s">
        <v>25</v>
      </c>
      <c r="I953" s="52" t="s">
        <v>2429</v>
      </c>
      <c r="J953" s="102">
        <v>56369</v>
      </c>
      <c r="K953" s="102">
        <v>58042</v>
      </c>
      <c r="L953" s="102">
        <v>1673</v>
      </c>
      <c r="M953" s="41">
        <v>2843314</v>
      </c>
      <c r="N953" s="102">
        <v>0</v>
      </c>
      <c r="O953" s="102">
        <v>0</v>
      </c>
      <c r="P953" s="102">
        <v>0</v>
      </c>
      <c r="Q953" s="102">
        <v>0</v>
      </c>
      <c r="R953" s="19">
        <f t="shared" si="132"/>
        <v>2843314</v>
      </c>
      <c r="S953" s="19">
        <v>3000</v>
      </c>
      <c r="T953" s="19">
        <f t="shared" si="133"/>
        <v>2846314</v>
      </c>
      <c r="U953" s="105"/>
      <c r="X953" s="10">
        <f t="shared" si="128"/>
        <v>2843314</v>
      </c>
      <c r="Y953" s="2">
        <f t="shared" si="129"/>
        <v>0</v>
      </c>
      <c r="Z953" s="10">
        <f t="shared" si="134"/>
        <v>0</v>
      </c>
    </row>
    <row r="954" spans="1:26" ht="18" customHeight="1" x14ac:dyDescent="0.25">
      <c r="A954" s="11">
        <v>138</v>
      </c>
      <c r="B954" s="67">
        <v>514101115658</v>
      </c>
      <c r="C954" s="14" t="s">
        <v>2430</v>
      </c>
      <c r="D954" s="14" t="s">
        <v>22</v>
      </c>
      <c r="E954" s="14" t="s">
        <v>2431</v>
      </c>
      <c r="F954" s="15" t="s">
        <v>24</v>
      </c>
      <c r="G954" s="16">
        <v>2200</v>
      </c>
      <c r="H954" s="52" t="s">
        <v>25</v>
      </c>
      <c r="I954" s="52" t="s">
        <v>2432</v>
      </c>
      <c r="J954" s="102">
        <v>47427</v>
      </c>
      <c r="K954" s="102">
        <v>48098</v>
      </c>
      <c r="L954" s="102">
        <v>671</v>
      </c>
      <c r="M954" s="41">
        <v>1140385</v>
      </c>
      <c r="N954" s="102">
        <v>0</v>
      </c>
      <c r="O954" s="102">
        <v>0</v>
      </c>
      <c r="P954" s="102">
        <v>0</v>
      </c>
      <c r="Q954" s="102">
        <v>0</v>
      </c>
      <c r="R954" s="19">
        <f t="shared" si="132"/>
        <v>1140385</v>
      </c>
      <c r="S954" s="19">
        <v>3000</v>
      </c>
      <c r="T954" s="19">
        <f t="shared" si="133"/>
        <v>1143385</v>
      </c>
      <c r="U954" s="105"/>
      <c r="X954" s="10">
        <f t="shared" si="128"/>
        <v>1140385</v>
      </c>
      <c r="Y954" s="2">
        <f t="shared" si="129"/>
        <v>0</v>
      </c>
      <c r="Z954" s="10">
        <f t="shared" si="134"/>
        <v>0</v>
      </c>
    </row>
    <row r="955" spans="1:26" ht="18" customHeight="1" x14ac:dyDescent="0.25">
      <c r="A955" s="11">
        <v>139</v>
      </c>
      <c r="B955" s="67">
        <v>514101115666</v>
      </c>
      <c r="C955" s="14" t="s">
        <v>2433</v>
      </c>
      <c r="D955" s="14" t="s">
        <v>22</v>
      </c>
      <c r="E955" s="14" t="s">
        <v>2434</v>
      </c>
      <c r="F955" s="15" t="s">
        <v>24</v>
      </c>
      <c r="G955" s="16">
        <v>4400</v>
      </c>
      <c r="H955" s="52" t="s">
        <v>25</v>
      </c>
      <c r="I955" s="52" t="s">
        <v>2435</v>
      </c>
      <c r="J955" s="102">
        <v>27015</v>
      </c>
      <c r="K955" s="102">
        <v>29045</v>
      </c>
      <c r="L955" s="102">
        <v>2030</v>
      </c>
      <c r="M955" s="41">
        <v>3450046</v>
      </c>
      <c r="N955" s="102">
        <v>0</v>
      </c>
      <c r="O955" s="102">
        <v>0</v>
      </c>
      <c r="P955" s="102">
        <v>0</v>
      </c>
      <c r="Q955" s="102">
        <v>0</v>
      </c>
      <c r="R955" s="19">
        <f t="shared" si="132"/>
        <v>3450046</v>
      </c>
      <c r="S955" s="19">
        <v>3000</v>
      </c>
      <c r="T955" s="19">
        <f t="shared" si="133"/>
        <v>3453046</v>
      </c>
      <c r="U955" s="105"/>
      <c r="X955" s="10">
        <f t="shared" si="128"/>
        <v>3450046</v>
      </c>
      <c r="Y955" s="2">
        <f t="shared" si="129"/>
        <v>0</v>
      </c>
      <c r="Z955" s="10">
        <f t="shared" si="134"/>
        <v>0</v>
      </c>
    </row>
    <row r="956" spans="1:26" ht="18" customHeight="1" x14ac:dyDescent="0.25">
      <c r="A956" s="11">
        <v>140</v>
      </c>
      <c r="B956" s="67">
        <v>514101115674</v>
      </c>
      <c r="C956" s="14" t="s">
        <v>2436</v>
      </c>
      <c r="D956" s="14" t="s">
        <v>22</v>
      </c>
      <c r="E956" s="14" t="s">
        <v>2437</v>
      </c>
      <c r="F956" s="15" t="s">
        <v>24</v>
      </c>
      <c r="G956" s="16">
        <v>3500</v>
      </c>
      <c r="H956" s="52" t="s">
        <v>25</v>
      </c>
      <c r="I956" s="52" t="s">
        <v>2438</v>
      </c>
      <c r="J956" s="102">
        <v>68564</v>
      </c>
      <c r="K956" s="102">
        <v>69415</v>
      </c>
      <c r="L956" s="102">
        <v>851</v>
      </c>
      <c r="M956" s="41">
        <v>1446300</v>
      </c>
      <c r="N956" s="102">
        <v>0</v>
      </c>
      <c r="O956" s="102">
        <v>0</v>
      </c>
      <c r="P956" s="102">
        <v>0</v>
      </c>
      <c r="Q956" s="102">
        <v>0</v>
      </c>
      <c r="R956" s="19">
        <f t="shared" si="132"/>
        <v>1446300</v>
      </c>
      <c r="S956" s="19">
        <v>3000</v>
      </c>
      <c r="T956" s="19">
        <f t="shared" si="133"/>
        <v>1449300</v>
      </c>
      <c r="U956" s="105"/>
      <c r="X956" s="10">
        <f t="shared" si="128"/>
        <v>1446300</v>
      </c>
      <c r="Y956" s="2">
        <f t="shared" si="129"/>
        <v>0</v>
      </c>
      <c r="Z956" s="10">
        <f t="shared" si="134"/>
        <v>0</v>
      </c>
    </row>
    <row r="957" spans="1:26" ht="18" customHeight="1" x14ac:dyDescent="0.25">
      <c r="A957" s="11">
        <v>141</v>
      </c>
      <c r="B957" s="67">
        <v>514101115682</v>
      </c>
      <c r="C957" s="14" t="s">
        <v>2439</v>
      </c>
      <c r="D957" s="14" t="s">
        <v>22</v>
      </c>
      <c r="E957" s="14" t="s">
        <v>2281</v>
      </c>
      <c r="F957" s="15" t="s">
        <v>24</v>
      </c>
      <c r="G957" s="16">
        <v>5500</v>
      </c>
      <c r="H957" s="52" t="s">
        <v>25</v>
      </c>
      <c r="I957" s="52" t="s">
        <v>2440</v>
      </c>
      <c r="J957" s="102">
        <v>69896</v>
      </c>
      <c r="K957" s="102">
        <v>70668</v>
      </c>
      <c r="L957" s="102">
        <v>772</v>
      </c>
      <c r="M957" s="41">
        <v>1312037</v>
      </c>
      <c r="N957" s="102">
        <v>0</v>
      </c>
      <c r="O957" s="102">
        <v>0</v>
      </c>
      <c r="P957" s="102">
        <v>0</v>
      </c>
      <c r="Q957" s="102">
        <v>0</v>
      </c>
      <c r="R957" s="19">
        <f t="shared" si="132"/>
        <v>1312037</v>
      </c>
      <c r="S957" s="19">
        <v>3000</v>
      </c>
      <c r="T957" s="19">
        <f t="shared" si="133"/>
        <v>1315037</v>
      </c>
      <c r="U957" s="105"/>
      <c r="X957" s="10">
        <f t="shared" si="128"/>
        <v>1312037</v>
      </c>
      <c r="Y957" s="2">
        <f t="shared" si="129"/>
        <v>0</v>
      </c>
      <c r="Z957" s="10">
        <f t="shared" si="134"/>
        <v>0</v>
      </c>
    </row>
    <row r="958" spans="1:26" ht="18" customHeight="1" x14ac:dyDescent="0.25">
      <c r="A958" s="11">
        <v>142</v>
      </c>
      <c r="B958" s="52">
        <v>514101115690</v>
      </c>
      <c r="C958" s="53" t="s">
        <v>2441</v>
      </c>
      <c r="D958" s="14" t="s">
        <v>22</v>
      </c>
      <c r="E958" s="53" t="s">
        <v>2442</v>
      </c>
      <c r="F958" s="54" t="s">
        <v>24</v>
      </c>
      <c r="G958" s="55">
        <v>5500</v>
      </c>
      <c r="H958" s="52" t="s">
        <v>25</v>
      </c>
      <c r="I958" s="52" t="s">
        <v>2443</v>
      </c>
      <c r="J958" s="102">
        <v>16558</v>
      </c>
      <c r="K958" s="102">
        <v>19099</v>
      </c>
      <c r="L958" s="102">
        <v>2541</v>
      </c>
      <c r="M958" s="41">
        <v>4318506</v>
      </c>
      <c r="N958" s="102">
        <v>0</v>
      </c>
      <c r="O958" s="102">
        <v>0</v>
      </c>
      <c r="P958" s="102">
        <v>0</v>
      </c>
      <c r="Q958" s="102">
        <v>0</v>
      </c>
      <c r="R958" s="19">
        <f t="shared" si="132"/>
        <v>4318506</v>
      </c>
      <c r="S958" s="19">
        <v>3000</v>
      </c>
      <c r="T958" s="19">
        <f t="shared" si="133"/>
        <v>4321506</v>
      </c>
      <c r="U958" s="105"/>
      <c r="X958" s="10">
        <f t="shared" si="128"/>
        <v>4318506</v>
      </c>
      <c r="Y958" s="2">
        <f t="shared" si="129"/>
        <v>0</v>
      </c>
      <c r="Z958" s="10">
        <f t="shared" si="134"/>
        <v>0</v>
      </c>
    </row>
    <row r="959" spans="1:26" ht="18" customHeight="1" x14ac:dyDescent="0.25">
      <c r="A959" s="11">
        <v>143</v>
      </c>
      <c r="B959" s="67">
        <v>514101115704</v>
      </c>
      <c r="C959" s="14" t="s">
        <v>2147</v>
      </c>
      <c r="D959" s="14" t="s">
        <v>22</v>
      </c>
      <c r="E959" s="14" t="s">
        <v>2444</v>
      </c>
      <c r="F959" s="15" t="s">
        <v>24</v>
      </c>
      <c r="G959" s="16">
        <v>3500</v>
      </c>
      <c r="H959" s="52" t="s">
        <v>25</v>
      </c>
      <c r="I959" s="52" t="s">
        <v>2445</v>
      </c>
      <c r="J959" s="102">
        <v>1313</v>
      </c>
      <c r="K959" s="102">
        <v>2627</v>
      </c>
      <c r="L959" s="102">
        <v>1314</v>
      </c>
      <c r="M959" s="41">
        <v>2233182</v>
      </c>
      <c r="N959" s="102">
        <v>0</v>
      </c>
      <c r="O959" s="102">
        <v>0</v>
      </c>
      <c r="P959" s="102">
        <v>0</v>
      </c>
      <c r="Q959" s="102">
        <v>0</v>
      </c>
      <c r="R959" s="19">
        <f t="shared" si="132"/>
        <v>2233182</v>
      </c>
      <c r="S959" s="19">
        <v>3000</v>
      </c>
      <c r="T959" s="19">
        <f t="shared" si="133"/>
        <v>2236182</v>
      </c>
      <c r="U959" s="105"/>
      <c r="X959" s="10">
        <f t="shared" si="128"/>
        <v>2233182</v>
      </c>
      <c r="Y959" s="2">
        <f t="shared" si="129"/>
        <v>0</v>
      </c>
      <c r="Z959" s="10">
        <f t="shared" si="134"/>
        <v>0</v>
      </c>
    </row>
    <row r="960" spans="1:26" ht="18" customHeight="1" x14ac:dyDescent="0.25">
      <c r="A960" s="11">
        <v>144</v>
      </c>
      <c r="B960" s="67">
        <v>514101115712</v>
      </c>
      <c r="C960" s="14" t="s">
        <v>2446</v>
      </c>
      <c r="D960" s="14" t="s">
        <v>22</v>
      </c>
      <c r="E960" s="14" t="s">
        <v>35</v>
      </c>
      <c r="F960" s="15" t="s">
        <v>24</v>
      </c>
      <c r="G960" s="16">
        <v>5500</v>
      </c>
      <c r="H960" s="52" t="s">
        <v>25</v>
      </c>
      <c r="I960" s="52" t="s">
        <v>2447</v>
      </c>
      <c r="J960" s="102">
        <v>98888</v>
      </c>
      <c r="K960" s="102">
        <v>503</v>
      </c>
      <c r="L960" s="102">
        <v>1615</v>
      </c>
      <c r="M960" s="41">
        <v>2744741</v>
      </c>
      <c r="N960" s="102">
        <v>0</v>
      </c>
      <c r="O960" s="102">
        <v>0</v>
      </c>
      <c r="P960" s="102">
        <v>0</v>
      </c>
      <c r="Q960" s="102">
        <v>0</v>
      </c>
      <c r="R960" s="19">
        <f t="shared" si="132"/>
        <v>2744741</v>
      </c>
      <c r="S960" s="19">
        <v>3000</v>
      </c>
      <c r="T960" s="19">
        <f t="shared" si="133"/>
        <v>2747741</v>
      </c>
      <c r="U960" s="105"/>
      <c r="X960" s="10">
        <f t="shared" si="128"/>
        <v>2744741</v>
      </c>
      <c r="Y960" s="2">
        <f t="shared" si="129"/>
        <v>0</v>
      </c>
      <c r="Z960" s="10">
        <f t="shared" si="134"/>
        <v>0</v>
      </c>
    </row>
    <row r="961" spans="1:26" ht="18" customHeight="1" x14ac:dyDescent="0.25">
      <c r="A961" s="11">
        <v>145</v>
      </c>
      <c r="B961" s="67">
        <v>514101115720</v>
      </c>
      <c r="C961" s="14" t="s">
        <v>2150</v>
      </c>
      <c r="D961" s="14" t="s">
        <v>22</v>
      </c>
      <c r="E961" s="14" t="s">
        <v>2151</v>
      </c>
      <c r="F961" s="15" t="s">
        <v>24</v>
      </c>
      <c r="G961" s="16">
        <v>5500</v>
      </c>
      <c r="H961" s="52" t="s">
        <v>25</v>
      </c>
      <c r="I961" s="52" t="s">
        <v>2448</v>
      </c>
      <c r="J961" s="102">
        <v>90150</v>
      </c>
      <c r="K961" s="102">
        <v>92906</v>
      </c>
      <c r="L961" s="102">
        <v>2756</v>
      </c>
      <c r="M961" s="41">
        <v>4683905</v>
      </c>
      <c r="N961" s="102">
        <v>0</v>
      </c>
      <c r="O961" s="102">
        <v>0</v>
      </c>
      <c r="P961" s="102">
        <v>0</v>
      </c>
      <c r="Q961" s="102">
        <v>0</v>
      </c>
      <c r="R961" s="19">
        <f t="shared" si="132"/>
        <v>4683905</v>
      </c>
      <c r="S961" s="19">
        <v>3000</v>
      </c>
      <c r="T961" s="19">
        <f t="shared" si="133"/>
        <v>4686905</v>
      </c>
      <c r="U961" s="105"/>
      <c r="X961" s="10">
        <f t="shared" si="128"/>
        <v>4683905</v>
      </c>
      <c r="Y961" s="2">
        <f t="shared" si="129"/>
        <v>0</v>
      </c>
      <c r="Z961" s="10">
        <f t="shared" si="134"/>
        <v>0</v>
      </c>
    </row>
    <row r="962" spans="1:26" ht="18" customHeight="1" x14ac:dyDescent="0.25">
      <c r="A962" s="11">
        <v>146</v>
      </c>
      <c r="B962" s="67">
        <v>514101115738</v>
      </c>
      <c r="C962" s="14" t="s">
        <v>2449</v>
      </c>
      <c r="D962" s="14" t="s">
        <v>28</v>
      </c>
      <c r="E962" s="14" t="s">
        <v>2450</v>
      </c>
      <c r="F962" s="15" t="s">
        <v>24</v>
      </c>
      <c r="G962" s="16">
        <v>3500</v>
      </c>
      <c r="H962" s="52" t="s">
        <v>25</v>
      </c>
      <c r="I962" s="52" t="s">
        <v>2451</v>
      </c>
      <c r="J962" s="102">
        <v>95866</v>
      </c>
      <c r="K962" s="102">
        <v>96887</v>
      </c>
      <c r="L962" s="102">
        <v>1021</v>
      </c>
      <c r="M962" s="41">
        <v>1735220</v>
      </c>
      <c r="N962" s="102">
        <v>0</v>
      </c>
      <c r="O962" s="102">
        <v>0</v>
      </c>
      <c r="P962" s="102">
        <v>0</v>
      </c>
      <c r="Q962" s="102">
        <v>0</v>
      </c>
      <c r="R962" s="19">
        <f t="shared" si="132"/>
        <v>1735220</v>
      </c>
      <c r="S962" s="19">
        <v>3000</v>
      </c>
      <c r="T962" s="19">
        <f t="shared" si="133"/>
        <v>1738220</v>
      </c>
      <c r="U962" s="105"/>
      <c r="X962" s="10">
        <f t="shared" si="128"/>
        <v>1735220</v>
      </c>
      <c r="Y962" s="2">
        <f t="shared" si="129"/>
        <v>0</v>
      </c>
      <c r="Z962" s="10">
        <f t="shared" si="134"/>
        <v>0</v>
      </c>
    </row>
    <row r="963" spans="1:26" ht="18" customHeight="1" x14ac:dyDescent="0.25">
      <c r="A963" s="11">
        <v>147</v>
      </c>
      <c r="B963" s="67">
        <v>514101115746</v>
      </c>
      <c r="C963" s="14" t="s">
        <v>2452</v>
      </c>
      <c r="D963" s="14" t="s">
        <v>22</v>
      </c>
      <c r="E963" s="14" t="s">
        <v>2453</v>
      </c>
      <c r="F963" s="15" t="s">
        <v>24</v>
      </c>
      <c r="G963" s="16">
        <v>5500</v>
      </c>
      <c r="H963" s="52" t="s">
        <v>25</v>
      </c>
      <c r="I963" s="52" t="s">
        <v>2454</v>
      </c>
      <c r="J963" s="102">
        <v>18668</v>
      </c>
      <c r="K963" s="102">
        <v>20238</v>
      </c>
      <c r="L963" s="102">
        <v>1570</v>
      </c>
      <c r="M963" s="41">
        <v>2668262</v>
      </c>
      <c r="N963" s="102">
        <v>0</v>
      </c>
      <c r="O963" s="102">
        <v>0</v>
      </c>
      <c r="P963" s="102">
        <v>0</v>
      </c>
      <c r="Q963" s="102">
        <v>0</v>
      </c>
      <c r="R963" s="19">
        <f t="shared" si="132"/>
        <v>2668262</v>
      </c>
      <c r="S963" s="19">
        <v>3000</v>
      </c>
      <c r="T963" s="19">
        <f t="shared" si="133"/>
        <v>2671262</v>
      </c>
      <c r="U963" s="105"/>
      <c r="X963" s="10">
        <f t="shared" si="128"/>
        <v>2668262</v>
      </c>
      <c r="Y963" s="2">
        <f t="shared" si="129"/>
        <v>0</v>
      </c>
      <c r="Z963" s="10">
        <f t="shared" si="134"/>
        <v>0</v>
      </c>
    </row>
    <row r="964" spans="1:26" ht="18" customHeight="1" x14ac:dyDescent="0.25">
      <c r="A964" s="11">
        <v>148</v>
      </c>
      <c r="B964" s="67">
        <v>514101115753</v>
      </c>
      <c r="C964" s="14" t="s">
        <v>2388</v>
      </c>
      <c r="D964" s="14" t="s">
        <v>22</v>
      </c>
      <c r="E964" s="14" t="s">
        <v>2389</v>
      </c>
      <c r="F964" s="15" t="s">
        <v>24</v>
      </c>
      <c r="G964" s="16">
        <v>4400</v>
      </c>
      <c r="H964" s="52" t="s">
        <v>25</v>
      </c>
      <c r="I964" s="52" t="s">
        <v>2455</v>
      </c>
      <c r="J964" s="102">
        <v>51363</v>
      </c>
      <c r="K964" s="102">
        <v>52600</v>
      </c>
      <c r="L964" s="102">
        <v>1237</v>
      </c>
      <c r="M964" s="41">
        <v>2102319</v>
      </c>
      <c r="N964" s="102">
        <v>0</v>
      </c>
      <c r="O964" s="102">
        <v>0</v>
      </c>
      <c r="P964" s="102">
        <v>0</v>
      </c>
      <c r="Q964" s="102">
        <v>0</v>
      </c>
      <c r="R964" s="19">
        <f t="shared" si="132"/>
        <v>2102319</v>
      </c>
      <c r="S964" s="19">
        <v>3000</v>
      </c>
      <c r="T964" s="19">
        <f t="shared" si="133"/>
        <v>2105319</v>
      </c>
      <c r="U964" s="105"/>
      <c r="X964" s="10">
        <f t="shared" si="128"/>
        <v>2102319</v>
      </c>
      <c r="Y964" s="2">
        <f t="shared" si="129"/>
        <v>0</v>
      </c>
      <c r="Z964" s="10">
        <f t="shared" si="134"/>
        <v>0</v>
      </c>
    </row>
    <row r="965" spans="1:26" ht="18" customHeight="1" x14ac:dyDescent="0.25">
      <c r="A965" s="11">
        <v>149</v>
      </c>
      <c r="B965" s="67">
        <v>514101115761</v>
      </c>
      <c r="C965" s="14" t="s">
        <v>2456</v>
      </c>
      <c r="D965" s="14" t="s">
        <v>22</v>
      </c>
      <c r="E965" s="14" t="s">
        <v>2457</v>
      </c>
      <c r="F965" s="15" t="s">
        <v>24</v>
      </c>
      <c r="G965" s="16">
        <v>3500</v>
      </c>
      <c r="H965" s="52" t="s">
        <v>25</v>
      </c>
      <c r="I965" s="52" t="s">
        <v>2458</v>
      </c>
      <c r="J965" s="102">
        <v>18215</v>
      </c>
      <c r="K965" s="102">
        <v>19562</v>
      </c>
      <c r="L965" s="102">
        <v>1347</v>
      </c>
      <c r="M965" s="41">
        <v>2289267</v>
      </c>
      <c r="N965" s="102">
        <v>0</v>
      </c>
      <c r="O965" s="102">
        <v>0</v>
      </c>
      <c r="P965" s="102">
        <v>0</v>
      </c>
      <c r="Q965" s="102">
        <v>0</v>
      </c>
      <c r="R965" s="19">
        <f t="shared" si="132"/>
        <v>2289267</v>
      </c>
      <c r="S965" s="19">
        <v>3000</v>
      </c>
      <c r="T965" s="19">
        <f t="shared" si="133"/>
        <v>2292267</v>
      </c>
      <c r="U965" s="105"/>
      <c r="X965" s="10">
        <f t="shared" si="128"/>
        <v>2289267</v>
      </c>
      <c r="Y965" s="2">
        <f t="shared" si="129"/>
        <v>0</v>
      </c>
      <c r="Z965" s="10">
        <f t="shared" si="134"/>
        <v>0</v>
      </c>
    </row>
    <row r="966" spans="1:26" ht="18" customHeight="1" x14ac:dyDescent="0.25">
      <c r="A966" s="11">
        <v>150</v>
      </c>
      <c r="B966" s="67">
        <v>514101115779</v>
      </c>
      <c r="C966" s="14" t="s">
        <v>2459</v>
      </c>
      <c r="D966" s="14" t="s">
        <v>22</v>
      </c>
      <c r="E966" s="14" t="s">
        <v>2434</v>
      </c>
      <c r="F966" s="15" t="s">
        <v>24</v>
      </c>
      <c r="G966" s="16">
        <v>5500</v>
      </c>
      <c r="H966" s="52" t="s">
        <v>25</v>
      </c>
      <c r="I966" s="52" t="s">
        <v>2460</v>
      </c>
      <c r="J966" s="102">
        <v>66149</v>
      </c>
      <c r="K966" s="102">
        <v>68022</v>
      </c>
      <c r="L966" s="102">
        <v>1873</v>
      </c>
      <c r="M966" s="41">
        <v>3183220</v>
      </c>
      <c r="N966" s="102">
        <v>0</v>
      </c>
      <c r="O966" s="102">
        <v>0</v>
      </c>
      <c r="P966" s="102">
        <v>0</v>
      </c>
      <c r="Q966" s="102">
        <v>0</v>
      </c>
      <c r="R966" s="19">
        <f t="shared" si="132"/>
        <v>3183220</v>
      </c>
      <c r="S966" s="19">
        <v>3000</v>
      </c>
      <c r="T966" s="19">
        <f t="shared" si="133"/>
        <v>3186220</v>
      </c>
      <c r="U966" s="105"/>
      <c r="X966" s="10">
        <f t="shared" si="128"/>
        <v>3183220</v>
      </c>
      <c r="Y966" s="2">
        <f t="shared" si="129"/>
        <v>0</v>
      </c>
      <c r="Z966" s="10">
        <f t="shared" si="134"/>
        <v>0</v>
      </c>
    </row>
    <row r="967" spans="1:26" ht="18" customHeight="1" x14ac:dyDescent="0.25">
      <c r="A967" s="11">
        <v>151</v>
      </c>
      <c r="B967" s="67">
        <v>514101115787</v>
      </c>
      <c r="C967" s="14" t="s">
        <v>2461</v>
      </c>
      <c r="D967" s="14" t="s">
        <v>22</v>
      </c>
      <c r="E967" s="14" t="s">
        <v>2245</v>
      </c>
      <c r="F967" s="15" t="s">
        <v>24</v>
      </c>
      <c r="G967" s="16">
        <v>3500</v>
      </c>
      <c r="H967" s="52" t="s">
        <v>25</v>
      </c>
      <c r="I967" s="52" t="s">
        <v>2462</v>
      </c>
      <c r="J967" s="102">
        <v>90529</v>
      </c>
      <c r="K967" s="102">
        <v>91577</v>
      </c>
      <c r="L967" s="102">
        <v>1048</v>
      </c>
      <c r="M967" s="41">
        <v>1781107</v>
      </c>
      <c r="N967" s="102">
        <v>0</v>
      </c>
      <c r="O967" s="102">
        <v>0</v>
      </c>
      <c r="P967" s="102">
        <v>0</v>
      </c>
      <c r="Q967" s="102">
        <v>0</v>
      </c>
      <c r="R967" s="19">
        <f t="shared" si="132"/>
        <v>1781107</v>
      </c>
      <c r="S967" s="19">
        <v>3000</v>
      </c>
      <c r="T967" s="19">
        <f t="shared" si="133"/>
        <v>1784107</v>
      </c>
      <c r="U967" s="105"/>
      <c r="X967" s="10">
        <f t="shared" si="128"/>
        <v>1781107</v>
      </c>
      <c r="Y967" s="2">
        <f t="shared" si="129"/>
        <v>0</v>
      </c>
      <c r="Z967" s="10">
        <f t="shared" si="134"/>
        <v>0</v>
      </c>
    </row>
    <row r="968" spans="1:26" ht="18" customHeight="1" x14ac:dyDescent="0.25">
      <c r="A968" s="11">
        <v>152</v>
      </c>
      <c r="B968" s="67">
        <v>514101115795</v>
      </c>
      <c r="C968" s="14" t="s">
        <v>2463</v>
      </c>
      <c r="D968" s="14" t="s">
        <v>22</v>
      </c>
      <c r="E968" s="14" t="s">
        <v>2444</v>
      </c>
      <c r="F968" s="15" t="s">
        <v>24</v>
      </c>
      <c r="G968" s="16">
        <v>3500</v>
      </c>
      <c r="H968" s="52" t="s">
        <v>25</v>
      </c>
      <c r="I968" s="52" t="s">
        <v>2464</v>
      </c>
      <c r="J968" s="102">
        <v>30305</v>
      </c>
      <c r="K968" s="102">
        <v>31597</v>
      </c>
      <c r="L968" s="102">
        <v>1292</v>
      </c>
      <c r="M968" s="41">
        <v>2195793</v>
      </c>
      <c r="N968" s="102">
        <v>0</v>
      </c>
      <c r="O968" s="102">
        <v>0</v>
      </c>
      <c r="P968" s="102">
        <v>0</v>
      </c>
      <c r="Q968" s="102">
        <v>0</v>
      </c>
      <c r="R968" s="19">
        <f t="shared" si="132"/>
        <v>2195793</v>
      </c>
      <c r="S968" s="19">
        <v>3000</v>
      </c>
      <c r="T968" s="19">
        <f t="shared" si="133"/>
        <v>2198793</v>
      </c>
      <c r="U968" s="105"/>
      <c r="X968" s="10">
        <f t="shared" si="128"/>
        <v>2195793</v>
      </c>
      <c r="Y968" s="2">
        <f t="shared" si="129"/>
        <v>0</v>
      </c>
      <c r="Z968" s="10">
        <f t="shared" si="134"/>
        <v>0</v>
      </c>
    </row>
    <row r="969" spans="1:26" ht="18" customHeight="1" x14ac:dyDescent="0.25">
      <c r="A969" s="11">
        <v>153</v>
      </c>
      <c r="B969" s="67">
        <v>514101115808</v>
      </c>
      <c r="C969" s="14" t="s">
        <v>2465</v>
      </c>
      <c r="D969" s="14" t="s">
        <v>22</v>
      </c>
      <c r="E969" s="14" t="s">
        <v>2113</v>
      </c>
      <c r="F969" s="15" t="s">
        <v>24</v>
      </c>
      <c r="G969" s="16">
        <v>3500</v>
      </c>
      <c r="H969" s="52" t="s">
        <v>25</v>
      </c>
      <c r="I969" s="52" t="s">
        <v>2466</v>
      </c>
      <c r="J969" s="102">
        <v>14864</v>
      </c>
      <c r="K969" s="102">
        <v>16182</v>
      </c>
      <c r="L969" s="102">
        <v>1318</v>
      </c>
      <c r="M969" s="41">
        <v>2239981</v>
      </c>
      <c r="N969" s="102">
        <v>0</v>
      </c>
      <c r="O969" s="102">
        <v>0</v>
      </c>
      <c r="P969" s="102">
        <v>0</v>
      </c>
      <c r="Q969" s="102">
        <v>0</v>
      </c>
      <c r="R969" s="19">
        <f t="shared" si="132"/>
        <v>2239981</v>
      </c>
      <c r="S969" s="19">
        <v>3000</v>
      </c>
      <c r="T969" s="19">
        <f t="shared" si="133"/>
        <v>2242981</v>
      </c>
      <c r="U969" s="105"/>
      <c r="X969" s="10">
        <f t="shared" si="128"/>
        <v>2239981</v>
      </c>
      <c r="Y969" s="2">
        <f t="shared" si="129"/>
        <v>0</v>
      </c>
      <c r="Z969" s="10">
        <f t="shared" si="134"/>
        <v>0</v>
      </c>
    </row>
    <row r="970" spans="1:26" ht="18" customHeight="1" x14ac:dyDescent="0.25">
      <c r="A970" s="11">
        <v>154</v>
      </c>
      <c r="B970" s="67">
        <v>514101115816</v>
      </c>
      <c r="C970" s="14" t="s">
        <v>2095</v>
      </c>
      <c r="D970" s="14" t="s">
        <v>22</v>
      </c>
      <c r="E970" s="14" t="s">
        <v>2096</v>
      </c>
      <c r="F970" s="15" t="s">
        <v>24</v>
      </c>
      <c r="G970" s="16">
        <v>3500</v>
      </c>
      <c r="H970" s="52" t="s">
        <v>25</v>
      </c>
      <c r="I970" s="52" t="s">
        <v>2467</v>
      </c>
      <c r="J970" s="102">
        <v>31112</v>
      </c>
      <c r="K970" s="102">
        <v>33016</v>
      </c>
      <c r="L970" s="102">
        <v>1904</v>
      </c>
      <c r="M970" s="41">
        <v>3235905</v>
      </c>
      <c r="N970" s="102">
        <v>0</v>
      </c>
      <c r="O970" s="102">
        <v>0</v>
      </c>
      <c r="P970" s="102">
        <v>0</v>
      </c>
      <c r="Q970" s="102">
        <v>0</v>
      </c>
      <c r="R970" s="19">
        <f t="shared" si="132"/>
        <v>3235905</v>
      </c>
      <c r="S970" s="19">
        <v>3000</v>
      </c>
      <c r="T970" s="19">
        <f t="shared" si="133"/>
        <v>3238905</v>
      </c>
      <c r="U970" s="105"/>
      <c r="X970" s="10">
        <f t="shared" si="128"/>
        <v>3235905</v>
      </c>
      <c r="Y970" s="2">
        <f t="shared" si="129"/>
        <v>0</v>
      </c>
      <c r="Z970" s="10">
        <f t="shared" si="134"/>
        <v>0</v>
      </c>
    </row>
    <row r="971" spans="1:26" ht="18" customHeight="1" x14ac:dyDescent="0.25">
      <c r="A971" s="11">
        <v>155</v>
      </c>
      <c r="B971" s="67">
        <v>514101115824</v>
      </c>
      <c r="C971" s="14" t="s">
        <v>2326</v>
      </c>
      <c r="D971" s="14" t="s">
        <v>22</v>
      </c>
      <c r="E971" s="14" t="s">
        <v>2083</v>
      </c>
      <c r="F971" s="15" t="s">
        <v>24</v>
      </c>
      <c r="G971" s="16">
        <v>3500</v>
      </c>
      <c r="H971" s="52" t="s">
        <v>25</v>
      </c>
      <c r="I971" s="52" t="s">
        <v>2468</v>
      </c>
      <c r="J971" s="102">
        <v>35255</v>
      </c>
      <c r="K971" s="102">
        <v>35508</v>
      </c>
      <c r="L971" s="102">
        <v>253</v>
      </c>
      <c r="M971" s="41">
        <v>429981</v>
      </c>
      <c r="N971" s="102">
        <v>0</v>
      </c>
      <c r="O971" s="102">
        <v>0</v>
      </c>
      <c r="P971" s="102">
        <v>0</v>
      </c>
      <c r="Q971" s="102">
        <v>0</v>
      </c>
      <c r="R971" s="19">
        <f t="shared" si="132"/>
        <v>429981</v>
      </c>
      <c r="S971" s="19">
        <v>3000</v>
      </c>
      <c r="T971" s="19">
        <f t="shared" si="133"/>
        <v>432981</v>
      </c>
      <c r="U971" s="105"/>
      <c r="X971" s="10">
        <f t="shared" si="128"/>
        <v>429981</v>
      </c>
      <c r="Y971" s="2">
        <f t="shared" si="129"/>
        <v>0</v>
      </c>
      <c r="Z971" s="10">
        <f t="shared" si="134"/>
        <v>0</v>
      </c>
    </row>
    <row r="972" spans="1:26" ht="18" customHeight="1" x14ac:dyDescent="0.25">
      <c r="A972" s="11">
        <v>156</v>
      </c>
      <c r="B972" s="67">
        <v>514101115832</v>
      </c>
      <c r="C972" s="14" t="s">
        <v>2235</v>
      </c>
      <c r="D972" s="14" t="s">
        <v>22</v>
      </c>
      <c r="E972" s="14" t="s">
        <v>2469</v>
      </c>
      <c r="F972" s="15" t="s">
        <v>24</v>
      </c>
      <c r="G972" s="16">
        <v>5500</v>
      </c>
      <c r="H972" s="52" t="s">
        <v>25</v>
      </c>
      <c r="I972" s="52" t="s">
        <v>2470</v>
      </c>
      <c r="J972" s="102">
        <v>38868</v>
      </c>
      <c r="K972" s="102">
        <v>40801</v>
      </c>
      <c r="L972" s="102">
        <v>1933</v>
      </c>
      <c r="M972" s="41">
        <v>3285191</v>
      </c>
      <c r="N972" s="102">
        <v>0</v>
      </c>
      <c r="O972" s="102">
        <v>0</v>
      </c>
      <c r="P972" s="102">
        <v>0</v>
      </c>
      <c r="Q972" s="102">
        <v>0</v>
      </c>
      <c r="R972" s="19">
        <f t="shared" si="132"/>
        <v>3285191</v>
      </c>
      <c r="S972" s="19">
        <v>3000</v>
      </c>
      <c r="T972" s="19">
        <f t="shared" si="133"/>
        <v>3288191</v>
      </c>
      <c r="U972" s="105"/>
      <c r="X972" s="10">
        <f t="shared" si="128"/>
        <v>3285191</v>
      </c>
      <c r="Y972" s="2">
        <f t="shared" si="129"/>
        <v>0</v>
      </c>
      <c r="Z972" s="10">
        <f t="shared" si="134"/>
        <v>0</v>
      </c>
    </row>
    <row r="973" spans="1:26" ht="18" customHeight="1" x14ac:dyDescent="0.25">
      <c r="A973" s="11">
        <v>157</v>
      </c>
      <c r="B973" s="67">
        <v>514101115840</v>
      </c>
      <c r="C973" s="14" t="s">
        <v>2471</v>
      </c>
      <c r="D973" s="14" t="s">
        <v>28</v>
      </c>
      <c r="E973" s="14" t="s">
        <v>2121</v>
      </c>
      <c r="F973" s="15" t="s">
        <v>24</v>
      </c>
      <c r="G973" s="16">
        <v>3500</v>
      </c>
      <c r="H973" s="52" t="s">
        <v>25</v>
      </c>
      <c r="I973" s="52" t="s">
        <v>2472</v>
      </c>
      <c r="J973" s="102">
        <v>13279</v>
      </c>
      <c r="K973" s="102">
        <v>15095</v>
      </c>
      <c r="L973" s="102">
        <v>1816</v>
      </c>
      <c r="M973" s="41">
        <v>3086346</v>
      </c>
      <c r="N973" s="102">
        <v>0</v>
      </c>
      <c r="O973" s="102">
        <v>0</v>
      </c>
      <c r="P973" s="102">
        <v>0</v>
      </c>
      <c r="Q973" s="102">
        <v>0</v>
      </c>
      <c r="R973" s="19">
        <f t="shared" si="132"/>
        <v>3086346</v>
      </c>
      <c r="S973" s="19">
        <v>3000</v>
      </c>
      <c r="T973" s="19">
        <f t="shared" si="133"/>
        <v>3089346</v>
      </c>
      <c r="U973" s="105"/>
      <c r="X973" s="10">
        <f t="shared" si="128"/>
        <v>3086346</v>
      </c>
      <c r="Y973" s="2">
        <f t="shared" si="129"/>
        <v>0</v>
      </c>
      <c r="Z973" s="10">
        <f t="shared" si="134"/>
        <v>0</v>
      </c>
    </row>
    <row r="974" spans="1:26" ht="18" customHeight="1" x14ac:dyDescent="0.25">
      <c r="A974" s="11">
        <v>158</v>
      </c>
      <c r="B974" s="67">
        <v>514101115857</v>
      </c>
      <c r="C974" s="14" t="s">
        <v>2123</v>
      </c>
      <c r="D974" s="14" t="s">
        <v>28</v>
      </c>
      <c r="E974" s="14" t="s">
        <v>2473</v>
      </c>
      <c r="F974" s="15" t="s">
        <v>24</v>
      </c>
      <c r="G974" s="16">
        <v>3500</v>
      </c>
      <c r="H974" s="52" t="s">
        <v>25</v>
      </c>
      <c r="I974" s="52" t="s">
        <v>2474</v>
      </c>
      <c r="J974" s="102">
        <v>18818</v>
      </c>
      <c r="K974" s="102">
        <v>20243</v>
      </c>
      <c r="L974" s="102">
        <v>1425</v>
      </c>
      <c r="M974" s="41">
        <v>2421830</v>
      </c>
      <c r="N974" s="102">
        <v>0</v>
      </c>
      <c r="O974" s="102">
        <v>0</v>
      </c>
      <c r="P974" s="102">
        <v>0</v>
      </c>
      <c r="Q974" s="102">
        <v>0</v>
      </c>
      <c r="R974" s="19">
        <f t="shared" si="132"/>
        <v>2421830</v>
      </c>
      <c r="S974" s="19">
        <v>3000</v>
      </c>
      <c r="T974" s="19">
        <f t="shared" si="133"/>
        <v>2424830</v>
      </c>
      <c r="U974" s="105"/>
      <c r="X974" s="10">
        <f t="shared" si="128"/>
        <v>2421830</v>
      </c>
      <c r="Y974" s="2">
        <f t="shared" si="129"/>
        <v>0</v>
      </c>
      <c r="Z974" s="10">
        <f t="shared" si="134"/>
        <v>0</v>
      </c>
    </row>
    <row r="975" spans="1:26" ht="18" customHeight="1" x14ac:dyDescent="0.25">
      <c r="A975" s="11">
        <v>159</v>
      </c>
      <c r="B975" s="67">
        <v>514101115865</v>
      </c>
      <c r="C975" s="14" t="s">
        <v>2475</v>
      </c>
      <c r="D975" s="14" t="s">
        <v>22</v>
      </c>
      <c r="E975" s="14" t="s">
        <v>2476</v>
      </c>
      <c r="F975" s="15" t="s">
        <v>24</v>
      </c>
      <c r="G975" s="16">
        <v>3500</v>
      </c>
      <c r="H975" s="52" t="s">
        <v>25</v>
      </c>
      <c r="I975" s="52" t="s">
        <v>2477</v>
      </c>
      <c r="J975" s="102">
        <v>60134</v>
      </c>
      <c r="K975" s="102">
        <v>61234</v>
      </c>
      <c r="L975" s="102">
        <v>1100</v>
      </c>
      <c r="M975" s="41">
        <v>1869483</v>
      </c>
      <c r="N975" s="102">
        <v>0</v>
      </c>
      <c r="O975" s="102">
        <v>0</v>
      </c>
      <c r="P975" s="102">
        <v>0</v>
      </c>
      <c r="Q975" s="102">
        <v>0</v>
      </c>
      <c r="R975" s="19">
        <f t="shared" si="132"/>
        <v>1869483</v>
      </c>
      <c r="S975" s="19">
        <v>3000</v>
      </c>
      <c r="T975" s="19">
        <f t="shared" si="133"/>
        <v>1872483</v>
      </c>
      <c r="U975" s="105"/>
      <c r="X975" s="10">
        <f t="shared" si="128"/>
        <v>1869483</v>
      </c>
      <c r="Y975" s="2">
        <f t="shared" si="129"/>
        <v>0</v>
      </c>
      <c r="Z975" s="10">
        <f t="shared" si="134"/>
        <v>0</v>
      </c>
    </row>
    <row r="976" spans="1:26" ht="18" customHeight="1" x14ac:dyDescent="0.25">
      <c r="A976" s="11">
        <v>160</v>
      </c>
      <c r="B976" s="52">
        <v>514101115873</v>
      </c>
      <c r="C976" s="53" t="s">
        <v>2478</v>
      </c>
      <c r="D976" s="14" t="s">
        <v>22</v>
      </c>
      <c r="E976" s="53" t="s">
        <v>271</v>
      </c>
      <c r="F976" s="54" t="s">
        <v>24</v>
      </c>
      <c r="G976" s="55">
        <v>5500</v>
      </c>
      <c r="H976" s="52" t="s">
        <v>25</v>
      </c>
      <c r="I976" s="52" t="s">
        <v>2479</v>
      </c>
      <c r="J976" s="102">
        <v>2310</v>
      </c>
      <c r="K976" s="102">
        <v>3373</v>
      </c>
      <c r="L976" s="102">
        <v>1063</v>
      </c>
      <c r="M976" s="41">
        <v>1806600</v>
      </c>
      <c r="N976" s="102">
        <v>0</v>
      </c>
      <c r="O976" s="102">
        <v>0</v>
      </c>
      <c r="P976" s="102">
        <v>0</v>
      </c>
      <c r="Q976" s="102">
        <v>0</v>
      </c>
      <c r="R976" s="19">
        <f t="shared" si="132"/>
        <v>1806600</v>
      </c>
      <c r="S976" s="19">
        <v>3000</v>
      </c>
      <c r="T976" s="19">
        <f t="shared" si="133"/>
        <v>1809600</v>
      </c>
      <c r="U976" s="105"/>
      <c r="X976" s="10">
        <f t="shared" si="128"/>
        <v>1806600</v>
      </c>
      <c r="Y976" s="2">
        <f t="shared" si="129"/>
        <v>0</v>
      </c>
      <c r="Z976" s="10">
        <f t="shared" si="134"/>
        <v>0</v>
      </c>
    </row>
    <row r="977" spans="1:26" ht="18" customHeight="1" x14ac:dyDescent="0.25">
      <c r="A977" s="11"/>
      <c r="B977" s="52"/>
      <c r="C977" s="53"/>
      <c r="D977" s="14"/>
      <c r="E977" s="53"/>
      <c r="F977" s="54"/>
      <c r="G977" s="55"/>
      <c r="H977" s="52"/>
      <c r="I977" s="52"/>
      <c r="J977" s="102"/>
      <c r="K977" s="102"/>
      <c r="L977" s="102"/>
      <c r="M977" s="41"/>
      <c r="N977" s="102"/>
      <c r="O977" s="102"/>
      <c r="P977" s="102"/>
      <c r="Q977" s="102"/>
      <c r="R977" s="19"/>
      <c r="S977" s="19"/>
      <c r="T977" s="19"/>
      <c r="U977" s="105"/>
      <c r="X977" s="10"/>
      <c r="Z977" s="10"/>
    </row>
    <row r="978" spans="1:26" ht="33" customHeight="1" x14ac:dyDescent="0.25">
      <c r="A978" s="11"/>
      <c r="B978" s="107"/>
      <c r="C978" s="13"/>
      <c r="D978" s="13"/>
      <c r="E978" s="13" t="s">
        <v>141</v>
      </c>
      <c r="F978" s="12"/>
      <c r="G978" s="103">
        <f>SUM(G936:G976)</f>
        <v>836860</v>
      </c>
      <c r="H978" s="103">
        <f t="shared" ref="H978:R978" si="135">SUM(H936:H976)</f>
        <v>0</v>
      </c>
      <c r="I978" s="103">
        <f t="shared" si="135"/>
        <v>0</v>
      </c>
      <c r="J978" s="103"/>
      <c r="K978" s="103"/>
      <c r="L978" s="103">
        <f t="shared" si="135"/>
        <v>263211</v>
      </c>
      <c r="M978" s="23">
        <f t="shared" si="135"/>
        <v>447334992</v>
      </c>
      <c r="N978" s="24">
        <f t="shared" si="135"/>
        <v>0</v>
      </c>
      <c r="O978" s="24">
        <f t="shared" si="135"/>
        <v>0</v>
      </c>
      <c r="P978" s="24">
        <f t="shared" si="135"/>
        <v>0</v>
      </c>
      <c r="Q978" s="24">
        <f t="shared" si="135"/>
        <v>120000</v>
      </c>
      <c r="R978" s="23">
        <f t="shared" si="135"/>
        <v>447454992</v>
      </c>
      <c r="S978" s="23">
        <f>SUM(S936:S976)</f>
        <v>480000</v>
      </c>
      <c r="T978" s="23">
        <f>SUM(T936:T976)</f>
        <v>447934992</v>
      </c>
      <c r="U978" s="146"/>
      <c r="V978" s="2">
        <v>527295589</v>
      </c>
      <c r="W978" s="10">
        <f>R978-V978</f>
        <v>-79840597</v>
      </c>
      <c r="X978" s="10">
        <f t="shared" si="128"/>
        <v>447334992</v>
      </c>
      <c r="Y978" s="2">
        <f t="shared" si="129"/>
        <v>10000</v>
      </c>
      <c r="Z978" s="10"/>
    </row>
    <row r="979" spans="1:26" ht="18" customHeight="1" x14ac:dyDescent="0.25">
      <c r="A979" s="87"/>
      <c r="B979" s="108"/>
      <c r="C979" s="85"/>
      <c r="D979" s="85"/>
      <c r="E979" s="85"/>
      <c r="F979" s="84"/>
      <c r="G979" s="104"/>
      <c r="H979" s="31"/>
      <c r="L979" s="31"/>
      <c r="M979" s="105"/>
      <c r="N979" s="106"/>
      <c r="O979" s="106"/>
      <c r="P979" s="106"/>
      <c r="Q979" s="106"/>
      <c r="R979" s="105"/>
      <c r="S979" s="105"/>
      <c r="T979" s="105"/>
      <c r="U979" s="105"/>
      <c r="X979" s="10">
        <f t="shared" si="128"/>
        <v>0</v>
      </c>
      <c r="Y979" s="2">
        <f t="shared" si="129"/>
        <v>0</v>
      </c>
      <c r="Z979" s="10"/>
    </row>
    <row r="980" spans="1:26" ht="18" customHeight="1" x14ac:dyDescent="0.25">
      <c r="A980" s="87"/>
      <c r="B980" s="108"/>
      <c r="C980" s="85"/>
      <c r="D980" s="85"/>
      <c r="E980" s="85"/>
      <c r="F980" s="84"/>
      <c r="G980" s="104"/>
      <c r="L980" s="31"/>
      <c r="X980" s="10">
        <f t="shared" si="128"/>
        <v>0</v>
      </c>
      <c r="Y980" s="2">
        <f t="shared" si="129"/>
        <v>0</v>
      </c>
      <c r="Z980" s="10"/>
    </row>
    <row r="981" spans="1:26" s="84" customFormat="1" ht="39" customHeight="1" x14ac:dyDescent="0.25">
      <c r="A981" s="9" t="s">
        <v>4</v>
      </c>
      <c r="B981" s="21" t="s">
        <v>5</v>
      </c>
      <c r="C981" s="21" t="s">
        <v>6</v>
      </c>
      <c r="D981" s="12"/>
      <c r="E981" s="9" t="s">
        <v>7</v>
      </c>
      <c r="F981" s="21" t="s">
        <v>8</v>
      </c>
      <c r="G981" s="21" t="s">
        <v>9</v>
      </c>
      <c r="H981" s="21" t="s">
        <v>10</v>
      </c>
      <c r="I981" s="21" t="s">
        <v>11</v>
      </c>
      <c r="J981" s="21" t="s">
        <v>12</v>
      </c>
      <c r="K981" s="21" t="s">
        <v>13</v>
      </c>
      <c r="L981" s="21" t="s">
        <v>14</v>
      </c>
      <c r="M981" s="143" t="s">
        <v>15</v>
      </c>
      <c r="N981" s="144" t="s">
        <v>16</v>
      </c>
      <c r="O981" s="144" t="s">
        <v>17</v>
      </c>
      <c r="P981" s="144" t="s">
        <v>18</v>
      </c>
      <c r="Q981" s="144" t="s">
        <v>19</v>
      </c>
      <c r="R981" s="143" t="s">
        <v>20</v>
      </c>
      <c r="S981" s="143" t="s">
        <v>3471</v>
      </c>
      <c r="T981" s="143" t="s">
        <v>3472</v>
      </c>
      <c r="U981" s="145"/>
      <c r="V981" s="145"/>
      <c r="W981" s="145"/>
      <c r="X981" s="145"/>
    </row>
    <row r="982" spans="1:26" ht="18" customHeight="1" x14ac:dyDescent="0.25">
      <c r="A982" s="11"/>
      <c r="B982" s="107"/>
      <c r="C982" s="13"/>
      <c r="D982" s="13"/>
      <c r="E982" s="13"/>
      <c r="F982" s="12"/>
      <c r="G982" s="12"/>
      <c r="H982" s="17"/>
      <c r="I982" s="15" t="s">
        <v>0</v>
      </c>
      <c r="J982" s="15"/>
      <c r="K982" s="15"/>
      <c r="L982" s="18" t="s">
        <v>0</v>
      </c>
      <c r="M982" s="19"/>
      <c r="N982" s="20"/>
      <c r="O982" s="20"/>
      <c r="P982" s="20"/>
      <c r="Q982" s="20"/>
      <c r="R982" s="19"/>
      <c r="S982" s="19"/>
      <c r="T982" s="19"/>
      <c r="U982" s="105"/>
      <c r="X982" s="10">
        <f t="shared" si="128"/>
        <v>0</v>
      </c>
      <c r="Y982" s="2">
        <f t="shared" si="129"/>
        <v>0</v>
      </c>
      <c r="Z982" s="10"/>
    </row>
    <row r="983" spans="1:26" ht="18" customHeight="1" x14ac:dyDescent="0.25">
      <c r="A983" s="11"/>
      <c r="B983" s="107"/>
      <c r="C983" s="13"/>
      <c r="D983" s="13"/>
      <c r="E983" s="35" t="s">
        <v>141</v>
      </c>
      <c r="F983" s="12"/>
      <c r="G983" s="22">
        <f>G978</f>
        <v>836860</v>
      </c>
      <c r="H983" s="22">
        <f t="shared" ref="H983:R983" si="136">H978</f>
        <v>0</v>
      </c>
      <c r="I983" s="22">
        <f t="shared" si="136"/>
        <v>0</v>
      </c>
      <c r="J983" s="22"/>
      <c r="K983" s="22"/>
      <c r="L983" s="22">
        <f t="shared" si="136"/>
        <v>263211</v>
      </c>
      <c r="M983" s="23">
        <f t="shared" si="136"/>
        <v>447334992</v>
      </c>
      <c r="N983" s="24">
        <f t="shared" si="136"/>
        <v>0</v>
      </c>
      <c r="O983" s="24">
        <f t="shared" si="136"/>
        <v>0</v>
      </c>
      <c r="P983" s="24">
        <f t="shared" si="136"/>
        <v>0</v>
      </c>
      <c r="Q983" s="24">
        <f t="shared" si="136"/>
        <v>120000</v>
      </c>
      <c r="R983" s="23">
        <f t="shared" si="136"/>
        <v>447454992</v>
      </c>
      <c r="S983" s="23">
        <f>S978</f>
        <v>480000</v>
      </c>
      <c r="T983" s="23">
        <f>T978</f>
        <v>447934992</v>
      </c>
      <c r="U983" s="146"/>
      <c r="X983" s="10">
        <f t="shared" si="128"/>
        <v>447334992</v>
      </c>
      <c r="Y983" s="2">
        <f t="shared" si="129"/>
        <v>10000</v>
      </c>
      <c r="Z983" s="10"/>
    </row>
    <row r="984" spans="1:26" ht="18" customHeight="1" x14ac:dyDescent="0.25">
      <c r="A984" s="11">
        <v>161</v>
      </c>
      <c r="B984" s="67">
        <v>514101115881</v>
      </c>
      <c r="C984" s="14" t="s">
        <v>2480</v>
      </c>
      <c r="D984" s="14" t="s">
        <v>28</v>
      </c>
      <c r="E984" s="14" t="s">
        <v>2457</v>
      </c>
      <c r="F984" s="15" t="s">
        <v>24</v>
      </c>
      <c r="G984" s="16">
        <v>3500</v>
      </c>
      <c r="H984" s="54" t="s">
        <v>25</v>
      </c>
      <c r="I984" s="54" t="s">
        <v>2481</v>
      </c>
      <c r="J984" s="53">
        <v>30141</v>
      </c>
      <c r="K984" s="53">
        <v>31501</v>
      </c>
      <c r="L984" s="53">
        <v>1360</v>
      </c>
      <c r="M984" s="41">
        <v>2311361</v>
      </c>
      <c r="N984" s="102">
        <v>0</v>
      </c>
      <c r="O984" s="102">
        <v>0</v>
      </c>
      <c r="P984" s="102">
        <v>0</v>
      </c>
      <c r="Q984" s="102">
        <v>0</v>
      </c>
      <c r="R984" s="19">
        <f t="shared" ref="R984:R1018" si="137">M984+N984+O984+P984+Q984</f>
        <v>2311361</v>
      </c>
      <c r="S984" s="19">
        <v>3000</v>
      </c>
      <c r="T984" s="19">
        <f t="shared" ref="T984:T1018" si="138">R984+S984</f>
        <v>2314361</v>
      </c>
      <c r="U984" s="105"/>
      <c r="X984" s="10">
        <f t="shared" si="128"/>
        <v>2311361</v>
      </c>
      <c r="Y984" s="2">
        <f t="shared" si="129"/>
        <v>0</v>
      </c>
      <c r="Z984" s="10">
        <f t="shared" ref="Z984:Z1017" si="139">Q984-Y984</f>
        <v>0</v>
      </c>
    </row>
    <row r="985" spans="1:26" ht="18" customHeight="1" x14ac:dyDescent="0.25">
      <c r="A985" s="11">
        <v>162</v>
      </c>
      <c r="B985" s="67">
        <v>514101115899</v>
      </c>
      <c r="C985" s="14" t="s">
        <v>2482</v>
      </c>
      <c r="D985" s="14" t="s">
        <v>22</v>
      </c>
      <c r="E985" s="14" t="s">
        <v>2389</v>
      </c>
      <c r="F985" s="15" t="s">
        <v>24</v>
      </c>
      <c r="G985" s="16">
        <v>3500</v>
      </c>
      <c r="H985" s="54" t="s">
        <v>25</v>
      </c>
      <c r="I985" s="54" t="s">
        <v>2483</v>
      </c>
      <c r="J985" s="53">
        <v>71880</v>
      </c>
      <c r="K985" s="53">
        <v>73761</v>
      </c>
      <c r="L985" s="53">
        <v>1881</v>
      </c>
      <c r="M985" s="41">
        <v>3196816</v>
      </c>
      <c r="N985" s="102">
        <v>0</v>
      </c>
      <c r="O985" s="102">
        <v>0</v>
      </c>
      <c r="P985" s="102">
        <v>0</v>
      </c>
      <c r="Q985" s="102">
        <v>0</v>
      </c>
      <c r="R985" s="19">
        <f t="shared" si="137"/>
        <v>3196816</v>
      </c>
      <c r="S985" s="19">
        <v>3000</v>
      </c>
      <c r="T985" s="19">
        <f t="shared" si="138"/>
        <v>3199816</v>
      </c>
      <c r="U985" s="105"/>
      <c r="X985" s="10">
        <f t="shared" si="128"/>
        <v>3196816</v>
      </c>
      <c r="Y985" s="2">
        <f t="shared" si="129"/>
        <v>0</v>
      </c>
      <c r="Z985" s="10">
        <f t="shared" si="139"/>
        <v>0</v>
      </c>
    </row>
    <row r="986" spans="1:26" ht="18" customHeight="1" x14ac:dyDescent="0.25">
      <c r="A986" s="11">
        <v>163</v>
      </c>
      <c r="B986" s="67">
        <v>514101115903</v>
      </c>
      <c r="C986" s="14" t="s">
        <v>2484</v>
      </c>
      <c r="D986" s="14" t="s">
        <v>22</v>
      </c>
      <c r="E986" s="14" t="s">
        <v>2485</v>
      </c>
      <c r="F986" s="15" t="s">
        <v>24</v>
      </c>
      <c r="G986" s="16">
        <v>2200</v>
      </c>
      <c r="H986" s="54" t="s">
        <v>25</v>
      </c>
      <c r="I986" s="54" t="s">
        <v>2486</v>
      </c>
      <c r="J986" s="53">
        <v>57553</v>
      </c>
      <c r="K986" s="53">
        <v>58398</v>
      </c>
      <c r="L986" s="53">
        <v>845</v>
      </c>
      <c r="M986" s="41">
        <v>1436103</v>
      </c>
      <c r="N986" s="102">
        <v>0</v>
      </c>
      <c r="O986" s="102">
        <v>0</v>
      </c>
      <c r="P986" s="102">
        <v>0</v>
      </c>
      <c r="Q986" s="102">
        <v>0</v>
      </c>
      <c r="R986" s="19">
        <f t="shared" si="137"/>
        <v>1436103</v>
      </c>
      <c r="S986" s="19">
        <v>3000</v>
      </c>
      <c r="T986" s="19">
        <f t="shared" si="138"/>
        <v>1439103</v>
      </c>
      <c r="U986" s="105"/>
      <c r="X986" s="10">
        <f t="shared" si="128"/>
        <v>1436103</v>
      </c>
      <c r="Y986" s="2">
        <f t="shared" si="129"/>
        <v>0</v>
      </c>
      <c r="Z986" s="10">
        <f t="shared" si="139"/>
        <v>0</v>
      </c>
    </row>
    <row r="987" spans="1:26" ht="18" customHeight="1" x14ac:dyDescent="0.25">
      <c r="A987" s="11">
        <v>164</v>
      </c>
      <c r="B987" s="67">
        <v>514101115911</v>
      </c>
      <c r="C987" s="14" t="s">
        <v>2487</v>
      </c>
      <c r="D987" s="14" t="s">
        <v>22</v>
      </c>
      <c r="E987" s="14" t="s">
        <v>2329</v>
      </c>
      <c r="F987" s="15" t="s">
        <v>24</v>
      </c>
      <c r="G987" s="16">
        <v>5500</v>
      </c>
      <c r="H987" s="54" t="s">
        <v>25</v>
      </c>
      <c r="I987" s="54" t="s">
        <v>2488</v>
      </c>
      <c r="J987" s="53">
        <v>98437</v>
      </c>
      <c r="K987" s="53">
        <v>99727</v>
      </c>
      <c r="L987" s="53">
        <v>1290</v>
      </c>
      <c r="M987" s="41">
        <v>2192394</v>
      </c>
      <c r="N987" s="102">
        <v>0</v>
      </c>
      <c r="O987" s="102">
        <v>0</v>
      </c>
      <c r="P987" s="102">
        <v>0</v>
      </c>
      <c r="Q987" s="102">
        <v>0</v>
      </c>
      <c r="R987" s="19">
        <f t="shared" si="137"/>
        <v>2192394</v>
      </c>
      <c r="S987" s="19">
        <v>3000</v>
      </c>
      <c r="T987" s="19">
        <f t="shared" si="138"/>
        <v>2195394</v>
      </c>
      <c r="U987" s="105"/>
      <c r="X987" s="10">
        <f t="shared" ref="X987:X1017" si="140">M987+N987+O987+P987</f>
        <v>2192394</v>
      </c>
      <c r="Y987" s="2">
        <f t="shared" ref="Y987:Y1017" si="141">IF(X987&gt;5000000,10000,IF(V987&lt;5000000,0,IF(V987=5000000,10000)))</f>
        <v>0</v>
      </c>
      <c r="Z987" s="10">
        <f t="shared" si="139"/>
        <v>0</v>
      </c>
    </row>
    <row r="988" spans="1:26" ht="18" customHeight="1" x14ac:dyDescent="0.25">
      <c r="A988" s="11">
        <v>165</v>
      </c>
      <c r="B988" s="67">
        <v>514101115929</v>
      </c>
      <c r="C988" s="14" t="s">
        <v>2101</v>
      </c>
      <c r="D988" s="14" t="s">
        <v>22</v>
      </c>
      <c r="E988" s="14" t="s">
        <v>2489</v>
      </c>
      <c r="F988" s="15" t="s">
        <v>24</v>
      </c>
      <c r="G988" s="16">
        <v>3500</v>
      </c>
      <c r="H988" s="54" t="s">
        <v>25</v>
      </c>
      <c r="I988" s="54" t="s">
        <v>2490</v>
      </c>
      <c r="J988" s="53">
        <v>7679</v>
      </c>
      <c r="K988" s="53">
        <v>9123</v>
      </c>
      <c r="L988" s="53">
        <v>1444</v>
      </c>
      <c r="M988" s="41">
        <v>2454121</v>
      </c>
      <c r="N988" s="102">
        <v>0</v>
      </c>
      <c r="O988" s="102">
        <v>0</v>
      </c>
      <c r="P988" s="102">
        <v>0</v>
      </c>
      <c r="Q988" s="102">
        <v>0</v>
      </c>
      <c r="R988" s="19">
        <f t="shared" si="137"/>
        <v>2454121</v>
      </c>
      <c r="S988" s="19">
        <v>3000</v>
      </c>
      <c r="T988" s="19">
        <f t="shared" si="138"/>
        <v>2457121</v>
      </c>
      <c r="U988" s="105"/>
      <c r="X988" s="10">
        <f t="shared" si="140"/>
        <v>2454121</v>
      </c>
      <c r="Y988" s="2">
        <f t="shared" si="141"/>
        <v>0</v>
      </c>
      <c r="Z988" s="10">
        <f t="shared" si="139"/>
        <v>0</v>
      </c>
    </row>
    <row r="989" spans="1:26" ht="18" customHeight="1" x14ac:dyDescent="0.25">
      <c r="A989" s="11">
        <v>166</v>
      </c>
      <c r="B989" s="67">
        <v>514101115937</v>
      </c>
      <c r="C989" s="14" t="s">
        <v>2367</v>
      </c>
      <c r="D989" s="14" t="s">
        <v>22</v>
      </c>
      <c r="E989" s="14" t="s">
        <v>2321</v>
      </c>
      <c r="F989" s="15" t="s">
        <v>24</v>
      </c>
      <c r="G989" s="16">
        <v>4400</v>
      </c>
      <c r="H989" s="54" t="s">
        <v>25</v>
      </c>
      <c r="I989" s="54" t="s">
        <v>2491</v>
      </c>
      <c r="J989" s="53">
        <v>3112</v>
      </c>
      <c r="K989" s="53">
        <v>3326</v>
      </c>
      <c r="L989" s="53">
        <v>214</v>
      </c>
      <c r="M989" s="41">
        <v>363699</v>
      </c>
      <c r="N989" s="102">
        <v>0</v>
      </c>
      <c r="O989" s="102">
        <v>0</v>
      </c>
      <c r="P989" s="102">
        <v>0</v>
      </c>
      <c r="Q989" s="102">
        <v>0</v>
      </c>
      <c r="R989" s="19">
        <f t="shared" si="137"/>
        <v>363699</v>
      </c>
      <c r="S989" s="19">
        <v>3000</v>
      </c>
      <c r="T989" s="19">
        <f t="shared" si="138"/>
        <v>366699</v>
      </c>
      <c r="U989" s="105"/>
      <c r="X989" s="10">
        <f t="shared" si="140"/>
        <v>363699</v>
      </c>
      <c r="Y989" s="2">
        <f t="shared" si="141"/>
        <v>0</v>
      </c>
      <c r="Z989" s="10">
        <f t="shared" si="139"/>
        <v>0</v>
      </c>
    </row>
    <row r="990" spans="1:26" ht="18" customHeight="1" x14ac:dyDescent="0.25">
      <c r="A990" s="11">
        <v>167</v>
      </c>
      <c r="B990" s="67">
        <v>514101115945</v>
      </c>
      <c r="C990" s="14" t="s">
        <v>2492</v>
      </c>
      <c r="D990" s="14" t="s">
        <v>22</v>
      </c>
      <c r="E990" s="14" t="s">
        <v>2485</v>
      </c>
      <c r="F990" s="15" t="s">
        <v>24</v>
      </c>
      <c r="G990" s="16">
        <v>5500</v>
      </c>
      <c r="H990" s="54" t="s">
        <v>25</v>
      </c>
      <c r="I990" s="54" t="s">
        <v>2493</v>
      </c>
      <c r="J990" s="53">
        <v>21579</v>
      </c>
      <c r="K990" s="53">
        <v>23288</v>
      </c>
      <c r="L990" s="53">
        <v>1709</v>
      </c>
      <c r="M990" s="41">
        <v>2904497</v>
      </c>
      <c r="N990" s="102">
        <v>0</v>
      </c>
      <c r="O990" s="102">
        <v>0</v>
      </c>
      <c r="P990" s="102">
        <v>0</v>
      </c>
      <c r="Q990" s="102">
        <v>0</v>
      </c>
      <c r="R990" s="19">
        <f t="shared" si="137"/>
        <v>2904497</v>
      </c>
      <c r="S990" s="19">
        <v>3000</v>
      </c>
      <c r="T990" s="19">
        <f t="shared" si="138"/>
        <v>2907497</v>
      </c>
      <c r="U990" s="105"/>
      <c r="X990" s="10">
        <f t="shared" si="140"/>
        <v>2904497</v>
      </c>
      <c r="Y990" s="2">
        <f t="shared" si="141"/>
        <v>0</v>
      </c>
      <c r="Z990" s="10">
        <f t="shared" si="139"/>
        <v>0</v>
      </c>
    </row>
    <row r="991" spans="1:26" ht="18" customHeight="1" x14ac:dyDescent="0.25">
      <c r="A991" s="11">
        <v>168</v>
      </c>
      <c r="B991" s="67">
        <v>514101115952</v>
      </c>
      <c r="C991" s="14" t="s">
        <v>2494</v>
      </c>
      <c r="D991" s="14" t="s">
        <v>22</v>
      </c>
      <c r="E991" s="14" t="s">
        <v>35</v>
      </c>
      <c r="F991" s="15" t="s">
        <v>24</v>
      </c>
      <c r="G991" s="16">
        <v>5500</v>
      </c>
      <c r="H991" s="54" t="s">
        <v>25</v>
      </c>
      <c r="I991" s="54" t="s">
        <v>2495</v>
      </c>
      <c r="J991" s="53">
        <v>30408</v>
      </c>
      <c r="K991" s="53">
        <v>31255</v>
      </c>
      <c r="L991" s="53">
        <v>847</v>
      </c>
      <c r="M991" s="41">
        <v>1439502</v>
      </c>
      <c r="N991" s="102">
        <v>0</v>
      </c>
      <c r="O991" s="102">
        <v>0</v>
      </c>
      <c r="P991" s="102">
        <v>0</v>
      </c>
      <c r="Q991" s="102">
        <v>0</v>
      </c>
      <c r="R991" s="19">
        <f t="shared" si="137"/>
        <v>1439502</v>
      </c>
      <c r="S991" s="19">
        <v>3000</v>
      </c>
      <c r="T991" s="19">
        <f t="shared" si="138"/>
        <v>1442502</v>
      </c>
      <c r="U991" s="105"/>
      <c r="X991" s="10">
        <f t="shared" si="140"/>
        <v>1439502</v>
      </c>
      <c r="Y991" s="2">
        <f t="shared" si="141"/>
        <v>0</v>
      </c>
      <c r="Z991" s="10">
        <f t="shared" si="139"/>
        <v>0</v>
      </c>
    </row>
    <row r="992" spans="1:26" ht="18" customHeight="1" x14ac:dyDescent="0.25">
      <c r="A992" s="11">
        <v>169</v>
      </c>
      <c r="B992" s="67">
        <v>514101115960</v>
      </c>
      <c r="C992" s="14" t="s">
        <v>2267</v>
      </c>
      <c r="D992" s="14" t="s">
        <v>22</v>
      </c>
      <c r="E992" s="14" t="s">
        <v>669</v>
      </c>
      <c r="F992" s="15" t="s">
        <v>24</v>
      </c>
      <c r="G992" s="16">
        <v>3500</v>
      </c>
      <c r="H992" s="54" t="s">
        <v>25</v>
      </c>
      <c r="I992" s="54" t="s">
        <v>2496</v>
      </c>
      <c r="J992" s="53">
        <v>71432</v>
      </c>
      <c r="K992" s="53">
        <v>72175</v>
      </c>
      <c r="L992" s="53">
        <v>743</v>
      </c>
      <c r="M992" s="41">
        <v>1262751</v>
      </c>
      <c r="N992" s="102">
        <v>0</v>
      </c>
      <c r="O992" s="102">
        <v>0</v>
      </c>
      <c r="P992" s="102">
        <v>0</v>
      </c>
      <c r="Q992" s="102">
        <v>0</v>
      </c>
      <c r="R992" s="19">
        <f t="shared" si="137"/>
        <v>1262751</v>
      </c>
      <c r="S992" s="19">
        <v>3000</v>
      </c>
      <c r="T992" s="19">
        <f t="shared" si="138"/>
        <v>1265751</v>
      </c>
      <c r="U992" s="105"/>
      <c r="X992" s="10">
        <f t="shared" si="140"/>
        <v>1262751</v>
      </c>
      <c r="Y992" s="2">
        <f t="shared" si="141"/>
        <v>0</v>
      </c>
      <c r="Z992" s="10">
        <f t="shared" si="139"/>
        <v>0</v>
      </c>
    </row>
    <row r="993" spans="1:26" ht="18" customHeight="1" x14ac:dyDescent="0.25">
      <c r="A993" s="11">
        <v>170</v>
      </c>
      <c r="B993" s="67">
        <v>514101115978</v>
      </c>
      <c r="C993" s="14" t="s">
        <v>2497</v>
      </c>
      <c r="D993" s="14" t="s">
        <v>22</v>
      </c>
      <c r="E993" s="14" t="s">
        <v>2347</v>
      </c>
      <c r="F993" s="15" t="s">
        <v>24</v>
      </c>
      <c r="G993" s="16">
        <v>4400</v>
      </c>
      <c r="H993" s="54" t="s">
        <v>25</v>
      </c>
      <c r="I993" s="54" t="s">
        <v>2498</v>
      </c>
      <c r="J993" s="53">
        <v>72025</v>
      </c>
      <c r="K993" s="53">
        <v>72869</v>
      </c>
      <c r="L993" s="53">
        <v>844</v>
      </c>
      <c r="M993" s="41">
        <v>1434403</v>
      </c>
      <c r="N993" s="102">
        <v>0</v>
      </c>
      <c r="O993" s="102">
        <v>0</v>
      </c>
      <c r="P993" s="102">
        <v>0</v>
      </c>
      <c r="Q993" s="102">
        <v>0</v>
      </c>
      <c r="R993" s="19">
        <f t="shared" si="137"/>
        <v>1434403</v>
      </c>
      <c r="S993" s="19">
        <v>3000</v>
      </c>
      <c r="T993" s="19">
        <f t="shared" si="138"/>
        <v>1437403</v>
      </c>
      <c r="U993" s="105"/>
      <c r="X993" s="10">
        <f t="shared" si="140"/>
        <v>1434403</v>
      </c>
      <c r="Y993" s="2">
        <f t="shared" si="141"/>
        <v>0</v>
      </c>
      <c r="Z993" s="10">
        <f t="shared" si="139"/>
        <v>0</v>
      </c>
    </row>
    <row r="994" spans="1:26" ht="18" customHeight="1" x14ac:dyDescent="0.25">
      <c r="A994" s="11">
        <v>171</v>
      </c>
      <c r="B994" s="67">
        <v>514101115986</v>
      </c>
      <c r="C994" s="14" t="s">
        <v>2463</v>
      </c>
      <c r="D994" s="14" t="s">
        <v>22</v>
      </c>
      <c r="E994" s="14" t="s">
        <v>2444</v>
      </c>
      <c r="F994" s="15" t="s">
        <v>24</v>
      </c>
      <c r="G994" s="16">
        <v>5500</v>
      </c>
      <c r="H994" s="54" t="s">
        <v>25</v>
      </c>
      <c r="I994" s="54" t="s">
        <v>2499</v>
      </c>
      <c r="J994" s="53">
        <v>72001</v>
      </c>
      <c r="K994" s="53">
        <v>74101</v>
      </c>
      <c r="L994" s="53">
        <v>2100</v>
      </c>
      <c r="M994" s="41">
        <v>3569013</v>
      </c>
      <c r="N994" s="102">
        <v>0</v>
      </c>
      <c r="O994" s="102">
        <v>0</v>
      </c>
      <c r="P994" s="102">
        <v>0</v>
      </c>
      <c r="Q994" s="102">
        <v>0</v>
      </c>
      <c r="R994" s="19">
        <f t="shared" si="137"/>
        <v>3569013</v>
      </c>
      <c r="S994" s="19">
        <v>3000</v>
      </c>
      <c r="T994" s="19">
        <f t="shared" si="138"/>
        <v>3572013</v>
      </c>
      <c r="U994" s="105"/>
      <c r="X994" s="10">
        <f t="shared" si="140"/>
        <v>3569013</v>
      </c>
      <c r="Y994" s="2">
        <f t="shared" si="141"/>
        <v>0</v>
      </c>
      <c r="Z994" s="10">
        <f t="shared" si="139"/>
        <v>0</v>
      </c>
    </row>
    <row r="995" spans="1:26" ht="18" customHeight="1" x14ac:dyDescent="0.25">
      <c r="A995" s="11">
        <v>172</v>
      </c>
      <c r="B995" s="67">
        <v>514101115994</v>
      </c>
      <c r="C995" s="14" t="s">
        <v>2308</v>
      </c>
      <c r="D995" s="14" t="s">
        <v>22</v>
      </c>
      <c r="E995" s="14" t="s">
        <v>2233</v>
      </c>
      <c r="F995" s="15" t="s">
        <v>24</v>
      </c>
      <c r="G995" s="16">
        <v>3500</v>
      </c>
      <c r="H995" s="54" t="s">
        <v>25</v>
      </c>
      <c r="I995" s="54" t="s">
        <v>2500</v>
      </c>
      <c r="J995" s="53">
        <v>90119</v>
      </c>
      <c r="K995" s="53">
        <v>91262</v>
      </c>
      <c r="L995" s="53">
        <v>1143</v>
      </c>
      <c r="M995" s="41">
        <v>1942563</v>
      </c>
      <c r="N995" s="102">
        <v>0</v>
      </c>
      <c r="O995" s="102">
        <v>0</v>
      </c>
      <c r="P995" s="102">
        <v>0</v>
      </c>
      <c r="Q995" s="102">
        <v>0</v>
      </c>
      <c r="R995" s="19">
        <f t="shared" si="137"/>
        <v>1942563</v>
      </c>
      <c r="S995" s="19">
        <v>3000</v>
      </c>
      <c r="T995" s="19">
        <f t="shared" si="138"/>
        <v>1945563</v>
      </c>
      <c r="U995" s="105"/>
      <c r="X995" s="10">
        <f t="shared" si="140"/>
        <v>1942563</v>
      </c>
      <c r="Y995" s="2">
        <f t="shared" si="141"/>
        <v>0</v>
      </c>
      <c r="Z995" s="10">
        <f t="shared" si="139"/>
        <v>0</v>
      </c>
    </row>
    <row r="996" spans="1:26" ht="18" customHeight="1" x14ac:dyDescent="0.25">
      <c r="A996" s="11">
        <v>173</v>
      </c>
      <c r="B996" s="67">
        <v>514101116004</v>
      </c>
      <c r="C996" s="14" t="s">
        <v>2367</v>
      </c>
      <c r="D996" s="14" t="s">
        <v>22</v>
      </c>
      <c r="E996" s="14" t="s">
        <v>2321</v>
      </c>
      <c r="F996" s="15" t="s">
        <v>24</v>
      </c>
      <c r="G996" s="16">
        <v>2200</v>
      </c>
      <c r="H996" s="54" t="s">
        <v>25</v>
      </c>
      <c r="I996" s="54" t="s">
        <v>2501</v>
      </c>
      <c r="J996" s="53">
        <v>34317</v>
      </c>
      <c r="K996" s="53">
        <v>34717</v>
      </c>
      <c r="L996" s="53">
        <v>400</v>
      </c>
      <c r="M996" s="41">
        <v>679812</v>
      </c>
      <c r="N996" s="102">
        <v>0</v>
      </c>
      <c r="O996" s="102">
        <v>0</v>
      </c>
      <c r="P996" s="102">
        <v>0</v>
      </c>
      <c r="Q996" s="102">
        <v>0</v>
      </c>
      <c r="R996" s="19">
        <f t="shared" si="137"/>
        <v>679812</v>
      </c>
      <c r="S996" s="19">
        <v>3000</v>
      </c>
      <c r="T996" s="19">
        <f t="shared" si="138"/>
        <v>682812</v>
      </c>
      <c r="U996" s="105"/>
      <c r="X996" s="10">
        <f t="shared" si="140"/>
        <v>679812</v>
      </c>
      <c r="Y996" s="2">
        <f t="shared" si="141"/>
        <v>0</v>
      </c>
      <c r="Z996" s="10">
        <f t="shared" si="139"/>
        <v>0</v>
      </c>
    </row>
    <row r="997" spans="1:26" ht="18" customHeight="1" x14ac:dyDescent="0.25">
      <c r="A997" s="11">
        <v>174</v>
      </c>
      <c r="B997" s="67">
        <v>514101116012</v>
      </c>
      <c r="C997" s="14" t="s">
        <v>2502</v>
      </c>
      <c r="D997" s="14" t="s">
        <v>22</v>
      </c>
      <c r="E997" s="14" t="s">
        <v>2503</v>
      </c>
      <c r="F997" s="15" t="s">
        <v>24</v>
      </c>
      <c r="G997" s="16">
        <v>4400</v>
      </c>
      <c r="H997" s="54" t="s">
        <v>25</v>
      </c>
      <c r="I997" s="54" t="s">
        <v>2504</v>
      </c>
      <c r="J997" s="53">
        <v>78953</v>
      </c>
      <c r="K997" s="53">
        <v>80116</v>
      </c>
      <c r="L997" s="53">
        <v>1163</v>
      </c>
      <c r="M997" s="41">
        <v>1976553</v>
      </c>
      <c r="N997" s="102">
        <v>0</v>
      </c>
      <c r="O997" s="102">
        <v>0</v>
      </c>
      <c r="P997" s="102">
        <v>0</v>
      </c>
      <c r="Q997" s="102">
        <v>0</v>
      </c>
      <c r="R997" s="19">
        <f t="shared" si="137"/>
        <v>1976553</v>
      </c>
      <c r="S997" s="19">
        <v>3000</v>
      </c>
      <c r="T997" s="19">
        <f t="shared" si="138"/>
        <v>1979553</v>
      </c>
      <c r="U997" s="105"/>
      <c r="X997" s="10">
        <f t="shared" si="140"/>
        <v>1976553</v>
      </c>
      <c r="Y997" s="2">
        <f t="shared" si="141"/>
        <v>0</v>
      </c>
      <c r="Z997" s="10">
        <f t="shared" si="139"/>
        <v>0</v>
      </c>
    </row>
    <row r="998" spans="1:26" ht="18" customHeight="1" x14ac:dyDescent="0.25">
      <c r="A998" s="11">
        <v>175</v>
      </c>
      <c r="B998" s="67">
        <v>514101116020</v>
      </c>
      <c r="C998" s="14" t="s">
        <v>2505</v>
      </c>
      <c r="D998" s="14" t="s">
        <v>22</v>
      </c>
      <c r="E998" s="14" t="s">
        <v>2347</v>
      </c>
      <c r="F998" s="15" t="s">
        <v>24</v>
      </c>
      <c r="G998" s="16">
        <v>4400</v>
      </c>
      <c r="H998" s="54" t="s">
        <v>25</v>
      </c>
      <c r="I998" s="54" t="s">
        <v>2506</v>
      </c>
      <c r="J998" s="53">
        <v>13906</v>
      </c>
      <c r="K998" s="53">
        <v>15421</v>
      </c>
      <c r="L998" s="53">
        <v>1515</v>
      </c>
      <c r="M998" s="41">
        <v>2574788</v>
      </c>
      <c r="N998" s="102">
        <v>0</v>
      </c>
      <c r="O998" s="102">
        <v>0</v>
      </c>
      <c r="P998" s="102">
        <v>0</v>
      </c>
      <c r="Q998" s="102">
        <v>0</v>
      </c>
      <c r="R998" s="19">
        <f t="shared" si="137"/>
        <v>2574788</v>
      </c>
      <c r="S998" s="19">
        <v>3000</v>
      </c>
      <c r="T998" s="19">
        <f t="shared" si="138"/>
        <v>2577788</v>
      </c>
      <c r="U998" s="105"/>
      <c r="X998" s="10">
        <f t="shared" si="140"/>
        <v>2574788</v>
      </c>
      <c r="Y998" s="2">
        <f t="shared" si="141"/>
        <v>0</v>
      </c>
      <c r="Z998" s="10">
        <f t="shared" si="139"/>
        <v>0</v>
      </c>
    </row>
    <row r="999" spans="1:26" ht="18" customHeight="1" x14ac:dyDescent="0.25">
      <c r="A999" s="11">
        <v>176</v>
      </c>
      <c r="B999" s="67">
        <v>514101116038</v>
      </c>
      <c r="C999" s="14" t="s">
        <v>2507</v>
      </c>
      <c r="D999" s="14" t="s">
        <v>22</v>
      </c>
      <c r="E999" s="14" t="s">
        <v>2508</v>
      </c>
      <c r="F999" s="15" t="s">
        <v>24</v>
      </c>
      <c r="G999" s="16">
        <v>3500</v>
      </c>
      <c r="H999" s="54" t="s">
        <v>25</v>
      </c>
      <c r="I999" s="54" t="s">
        <v>2509</v>
      </c>
      <c r="J999" s="53">
        <v>73759</v>
      </c>
      <c r="K999" s="53">
        <v>74741</v>
      </c>
      <c r="L999" s="53">
        <v>982</v>
      </c>
      <c r="M999" s="41">
        <v>1668938</v>
      </c>
      <c r="N999" s="102">
        <v>0</v>
      </c>
      <c r="O999" s="102">
        <v>0</v>
      </c>
      <c r="P999" s="102">
        <v>0</v>
      </c>
      <c r="Q999" s="102">
        <v>0</v>
      </c>
      <c r="R999" s="19">
        <f t="shared" si="137"/>
        <v>1668938</v>
      </c>
      <c r="S999" s="19">
        <v>3000</v>
      </c>
      <c r="T999" s="19">
        <f t="shared" si="138"/>
        <v>1671938</v>
      </c>
      <c r="U999" s="105"/>
      <c r="X999" s="10">
        <f t="shared" si="140"/>
        <v>1668938</v>
      </c>
      <c r="Y999" s="2">
        <f t="shared" si="141"/>
        <v>0</v>
      </c>
      <c r="Z999" s="10">
        <f t="shared" si="139"/>
        <v>0</v>
      </c>
    </row>
    <row r="1000" spans="1:26" ht="18" customHeight="1" x14ac:dyDescent="0.25">
      <c r="A1000" s="11">
        <v>177</v>
      </c>
      <c r="B1000" s="67">
        <v>514101116046</v>
      </c>
      <c r="C1000" s="14" t="s">
        <v>2510</v>
      </c>
      <c r="D1000" s="14" t="s">
        <v>22</v>
      </c>
      <c r="E1000" s="14" t="s">
        <v>2086</v>
      </c>
      <c r="F1000" s="15" t="s">
        <v>24</v>
      </c>
      <c r="G1000" s="16">
        <v>5500</v>
      </c>
      <c r="H1000" s="54" t="s">
        <v>25</v>
      </c>
      <c r="I1000" s="54" t="s">
        <v>2511</v>
      </c>
      <c r="J1000" s="53">
        <v>53310</v>
      </c>
      <c r="K1000" s="53">
        <v>55170</v>
      </c>
      <c r="L1000" s="53">
        <v>1860</v>
      </c>
      <c r="M1000" s="41">
        <v>3161126</v>
      </c>
      <c r="N1000" s="102">
        <v>0</v>
      </c>
      <c r="O1000" s="102">
        <v>0</v>
      </c>
      <c r="P1000" s="102">
        <v>0</v>
      </c>
      <c r="Q1000" s="102">
        <v>0</v>
      </c>
      <c r="R1000" s="19">
        <f t="shared" si="137"/>
        <v>3161126</v>
      </c>
      <c r="S1000" s="19">
        <v>3000</v>
      </c>
      <c r="T1000" s="19">
        <f t="shared" si="138"/>
        <v>3164126</v>
      </c>
      <c r="U1000" s="105"/>
      <c r="X1000" s="10">
        <f t="shared" si="140"/>
        <v>3161126</v>
      </c>
      <c r="Y1000" s="2">
        <f t="shared" si="141"/>
        <v>0</v>
      </c>
      <c r="Z1000" s="10">
        <f t="shared" si="139"/>
        <v>0</v>
      </c>
    </row>
    <row r="1001" spans="1:26" ht="18" customHeight="1" x14ac:dyDescent="0.25">
      <c r="A1001" s="11">
        <v>178</v>
      </c>
      <c r="B1001" s="67">
        <v>514101116053</v>
      </c>
      <c r="C1001" s="14" t="s">
        <v>279</v>
      </c>
      <c r="D1001" s="14" t="s">
        <v>22</v>
      </c>
      <c r="E1001" s="14" t="s">
        <v>280</v>
      </c>
      <c r="F1001" s="15" t="s">
        <v>24</v>
      </c>
      <c r="G1001" s="16">
        <v>3500</v>
      </c>
      <c r="H1001" s="54" t="s">
        <v>25</v>
      </c>
      <c r="I1001" s="54" t="s">
        <v>2512</v>
      </c>
      <c r="J1001" s="53">
        <v>88929</v>
      </c>
      <c r="K1001" s="53">
        <v>90271</v>
      </c>
      <c r="L1001" s="53">
        <v>1342</v>
      </c>
      <c r="M1001" s="41">
        <v>2280769</v>
      </c>
      <c r="N1001" s="102">
        <v>0</v>
      </c>
      <c r="O1001" s="102">
        <v>0</v>
      </c>
      <c r="P1001" s="102">
        <v>0</v>
      </c>
      <c r="Q1001" s="102">
        <v>0</v>
      </c>
      <c r="R1001" s="19">
        <f t="shared" si="137"/>
        <v>2280769</v>
      </c>
      <c r="S1001" s="19">
        <v>3000</v>
      </c>
      <c r="T1001" s="19">
        <f t="shared" si="138"/>
        <v>2283769</v>
      </c>
      <c r="U1001" s="105"/>
      <c r="X1001" s="10">
        <f t="shared" si="140"/>
        <v>2280769</v>
      </c>
      <c r="Y1001" s="2">
        <f t="shared" si="141"/>
        <v>0</v>
      </c>
      <c r="Z1001" s="10">
        <f t="shared" si="139"/>
        <v>0</v>
      </c>
    </row>
    <row r="1002" spans="1:26" ht="18" customHeight="1" x14ac:dyDescent="0.25">
      <c r="A1002" s="11">
        <v>179</v>
      </c>
      <c r="B1002" s="67">
        <v>514101116061</v>
      </c>
      <c r="C1002" s="14" t="s">
        <v>2513</v>
      </c>
      <c r="D1002" s="14" t="s">
        <v>22</v>
      </c>
      <c r="E1002" s="14" t="s">
        <v>2469</v>
      </c>
      <c r="F1002" s="15" t="s">
        <v>24</v>
      </c>
      <c r="G1002" s="16">
        <v>5500</v>
      </c>
      <c r="H1002" s="54" t="s">
        <v>25</v>
      </c>
      <c r="I1002" s="54" t="s">
        <v>2514</v>
      </c>
      <c r="J1002" s="53">
        <v>25539</v>
      </c>
      <c r="K1002" s="53">
        <v>27085</v>
      </c>
      <c r="L1002" s="53">
        <v>1546</v>
      </c>
      <c r="M1002" s="41">
        <v>2627473</v>
      </c>
      <c r="N1002" s="102">
        <v>0</v>
      </c>
      <c r="O1002" s="102">
        <v>0</v>
      </c>
      <c r="P1002" s="102">
        <v>0</v>
      </c>
      <c r="Q1002" s="102">
        <v>0</v>
      </c>
      <c r="R1002" s="19">
        <f t="shared" si="137"/>
        <v>2627473</v>
      </c>
      <c r="S1002" s="19">
        <v>3000</v>
      </c>
      <c r="T1002" s="19">
        <f t="shared" si="138"/>
        <v>2630473</v>
      </c>
      <c r="U1002" s="105"/>
      <c r="X1002" s="10">
        <f t="shared" si="140"/>
        <v>2627473</v>
      </c>
      <c r="Y1002" s="2">
        <f t="shared" si="141"/>
        <v>0</v>
      </c>
      <c r="Z1002" s="10">
        <f t="shared" si="139"/>
        <v>0</v>
      </c>
    </row>
    <row r="1003" spans="1:26" ht="18" customHeight="1" x14ac:dyDescent="0.25">
      <c r="A1003" s="11">
        <v>180</v>
      </c>
      <c r="B1003" s="67">
        <v>514101116079</v>
      </c>
      <c r="C1003" s="14" t="s">
        <v>2515</v>
      </c>
      <c r="D1003" s="14" t="s">
        <v>22</v>
      </c>
      <c r="E1003" s="14" t="s">
        <v>2476</v>
      </c>
      <c r="F1003" s="15" t="s">
        <v>24</v>
      </c>
      <c r="G1003" s="16">
        <v>3500</v>
      </c>
      <c r="H1003" s="54" t="s">
        <v>25</v>
      </c>
      <c r="I1003" s="54" t="s">
        <v>2516</v>
      </c>
      <c r="J1003" s="53">
        <v>9702</v>
      </c>
      <c r="K1003" s="53">
        <v>11135</v>
      </c>
      <c r="L1003" s="53">
        <v>1433</v>
      </c>
      <c r="M1003" s="41">
        <v>2435426</v>
      </c>
      <c r="N1003" s="102">
        <v>0</v>
      </c>
      <c r="O1003" s="102">
        <v>0</v>
      </c>
      <c r="P1003" s="102">
        <v>0</v>
      </c>
      <c r="Q1003" s="102">
        <v>0</v>
      </c>
      <c r="R1003" s="19">
        <f t="shared" si="137"/>
        <v>2435426</v>
      </c>
      <c r="S1003" s="19">
        <v>3000</v>
      </c>
      <c r="T1003" s="19">
        <f t="shared" si="138"/>
        <v>2438426</v>
      </c>
      <c r="U1003" s="105"/>
      <c r="X1003" s="10">
        <f t="shared" si="140"/>
        <v>2435426</v>
      </c>
      <c r="Y1003" s="2">
        <f t="shared" si="141"/>
        <v>0</v>
      </c>
      <c r="Z1003" s="10">
        <f t="shared" si="139"/>
        <v>0</v>
      </c>
    </row>
    <row r="1004" spans="1:26" ht="18" customHeight="1" x14ac:dyDescent="0.25">
      <c r="A1004" s="11">
        <v>181</v>
      </c>
      <c r="B1004" s="67">
        <v>514101159169</v>
      </c>
      <c r="C1004" s="14" t="s">
        <v>2517</v>
      </c>
      <c r="D1004" s="14" t="s">
        <v>22</v>
      </c>
      <c r="E1004" s="14" t="s">
        <v>2518</v>
      </c>
      <c r="F1004" s="15" t="s">
        <v>24</v>
      </c>
      <c r="G1004" s="16">
        <v>5500</v>
      </c>
      <c r="H1004" s="54" t="s">
        <v>25</v>
      </c>
      <c r="I1004" s="54" t="s">
        <v>2519</v>
      </c>
      <c r="J1004" s="53">
        <v>63531</v>
      </c>
      <c r="K1004" s="53">
        <v>64364</v>
      </c>
      <c r="L1004" s="53">
        <v>833</v>
      </c>
      <c r="M1004" s="41">
        <v>1415708</v>
      </c>
      <c r="N1004" s="102">
        <v>0</v>
      </c>
      <c r="O1004" s="102">
        <v>0</v>
      </c>
      <c r="P1004" s="102">
        <v>0</v>
      </c>
      <c r="Q1004" s="102">
        <v>0</v>
      </c>
      <c r="R1004" s="19">
        <f t="shared" si="137"/>
        <v>1415708</v>
      </c>
      <c r="S1004" s="19">
        <v>3000</v>
      </c>
      <c r="T1004" s="19">
        <f t="shared" si="138"/>
        <v>1418708</v>
      </c>
      <c r="U1004" s="105"/>
      <c r="X1004" s="10">
        <f t="shared" si="140"/>
        <v>1415708</v>
      </c>
      <c r="Y1004" s="2">
        <f t="shared" si="141"/>
        <v>0</v>
      </c>
      <c r="Z1004" s="10">
        <f t="shared" si="139"/>
        <v>0</v>
      </c>
    </row>
    <row r="1005" spans="1:26" ht="18" customHeight="1" x14ac:dyDescent="0.25">
      <c r="A1005" s="11">
        <v>182</v>
      </c>
      <c r="B1005" s="67">
        <v>514101197449</v>
      </c>
      <c r="C1005" s="14" t="s">
        <v>2520</v>
      </c>
      <c r="D1005" s="14" t="s">
        <v>22</v>
      </c>
      <c r="E1005" s="14" t="s">
        <v>2329</v>
      </c>
      <c r="F1005" s="15" t="s">
        <v>24</v>
      </c>
      <c r="G1005" s="16">
        <v>2200</v>
      </c>
      <c r="H1005" s="54" t="s">
        <v>25</v>
      </c>
      <c r="I1005" s="54" t="s">
        <v>2521</v>
      </c>
      <c r="J1005" s="53">
        <v>51567</v>
      </c>
      <c r="K1005" s="53">
        <v>52331</v>
      </c>
      <c r="L1005" s="53">
        <v>764</v>
      </c>
      <c r="M1005" s="41">
        <v>1298441</v>
      </c>
      <c r="N1005" s="102">
        <v>0</v>
      </c>
      <c r="O1005" s="102">
        <v>0</v>
      </c>
      <c r="P1005" s="102">
        <v>0</v>
      </c>
      <c r="Q1005" s="102">
        <v>0</v>
      </c>
      <c r="R1005" s="19">
        <f t="shared" si="137"/>
        <v>1298441</v>
      </c>
      <c r="S1005" s="19">
        <v>3000</v>
      </c>
      <c r="T1005" s="19">
        <f t="shared" si="138"/>
        <v>1301441</v>
      </c>
      <c r="U1005" s="105"/>
      <c r="X1005" s="10">
        <f t="shared" si="140"/>
        <v>1298441</v>
      </c>
      <c r="Y1005" s="2">
        <f t="shared" si="141"/>
        <v>0</v>
      </c>
      <c r="Z1005" s="10">
        <f t="shared" si="139"/>
        <v>0</v>
      </c>
    </row>
    <row r="1006" spans="1:26" ht="18" customHeight="1" x14ac:dyDescent="0.25">
      <c r="A1006" s="11">
        <v>183</v>
      </c>
      <c r="B1006" s="67">
        <v>514101197431</v>
      </c>
      <c r="C1006" s="14" t="s">
        <v>2522</v>
      </c>
      <c r="D1006" s="14" t="s">
        <v>22</v>
      </c>
      <c r="E1006" s="14" t="s">
        <v>2329</v>
      </c>
      <c r="F1006" s="15" t="s">
        <v>24</v>
      </c>
      <c r="G1006" s="16">
        <v>2200</v>
      </c>
      <c r="H1006" s="54" t="s">
        <v>25</v>
      </c>
      <c r="I1006" s="54" t="s">
        <v>2523</v>
      </c>
      <c r="J1006" s="53">
        <v>47431</v>
      </c>
      <c r="K1006" s="53">
        <v>48191</v>
      </c>
      <c r="L1006" s="53">
        <v>760</v>
      </c>
      <c r="M1006" s="41">
        <v>1291643</v>
      </c>
      <c r="N1006" s="102">
        <v>0</v>
      </c>
      <c r="O1006" s="102">
        <v>0</v>
      </c>
      <c r="P1006" s="102">
        <v>0</v>
      </c>
      <c r="Q1006" s="102">
        <v>0</v>
      </c>
      <c r="R1006" s="19">
        <f t="shared" si="137"/>
        <v>1291643</v>
      </c>
      <c r="S1006" s="19">
        <v>3000</v>
      </c>
      <c r="T1006" s="19">
        <f t="shared" si="138"/>
        <v>1294643</v>
      </c>
      <c r="U1006" s="105"/>
      <c r="X1006" s="10">
        <f t="shared" si="140"/>
        <v>1291643</v>
      </c>
      <c r="Y1006" s="2">
        <f t="shared" si="141"/>
        <v>0</v>
      </c>
      <c r="Z1006" s="10">
        <f t="shared" si="139"/>
        <v>0</v>
      </c>
    </row>
    <row r="1007" spans="1:26" ht="18" customHeight="1" x14ac:dyDescent="0.25">
      <c r="A1007" s="11">
        <v>184</v>
      </c>
      <c r="B1007" s="67">
        <v>514101197423</v>
      </c>
      <c r="C1007" s="14" t="s">
        <v>2524</v>
      </c>
      <c r="D1007" s="14" t="s">
        <v>22</v>
      </c>
      <c r="E1007" s="14" t="s">
        <v>2329</v>
      </c>
      <c r="F1007" s="15" t="s">
        <v>24</v>
      </c>
      <c r="G1007" s="16">
        <v>2200</v>
      </c>
      <c r="H1007" s="54" t="s">
        <v>25</v>
      </c>
      <c r="I1007" s="54" t="s">
        <v>2525</v>
      </c>
      <c r="J1007" s="53">
        <v>47734</v>
      </c>
      <c r="K1007" s="53">
        <v>48556</v>
      </c>
      <c r="L1007" s="53">
        <v>822</v>
      </c>
      <c r="M1007" s="41">
        <v>1397014</v>
      </c>
      <c r="N1007" s="102">
        <v>0</v>
      </c>
      <c r="O1007" s="102">
        <v>0</v>
      </c>
      <c r="P1007" s="102">
        <v>0</v>
      </c>
      <c r="Q1007" s="102">
        <v>0</v>
      </c>
      <c r="R1007" s="19">
        <f t="shared" si="137"/>
        <v>1397014</v>
      </c>
      <c r="S1007" s="19">
        <v>3000</v>
      </c>
      <c r="T1007" s="19">
        <f t="shared" si="138"/>
        <v>1400014</v>
      </c>
      <c r="U1007" s="105"/>
      <c r="X1007" s="10">
        <f t="shared" si="140"/>
        <v>1397014</v>
      </c>
      <c r="Y1007" s="2">
        <f t="shared" si="141"/>
        <v>0</v>
      </c>
      <c r="Z1007" s="10">
        <f t="shared" si="139"/>
        <v>0</v>
      </c>
    </row>
    <row r="1008" spans="1:26" ht="18" customHeight="1" x14ac:dyDescent="0.25">
      <c r="A1008" s="11">
        <v>185</v>
      </c>
      <c r="B1008" s="67">
        <v>514101238801</v>
      </c>
      <c r="C1008" s="14" t="s">
        <v>2526</v>
      </c>
      <c r="D1008" s="14" t="s">
        <v>22</v>
      </c>
      <c r="E1008" s="14" t="s">
        <v>2527</v>
      </c>
      <c r="F1008" s="15" t="s">
        <v>24</v>
      </c>
      <c r="G1008" s="16">
        <v>1300</v>
      </c>
      <c r="H1008" s="54" t="s">
        <v>25</v>
      </c>
      <c r="I1008" s="54" t="s">
        <v>2528</v>
      </c>
      <c r="J1008" s="53">
        <v>4053</v>
      </c>
      <c r="K1008" s="53">
        <v>4087</v>
      </c>
      <c r="L1008" s="53">
        <v>52</v>
      </c>
      <c r="M1008" s="41">
        <v>88376</v>
      </c>
      <c r="N1008" s="102">
        <v>0</v>
      </c>
      <c r="O1008" s="102">
        <v>0</v>
      </c>
      <c r="P1008" s="102">
        <v>0</v>
      </c>
      <c r="Q1008" s="102">
        <v>0</v>
      </c>
      <c r="R1008" s="19">
        <f t="shared" si="137"/>
        <v>88376</v>
      </c>
      <c r="S1008" s="19">
        <v>3000</v>
      </c>
      <c r="T1008" s="19">
        <f t="shared" si="138"/>
        <v>91376</v>
      </c>
      <c r="U1008" s="105"/>
      <c r="X1008" s="10">
        <f t="shared" si="140"/>
        <v>88376</v>
      </c>
      <c r="Y1008" s="2">
        <f t="shared" si="141"/>
        <v>0</v>
      </c>
      <c r="Z1008" s="10">
        <f t="shared" si="139"/>
        <v>0</v>
      </c>
    </row>
    <row r="1009" spans="1:26" ht="18" customHeight="1" x14ac:dyDescent="0.25">
      <c r="A1009" s="11">
        <v>186</v>
      </c>
      <c r="B1009" s="67">
        <v>514101297015</v>
      </c>
      <c r="C1009" s="14" t="s">
        <v>2529</v>
      </c>
      <c r="D1009" s="14" t="s">
        <v>22</v>
      </c>
      <c r="E1009" s="14" t="s">
        <v>2530</v>
      </c>
      <c r="F1009" s="15" t="s">
        <v>24</v>
      </c>
      <c r="G1009" s="16">
        <v>900</v>
      </c>
      <c r="H1009" s="54" t="s">
        <v>25</v>
      </c>
      <c r="I1009" s="54" t="s">
        <v>2531</v>
      </c>
      <c r="J1009" s="53">
        <v>1296</v>
      </c>
      <c r="K1009" s="53">
        <v>1351</v>
      </c>
      <c r="L1009" s="53">
        <v>55</v>
      </c>
      <c r="M1009" s="41">
        <v>93474</v>
      </c>
      <c r="N1009" s="102">
        <v>0</v>
      </c>
      <c r="O1009" s="102">
        <v>0</v>
      </c>
      <c r="P1009" s="102">
        <v>0</v>
      </c>
      <c r="Q1009" s="102">
        <v>0</v>
      </c>
      <c r="R1009" s="19">
        <f t="shared" si="137"/>
        <v>93474</v>
      </c>
      <c r="S1009" s="19">
        <v>3000</v>
      </c>
      <c r="T1009" s="19">
        <f t="shared" si="138"/>
        <v>96474</v>
      </c>
      <c r="U1009" s="105"/>
      <c r="X1009" s="10">
        <f t="shared" si="140"/>
        <v>93474</v>
      </c>
      <c r="Y1009" s="2">
        <f t="shared" si="141"/>
        <v>0</v>
      </c>
      <c r="Z1009" s="10">
        <f t="shared" si="139"/>
        <v>0</v>
      </c>
    </row>
    <row r="1010" spans="1:26" ht="18" customHeight="1" x14ac:dyDescent="0.25">
      <c r="A1010" s="11">
        <v>187</v>
      </c>
      <c r="B1010" s="67">
        <v>514100944013</v>
      </c>
      <c r="C1010" s="14" t="s">
        <v>2532</v>
      </c>
      <c r="D1010" s="14" t="s">
        <v>22</v>
      </c>
      <c r="E1010" s="14" t="s">
        <v>2533</v>
      </c>
      <c r="F1010" s="15" t="s">
        <v>24</v>
      </c>
      <c r="G1010" s="16">
        <v>450</v>
      </c>
      <c r="H1010" s="54" t="s">
        <v>25</v>
      </c>
      <c r="I1010" s="54" t="s">
        <v>2534</v>
      </c>
      <c r="J1010" s="53">
        <v>753</v>
      </c>
      <c r="K1010" s="53">
        <v>813</v>
      </c>
      <c r="L1010" s="53">
        <v>60</v>
      </c>
      <c r="M1010" s="41">
        <v>101972</v>
      </c>
      <c r="N1010" s="102">
        <v>0</v>
      </c>
      <c r="O1010" s="102">
        <v>0</v>
      </c>
      <c r="P1010" s="102">
        <v>0</v>
      </c>
      <c r="Q1010" s="102">
        <v>0</v>
      </c>
      <c r="R1010" s="19">
        <f t="shared" si="137"/>
        <v>101972</v>
      </c>
      <c r="S1010" s="19">
        <v>3000</v>
      </c>
      <c r="T1010" s="19">
        <f t="shared" si="138"/>
        <v>104972</v>
      </c>
      <c r="U1010" s="105"/>
      <c r="X1010" s="10">
        <f t="shared" si="140"/>
        <v>101972</v>
      </c>
      <c r="Y1010" s="2">
        <f t="shared" si="141"/>
        <v>0</v>
      </c>
      <c r="Z1010" s="10">
        <f t="shared" si="139"/>
        <v>0</v>
      </c>
    </row>
    <row r="1011" spans="1:26" ht="18" customHeight="1" x14ac:dyDescent="0.25">
      <c r="A1011" s="11">
        <v>188</v>
      </c>
      <c r="B1011" s="67">
        <v>514101176958</v>
      </c>
      <c r="C1011" s="14" t="s">
        <v>2535</v>
      </c>
      <c r="D1011" s="14" t="s">
        <v>22</v>
      </c>
      <c r="E1011" s="14" t="s">
        <v>2536</v>
      </c>
      <c r="F1011" s="15" t="s">
        <v>24</v>
      </c>
      <c r="G1011" s="16">
        <v>900</v>
      </c>
      <c r="H1011" s="54" t="s">
        <v>25</v>
      </c>
      <c r="I1011" s="54" t="s">
        <v>2537</v>
      </c>
      <c r="J1011" s="53">
        <v>1504</v>
      </c>
      <c r="K1011" s="53">
        <v>1607</v>
      </c>
      <c r="L1011" s="53">
        <v>103</v>
      </c>
      <c r="M1011" s="41">
        <v>175052</v>
      </c>
      <c r="N1011" s="102">
        <v>0</v>
      </c>
      <c r="O1011" s="102">
        <v>0</v>
      </c>
      <c r="P1011" s="102">
        <v>0</v>
      </c>
      <c r="Q1011" s="102">
        <v>0</v>
      </c>
      <c r="R1011" s="19">
        <f t="shared" si="137"/>
        <v>175052</v>
      </c>
      <c r="S1011" s="19">
        <v>3000</v>
      </c>
      <c r="T1011" s="19">
        <f t="shared" si="138"/>
        <v>178052</v>
      </c>
      <c r="U1011" s="105"/>
      <c r="X1011" s="10">
        <f t="shared" si="140"/>
        <v>175052</v>
      </c>
      <c r="Y1011" s="2">
        <f t="shared" si="141"/>
        <v>0</v>
      </c>
      <c r="Z1011" s="10">
        <f t="shared" si="139"/>
        <v>0</v>
      </c>
    </row>
    <row r="1012" spans="1:26" ht="18" customHeight="1" x14ac:dyDescent="0.25">
      <c r="A1012" s="11">
        <v>189</v>
      </c>
      <c r="B1012" s="67">
        <v>514101187361</v>
      </c>
      <c r="C1012" s="14" t="s">
        <v>2538</v>
      </c>
      <c r="D1012" s="14" t="s">
        <v>22</v>
      </c>
      <c r="E1012" s="14" t="s">
        <v>2539</v>
      </c>
      <c r="F1012" s="15" t="s">
        <v>24</v>
      </c>
      <c r="G1012" s="16">
        <v>900</v>
      </c>
      <c r="H1012" s="54" t="s">
        <v>25</v>
      </c>
      <c r="I1012" s="54" t="s">
        <v>2540</v>
      </c>
      <c r="J1012" s="53">
        <v>409</v>
      </c>
      <c r="K1012" s="53">
        <v>469</v>
      </c>
      <c r="L1012" s="53">
        <v>60</v>
      </c>
      <c r="M1012" s="41">
        <v>101972</v>
      </c>
      <c r="N1012" s="102">
        <v>0</v>
      </c>
      <c r="O1012" s="102">
        <v>0</v>
      </c>
      <c r="P1012" s="102">
        <v>0</v>
      </c>
      <c r="Q1012" s="102">
        <v>0</v>
      </c>
      <c r="R1012" s="19">
        <f t="shared" si="137"/>
        <v>101972</v>
      </c>
      <c r="S1012" s="19">
        <v>3000</v>
      </c>
      <c r="T1012" s="19">
        <f t="shared" si="138"/>
        <v>104972</v>
      </c>
      <c r="U1012" s="105"/>
      <c r="X1012" s="10">
        <f t="shared" si="140"/>
        <v>101972</v>
      </c>
      <c r="Y1012" s="2">
        <f t="shared" si="141"/>
        <v>0</v>
      </c>
      <c r="Z1012" s="10">
        <f t="shared" si="139"/>
        <v>0</v>
      </c>
    </row>
    <row r="1013" spans="1:26" ht="18" customHeight="1" x14ac:dyDescent="0.25">
      <c r="A1013" s="11">
        <v>190</v>
      </c>
      <c r="B1013" s="67">
        <v>514101217573</v>
      </c>
      <c r="C1013" s="14" t="s">
        <v>2541</v>
      </c>
      <c r="D1013" s="14" t="s">
        <v>22</v>
      </c>
      <c r="E1013" s="14" t="s">
        <v>2542</v>
      </c>
      <c r="F1013" s="15" t="s">
        <v>24</v>
      </c>
      <c r="G1013" s="16">
        <v>1300</v>
      </c>
      <c r="H1013" s="54" t="s">
        <v>25</v>
      </c>
      <c r="I1013" s="54" t="s">
        <v>2543</v>
      </c>
      <c r="J1013" s="53">
        <v>2788</v>
      </c>
      <c r="K1013" s="53">
        <v>2957</v>
      </c>
      <c r="L1013" s="53">
        <v>169</v>
      </c>
      <c r="M1013" s="41">
        <v>287221</v>
      </c>
      <c r="N1013" s="102">
        <v>0</v>
      </c>
      <c r="O1013" s="102">
        <v>0</v>
      </c>
      <c r="P1013" s="102">
        <v>0</v>
      </c>
      <c r="Q1013" s="102">
        <v>0</v>
      </c>
      <c r="R1013" s="19">
        <f t="shared" si="137"/>
        <v>287221</v>
      </c>
      <c r="S1013" s="19">
        <v>3000</v>
      </c>
      <c r="T1013" s="19">
        <f t="shared" si="138"/>
        <v>290221</v>
      </c>
      <c r="U1013" s="105"/>
      <c r="X1013" s="10">
        <f t="shared" si="140"/>
        <v>287221</v>
      </c>
      <c r="Y1013" s="2">
        <f t="shared" si="141"/>
        <v>0</v>
      </c>
      <c r="Z1013" s="10">
        <f t="shared" si="139"/>
        <v>0</v>
      </c>
    </row>
    <row r="1014" spans="1:26" ht="18" customHeight="1" x14ac:dyDescent="0.25">
      <c r="A1014" s="11">
        <v>191</v>
      </c>
      <c r="B1014" s="67">
        <v>514101290225</v>
      </c>
      <c r="C1014" s="14" t="s">
        <v>2544</v>
      </c>
      <c r="D1014" s="14" t="s">
        <v>22</v>
      </c>
      <c r="E1014" s="14" t="s">
        <v>2545</v>
      </c>
      <c r="F1014" s="15" t="s">
        <v>24</v>
      </c>
      <c r="G1014" s="16">
        <v>900</v>
      </c>
      <c r="H1014" s="54" t="s">
        <v>25</v>
      </c>
      <c r="I1014" s="54" t="s">
        <v>2546</v>
      </c>
      <c r="J1014" s="53">
        <v>32</v>
      </c>
      <c r="K1014" s="53">
        <v>32</v>
      </c>
      <c r="L1014" s="53">
        <v>36</v>
      </c>
      <c r="M1014" s="41">
        <v>61183</v>
      </c>
      <c r="N1014" s="102">
        <v>0</v>
      </c>
      <c r="O1014" s="102">
        <v>0</v>
      </c>
      <c r="P1014" s="102">
        <v>0</v>
      </c>
      <c r="Q1014" s="102">
        <v>0</v>
      </c>
      <c r="R1014" s="19">
        <f t="shared" si="137"/>
        <v>61183</v>
      </c>
      <c r="S1014" s="19">
        <v>3000</v>
      </c>
      <c r="T1014" s="19">
        <f t="shared" si="138"/>
        <v>64183</v>
      </c>
      <c r="U1014" s="105"/>
      <c r="X1014" s="10">
        <f t="shared" si="140"/>
        <v>61183</v>
      </c>
      <c r="Y1014" s="2">
        <f t="shared" si="141"/>
        <v>0</v>
      </c>
      <c r="Z1014" s="10">
        <f t="shared" si="139"/>
        <v>0</v>
      </c>
    </row>
    <row r="1015" spans="1:26" ht="18" customHeight="1" x14ac:dyDescent="0.25">
      <c r="A1015" s="11">
        <v>192</v>
      </c>
      <c r="B1015" s="67">
        <v>514101307125</v>
      </c>
      <c r="C1015" s="14" t="s">
        <v>2547</v>
      </c>
      <c r="D1015" s="14" t="s">
        <v>22</v>
      </c>
      <c r="E1015" s="14" t="s">
        <v>2548</v>
      </c>
      <c r="F1015" s="15" t="s">
        <v>24</v>
      </c>
      <c r="G1015" s="16">
        <v>900</v>
      </c>
      <c r="H1015" s="54" t="s">
        <v>25</v>
      </c>
      <c r="I1015" s="54" t="s">
        <v>2549</v>
      </c>
      <c r="J1015" s="53">
        <v>125</v>
      </c>
      <c r="K1015" s="53">
        <v>135</v>
      </c>
      <c r="L1015" s="53">
        <v>36</v>
      </c>
      <c r="M1015" s="41">
        <v>61183</v>
      </c>
      <c r="N1015" s="102">
        <v>0</v>
      </c>
      <c r="O1015" s="102">
        <v>0</v>
      </c>
      <c r="P1015" s="102">
        <v>0</v>
      </c>
      <c r="Q1015" s="102">
        <v>0</v>
      </c>
      <c r="R1015" s="19">
        <f t="shared" si="137"/>
        <v>61183</v>
      </c>
      <c r="S1015" s="19">
        <v>3000</v>
      </c>
      <c r="T1015" s="19">
        <f t="shared" si="138"/>
        <v>64183</v>
      </c>
      <c r="U1015" s="105"/>
      <c r="X1015" s="10">
        <f t="shared" si="140"/>
        <v>61183</v>
      </c>
      <c r="Y1015" s="2">
        <f t="shared" si="141"/>
        <v>0</v>
      </c>
      <c r="Z1015" s="10">
        <f t="shared" si="139"/>
        <v>0</v>
      </c>
    </row>
    <row r="1016" spans="1:26" ht="18" customHeight="1" x14ac:dyDescent="0.25">
      <c r="A1016" s="11">
        <v>193</v>
      </c>
      <c r="B1016" s="67">
        <v>514101171248</v>
      </c>
      <c r="C1016" s="14" t="s">
        <v>2550</v>
      </c>
      <c r="D1016" s="14" t="s">
        <v>22</v>
      </c>
      <c r="E1016" s="14" t="s">
        <v>2227</v>
      </c>
      <c r="F1016" s="15" t="s">
        <v>24</v>
      </c>
      <c r="G1016" s="16">
        <v>1300</v>
      </c>
      <c r="H1016" s="54" t="s">
        <v>25</v>
      </c>
      <c r="I1016" s="54" t="s">
        <v>2551</v>
      </c>
      <c r="J1016" s="53">
        <v>1946</v>
      </c>
      <c r="K1016" s="53">
        <v>2071</v>
      </c>
      <c r="L1016" s="53">
        <v>125</v>
      </c>
      <c r="M1016" s="41">
        <v>212441</v>
      </c>
      <c r="N1016" s="102">
        <v>0</v>
      </c>
      <c r="O1016" s="102">
        <v>0</v>
      </c>
      <c r="P1016" s="102">
        <v>0</v>
      </c>
      <c r="Q1016" s="102">
        <v>0</v>
      </c>
      <c r="R1016" s="19">
        <f t="shared" si="137"/>
        <v>212441</v>
      </c>
      <c r="S1016" s="19">
        <v>3000</v>
      </c>
      <c r="T1016" s="19">
        <f t="shared" si="138"/>
        <v>215441</v>
      </c>
      <c r="U1016" s="105"/>
      <c r="X1016" s="10">
        <f t="shared" si="140"/>
        <v>212441</v>
      </c>
      <c r="Y1016" s="2">
        <f t="shared" si="141"/>
        <v>0</v>
      </c>
      <c r="Z1016" s="10">
        <f t="shared" si="139"/>
        <v>0</v>
      </c>
    </row>
    <row r="1017" spans="1:26" ht="18" customHeight="1" x14ac:dyDescent="0.25">
      <c r="A1017" s="11">
        <v>194</v>
      </c>
      <c r="B1017" s="67">
        <v>514101280745</v>
      </c>
      <c r="C1017" s="53" t="s">
        <v>2552</v>
      </c>
      <c r="D1017" s="14" t="s">
        <v>240</v>
      </c>
      <c r="E1017" s="53" t="s">
        <v>2553</v>
      </c>
      <c r="F1017" s="54" t="s">
        <v>24</v>
      </c>
      <c r="G1017" s="55">
        <v>1300</v>
      </c>
      <c r="H1017" s="52" t="s">
        <v>25</v>
      </c>
      <c r="I1017" s="54" t="s">
        <v>2554</v>
      </c>
      <c r="J1017" s="53">
        <v>102</v>
      </c>
      <c r="K1017" s="53">
        <v>199</v>
      </c>
      <c r="L1017" s="53">
        <v>97</v>
      </c>
      <c r="M1017" s="41">
        <v>164854</v>
      </c>
      <c r="N1017" s="41">
        <v>0</v>
      </c>
      <c r="O1017" s="41">
        <v>0</v>
      </c>
      <c r="P1017" s="102">
        <v>0</v>
      </c>
      <c r="Q1017" s="102">
        <v>0</v>
      </c>
      <c r="R1017" s="19">
        <f t="shared" si="137"/>
        <v>164854</v>
      </c>
      <c r="S1017" s="19">
        <v>3000</v>
      </c>
      <c r="T1017" s="19">
        <f t="shared" si="138"/>
        <v>167854</v>
      </c>
      <c r="U1017" s="105"/>
      <c r="V1017" s="109"/>
      <c r="X1017" s="10">
        <f t="shared" si="140"/>
        <v>164854</v>
      </c>
      <c r="Y1017" s="2">
        <f t="shared" si="141"/>
        <v>0</v>
      </c>
      <c r="Z1017" s="10">
        <f t="shared" si="139"/>
        <v>0</v>
      </c>
    </row>
    <row r="1018" spans="1:26" ht="18" customHeight="1" x14ac:dyDescent="0.25">
      <c r="A1018" s="11">
        <v>195</v>
      </c>
      <c r="B1018" s="110">
        <v>514101192255</v>
      </c>
      <c r="C1018" s="111" t="str">
        <f>VLOOKUP(B1018,[2]MASTER!B:X,2,FALSE)</f>
        <v>PJU GREEN REMBANG PERMAI</v>
      </c>
      <c r="D1018" s="14"/>
      <c r="E1018" s="53" t="s">
        <v>2086</v>
      </c>
      <c r="F1018" s="54" t="s">
        <v>24</v>
      </c>
      <c r="G1018" s="55">
        <v>900</v>
      </c>
      <c r="H1018" s="52" t="s">
        <v>25</v>
      </c>
      <c r="I1018" s="54" t="s">
        <v>2555</v>
      </c>
      <c r="J1018" s="53">
        <v>8</v>
      </c>
      <c r="K1018" s="53">
        <v>89</v>
      </c>
      <c r="L1018" s="53">
        <v>81</v>
      </c>
      <c r="M1018" s="41">
        <v>137662</v>
      </c>
      <c r="N1018" s="41">
        <v>0</v>
      </c>
      <c r="O1018" s="41">
        <v>0</v>
      </c>
      <c r="P1018" s="102">
        <v>0</v>
      </c>
      <c r="Q1018" s="102">
        <v>0</v>
      </c>
      <c r="R1018" s="19">
        <f t="shared" si="137"/>
        <v>137662</v>
      </c>
      <c r="S1018" s="19">
        <v>3000</v>
      </c>
      <c r="T1018" s="19">
        <f t="shared" si="138"/>
        <v>140662</v>
      </c>
      <c r="U1018" s="105"/>
      <c r="V1018" s="109"/>
      <c r="X1018" s="10"/>
      <c r="Z1018" s="10"/>
    </row>
    <row r="1019" spans="1:26" s="25" customFormat="1" ht="18" customHeight="1" x14ac:dyDescent="0.25">
      <c r="A1019" s="11"/>
      <c r="B1019" s="67"/>
      <c r="C1019" s="53"/>
      <c r="D1019" s="13"/>
      <c r="E1019" s="53"/>
      <c r="F1019" s="54"/>
      <c r="G1019" s="55"/>
      <c r="H1019" s="54"/>
      <c r="I1019" s="54"/>
      <c r="J1019" s="53"/>
      <c r="K1019" s="53"/>
      <c r="L1019" s="53"/>
      <c r="M1019" s="41"/>
      <c r="N1019" s="102"/>
      <c r="O1019" s="102"/>
      <c r="P1019" s="102"/>
      <c r="Q1019" s="102"/>
      <c r="R1019" s="19"/>
      <c r="S1019" s="19"/>
      <c r="T1019" s="19"/>
      <c r="U1019" s="105"/>
      <c r="X1019" s="10"/>
      <c r="Y1019" s="2"/>
      <c r="Z1019" s="10"/>
    </row>
    <row r="1020" spans="1:26" s="25" customFormat="1" ht="33.75" customHeight="1" x14ac:dyDescent="0.25">
      <c r="A1020" s="34" t="s">
        <v>2556</v>
      </c>
      <c r="B1020" s="112"/>
      <c r="C1020" s="9"/>
      <c r="D1020" s="9"/>
      <c r="E1020" s="9"/>
      <c r="F1020" s="9"/>
      <c r="G1020" s="36">
        <f>SUM(G983:G1019)</f>
        <v>943010</v>
      </c>
      <c r="H1020" s="36">
        <f t="shared" ref="H1020:R1020" si="142">SUM(H983:H1019)</f>
        <v>0</v>
      </c>
      <c r="I1020" s="36">
        <f t="shared" si="142"/>
        <v>0</v>
      </c>
      <c r="J1020" s="36"/>
      <c r="K1020" s="36"/>
      <c r="L1020" s="36">
        <f t="shared" si="142"/>
        <v>291925</v>
      </c>
      <c r="M1020" s="36">
        <f t="shared" si="142"/>
        <v>496135296</v>
      </c>
      <c r="N1020" s="36">
        <f t="shared" si="142"/>
        <v>0</v>
      </c>
      <c r="O1020" s="36">
        <f t="shared" si="142"/>
        <v>0</v>
      </c>
      <c r="P1020" s="36">
        <f t="shared" si="142"/>
        <v>0</v>
      </c>
      <c r="Q1020" s="36">
        <f t="shared" si="142"/>
        <v>120000</v>
      </c>
      <c r="R1020" s="36">
        <f t="shared" si="142"/>
        <v>496255296</v>
      </c>
      <c r="S1020" s="36">
        <f>SUM(S983:S1019)</f>
        <v>585000</v>
      </c>
      <c r="T1020" s="36">
        <f>SUM(T983:T1019)</f>
        <v>496840296</v>
      </c>
      <c r="U1020" s="36"/>
      <c r="V1020" s="113">
        <f>SUM(V984:V1019)</f>
        <v>0</v>
      </c>
      <c r="W1020" s="114">
        <f>R1020-V1020</f>
        <v>496255296</v>
      </c>
      <c r="X1020" s="10">
        <f t="shared" ref="X1020:X1083" si="143">M1020+N1020+O1020+P1020</f>
        <v>496135296</v>
      </c>
      <c r="Y1020" s="2">
        <f t="shared" ref="Y1020:Y1083" si="144">IF(X1020&gt;5000000,10000,IF(V1020&lt;5000000,0,IF(V1020=5000000,10000)))</f>
        <v>10000</v>
      </c>
      <c r="Z1020" s="10"/>
    </row>
    <row r="1021" spans="1:26" ht="18" customHeight="1" x14ac:dyDescent="0.25">
      <c r="A1021" s="7"/>
      <c r="B1021" s="115"/>
      <c r="C1021" s="7"/>
      <c r="D1021" s="7"/>
      <c r="E1021" s="7"/>
      <c r="F1021" s="7"/>
      <c r="G1021" s="39"/>
      <c r="H1021" s="28"/>
      <c r="I1021" s="7"/>
      <c r="J1021" s="7"/>
      <c r="K1021" s="7"/>
      <c r="L1021" s="28"/>
      <c r="X1021" s="10">
        <f t="shared" si="143"/>
        <v>0</v>
      </c>
      <c r="Y1021" s="2">
        <f t="shared" si="144"/>
        <v>0</v>
      </c>
      <c r="Z1021" s="10"/>
    </row>
    <row r="1022" spans="1:26" ht="18" customHeight="1" x14ac:dyDescent="0.25">
      <c r="A1022" s="87"/>
      <c r="B1022" s="108"/>
      <c r="C1022" s="85"/>
      <c r="D1022" s="85"/>
      <c r="F1022" s="84"/>
      <c r="G1022" s="104"/>
      <c r="H1022" s="31"/>
      <c r="L1022" s="31"/>
      <c r="X1022" s="10">
        <f t="shared" si="143"/>
        <v>0</v>
      </c>
      <c r="Y1022" s="2">
        <f t="shared" si="144"/>
        <v>0</v>
      </c>
      <c r="Z1022" s="10"/>
    </row>
    <row r="1023" spans="1:26" ht="18" customHeight="1" x14ac:dyDescent="0.25">
      <c r="A1023" s="51" t="s">
        <v>2557</v>
      </c>
      <c r="B1023" s="67"/>
      <c r="C1023" s="35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X1023" s="10">
        <f t="shared" si="143"/>
        <v>0</v>
      </c>
      <c r="Y1023" s="2">
        <f t="shared" si="144"/>
        <v>0</v>
      </c>
      <c r="Z1023" s="10"/>
    </row>
    <row r="1024" spans="1:26" s="84" customFormat="1" ht="39" customHeight="1" x14ac:dyDescent="0.25">
      <c r="A1024" s="9" t="s">
        <v>4</v>
      </c>
      <c r="B1024" s="21" t="s">
        <v>5</v>
      </c>
      <c r="C1024" s="21" t="s">
        <v>6</v>
      </c>
      <c r="D1024" s="12"/>
      <c r="E1024" s="9" t="s">
        <v>7</v>
      </c>
      <c r="F1024" s="21" t="s">
        <v>8</v>
      </c>
      <c r="G1024" s="21" t="s">
        <v>9</v>
      </c>
      <c r="H1024" s="21" t="s">
        <v>10</v>
      </c>
      <c r="I1024" s="21" t="s">
        <v>11</v>
      </c>
      <c r="J1024" s="21" t="s">
        <v>12</v>
      </c>
      <c r="K1024" s="21" t="s">
        <v>13</v>
      </c>
      <c r="L1024" s="21" t="s">
        <v>14</v>
      </c>
      <c r="M1024" s="143" t="s">
        <v>15</v>
      </c>
      <c r="N1024" s="144" t="s">
        <v>16</v>
      </c>
      <c r="O1024" s="144" t="s">
        <v>17</v>
      </c>
      <c r="P1024" s="144" t="s">
        <v>18</v>
      </c>
      <c r="Q1024" s="144" t="s">
        <v>19</v>
      </c>
      <c r="R1024" s="143" t="s">
        <v>20</v>
      </c>
      <c r="S1024" s="143" t="s">
        <v>3471</v>
      </c>
      <c r="T1024" s="143" t="s">
        <v>3472</v>
      </c>
      <c r="U1024" s="145"/>
      <c r="V1024" s="145"/>
      <c r="W1024" s="145"/>
      <c r="X1024" s="145"/>
    </row>
    <row r="1025" spans="1:26" ht="18" customHeight="1" x14ac:dyDescent="0.25">
      <c r="A1025" s="51"/>
      <c r="B1025" s="112"/>
      <c r="C1025" s="35"/>
      <c r="D1025" s="35"/>
      <c r="E1025" s="35"/>
      <c r="F1025" s="15"/>
      <c r="G1025" s="45"/>
      <c r="H1025" s="18" t="s">
        <v>0</v>
      </c>
      <c r="I1025" s="15"/>
      <c r="J1025" s="15"/>
      <c r="K1025" s="15"/>
      <c r="L1025" s="18"/>
      <c r="M1025" s="19"/>
      <c r="N1025" s="20"/>
      <c r="O1025" s="20"/>
      <c r="P1025" s="20"/>
      <c r="Q1025" s="20"/>
      <c r="R1025" s="19"/>
      <c r="S1025" s="19"/>
      <c r="T1025" s="19"/>
      <c r="U1025" s="105"/>
      <c r="X1025" s="10">
        <f t="shared" si="143"/>
        <v>0</v>
      </c>
      <c r="Y1025" s="2">
        <f t="shared" si="144"/>
        <v>0</v>
      </c>
      <c r="Z1025" s="10"/>
    </row>
    <row r="1026" spans="1:26" ht="18" customHeight="1" x14ac:dyDescent="0.25">
      <c r="A1026" s="11">
        <v>1</v>
      </c>
      <c r="B1026" s="54" t="s">
        <v>2558</v>
      </c>
      <c r="C1026" s="53" t="s">
        <v>2559</v>
      </c>
      <c r="D1026" s="13" t="s">
        <v>68</v>
      </c>
      <c r="E1026" s="14" t="s">
        <v>2560</v>
      </c>
      <c r="F1026" s="54" t="s">
        <v>24</v>
      </c>
      <c r="G1026" s="116">
        <v>4400</v>
      </c>
      <c r="H1026" s="52" t="s">
        <v>25</v>
      </c>
      <c r="I1026" s="117" t="s">
        <v>2561</v>
      </c>
      <c r="J1026" s="117">
        <v>65790</v>
      </c>
      <c r="K1026" s="117">
        <v>68386</v>
      </c>
      <c r="L1026" s="116">
        <v>2596</v>
      </c>
      <c r="M1026" s="44">
        <v>4411980</v>
      </c>
      <c r="N1026" s="42">
        <v>0</v>
      </c>
      <c r="O1026" s="42">
        <v>0</v>
      </c>
      <c r="P1026" s="42">
        <v>0</v>
      </c>
      <c r="Q1026" s="20">
        <v>0</v>
      </c>
      <c r="R1026" s="44">
        <f t="shared" ref="R1026:R1065" si="145">M1026+N1026+O1026+P1026+Q1026</f>
        <v>4411980</v>
      </c>
      <c r="S1026" s="19">
        <v>3000</v>
      </c>
      <c r="T1026" s="19">
        <f t="shared" ref="T1026:T1065" si="146">R1026+S1026</f>
        <v>4414980</v>
      </c>
      <c r="U1026" s="151"/>
      <c r="X1026" s="10">
        <f t="shared" si="143"/>
        <v>4411980</v>
      </c>
      <c r="Y1026" s="2">
        <f t="shared" si="144"/>
        <v>0</v>
      </c>
      <c r="Z1026" s="10">
        <f t="shared" ref="Z1026:Z1065" si="147">Q1026-Y1026</f>
        <v>0</v>
      </c>
    </row>
    <row r="1027" spans="1:26" ht="18" customHeight="1" x14ac:dyDescent="0.25">
      <c r="A1027" s="11">
        <v>2</v>
      </c>
      <c r="B1027" s="54" t="s">
        <v>2562</v>
      </c>
      <c r="C1027" s="53" t="s">
        <v>2563</v>
      </c>
      <c r="D1027" s="13" t="s">
        <v>22</v>
      </c>
      <c r="E1027" s="14" t="s">
        <v>371</v>
      </c>
      <c r="F1027" s="54" t="s">
        <v>24</v>
      </c>
      <c r="G1027" s="116">
        <v>5500</v>
      </c>
      <c r="H1027" s="52" t="s">
        <v>25</v>
      </c>
      <c r="I1027" s="117" t="s">
        <v>2564</v>
      </c>
      <c r="J1027" s="117">
        <v>92248</v>
      </c>
      <c r="K1027" s="117">
        <v>94029</v>
      </c>
      <c r="L1027" s="116">
        <v>1781</v>
      </c>
      <c r="M1027" s="44">
        <v>3026863</v>
      </c>
      <c r="N1027" s="42">
        <v>0</v>
      </c>
      <c r="O1027" s="42">
        <v>0</v>
      </c>
      <c r="P1027" s="42">
        <v>0</v>
      </c>
      <c r="Q1027" s="20">
        <v>0</v>
      </c>
      <c r="R1027" s="44">
        <f t="shared" si="145"/>
        <v>3026863</v>
      </c>
      <c r="S1027" s="19">
        <v>3000</v>
      </c>
      <c r="T1027" s="19">
        <f t="shared" si="146"/>
        <v>3029863</v>
      </c>
      <c r="U1027" s="151"/>
      <c r="X1027" s="10">
        <f t="shared" si="143"/>
        <v>3026863</v>
      </c>
      <c r="Y1027" s="2">
        <f t="shared" si="144"/>
        <v>0</v>
      </c>
      <c r="Z1027" s="10">
        <f t="shared" si="147"/>
        <v>0</v>
      </c>
    </row>
    <row r="1028" spans="1:26" ht="18" customHeight="1" x14ac:dyDescent="0.25">
      <c r="A1028" s="11">
        <v>3</v>
      </c>
      <c r="B1028" s="54" t="s">
        <v>2565</v>
      </c>
      <c r="C1028" s="53" t="s">
        <v>2566</v>
      </c>
      <c r="D1028" s="13" t="s">
        <v>28</v>
      </c>
      <c r="E1028" s="14" t="s">
        <v>2567</v>
      </c>
      <c r="F1028" s="54" t="s">
        <v>24</v>
      </c>
      <c r="G1028" s="116">
        <v>5500</v>
      </c>
      <c r="H1028" s="52" t="s">
        <v>25</v>
      </c>
      <c r="I1028" s="117" t="s">
        <v>2568</v>
      </c>
      <c r="J1028" s="117">
        <v>25066</v>
      </c>
      <c r="K1028" s="117">
        <v>26227</v>
      </c>
      <c r="L1028" s="116">
        <v>1161</v>
      </c>
      <c r="M1028" s="44">
        <v>1973154</v>
      </c>
      <c r="N1028" s="42">
        <v>0</v>
      </c>
      <c r="O1028" s="42">
        <v>0</v>
      </c>
      <c r="P1028" s="42">
        <v>0</v>
      </c>
      <c r="Q1028" s="20">
        <v>0</v>
      </c>
      <c r="R1028" s="44">
        <f t="shared" si="145"/>
        <v>1973154</v>
      </c>
      <c r="S1028" s="19">
        <v>3000</v>
      </c>
      <c r="T1028" s="19">
        <f t="shared" si="146"/>
        <v>1976154</v>
      </c>
      <c r="U1028" s="151"/>
      <c r="X1028" s="10">
        <f t="shared" si="143"/>
        <v>1973154</v>
      </c>
      <c r="Y1028" s="2">
        <f t="shared" si="144"/>
        <v>0</v>
      </c>
      <c r="Z1028" s="10">
        <f t="shared" si="147"/>
        <v>0</v>
      </c>
    </row>
    <row r="1029" spans="1:26" ht="18" customHeight="1" x14ac:dyDescent="0.25">
      <c r="A1029" s="11">
        <v>4</v>
      </c>
      <c r="B1029" s="54" t="s">
        <v>2569</v>
      </c>
      <c r="C1029" s="53" t="s">
        <v>2570</v>
      </c>
      <c r="D1029" s="13" t="s">
        <v>28</v>
      </c>
      <c r="E1029" s="14" t="s">
        <v>2571</v>
      </c>
      <c r="F1029" s="54" t="s">
        <v>24</v>
      </c>
      <c r="G1029" s="116">
        <v>4400</v>
      </c>
      <c r="H1029" s="52" t="s">
        <v>25</v>
      </c>
      <c r="I1029" s="117" t="s">
        <v>2572</v>
      </c>
      <c r="J1029" s="117">
        <v>64333</v>
      </c>
      <c r="K1029" s="117">
        <v>65209</v>
      </c>
      <c r="L1029" s="116">
        <v>876</v>
      </c>
      <c r="M1029" s="44">
        <v>1488788</v>
      </c>
      <c r="N1029" s="42">
        <v>0</v>
      </c>
      <c r="O1029" s="42">
        <v>0</v>
      </c>
      <c r="P1029" s="42">
        <v>0</v>
      </c>
      <c r="Q1029" s="20">
        <v>0</v>
      </c>
      <c r="R1029" s="44">
        <f t="shared" si="145"/>
        <v>1488788</v>
      </c>
      <c r="S1029" s="19">
        <v>3000</v>
      </c>
      <c r="T1029" s="19">
        <f t="shared" si="146"/>
        <v>1491788</v>
      </c>
      <c r="U1029" s="151"/>
      <c r="X1029" s="10">
        <f t="shared" si="143"/>
        <v>1488788</v>
      </c>
      <c r="Y1029" s="2">
        <f t="shared" si="144"/>
        <v>0</v>
      </c>
      <c r="Z1029" s="10">
        <f t="shared" si="147"/>
        <v>0</v>
      </c>
    </row>
    <row r="1030" spans="1:26" ht="18" customHeight="1" x14ac:dyDescent="0.25">
      <c r="A1030" s="11">
        <v>5</v>
      </c>
      <c r="B1030" s="54" t="s">
        <v>2573</v>
      </c>
      <c r="C1030" s="53" t="s">
        <v>2574</v>
      </c>
      <c r="D1030" s="13" t="s">
        <v>28</v>
      </c>
      <c r="E1030" s="14" t="s">
        <v>2575</v>
      </c>
      <c r="F1030" s="54" t="s">
        <v>24</v>
      </c>
      <c r="G1030" s="116">
        <v>4400</v>
      </c>
      <c r="H1030" s="52" t="s">
        <v>25</v>
      </c>
      <c r="I1030" s="117" t="s">
        <v>2576</v>
      </c>
      <c r="J1030" s="117">
        <v>4698</v>
      </c>
      <c r="K1030" s="117">
        <v>5847</v>
      </c>
      <c r="L1030" s="116">
        <v>1149</v>
      </c>
      <c r="M1030" s="44">
        <v>1952760</v>
      </c>
      <c r="N1030" s="42">
        <v>0</v>
      </c>
      <c r="O1030" s="42">
        <v>0</v>
      </c>
      <c r="P1030" s="42">
        <v>0</v>
      </c>
      <c r="Q1030" s="20">
        <v>0</v>
      </c>
      <c r="R1030" s="44">
        <f t="shared" si="145"/>
        <v>1952760</v>
      </c>
      <c r="S1030" s="19">
        <v>3000</v>
      </c>
      <c r="T1030" s="19">
        <f t="shared" si="146"/>
        <v>1955760</v>
      </c>
      <c r="U1030" s="151"/>
      <c r="X1030" s="10">
        <f t="shared" si="143"/>
        <v>1952760</v>
      </c>
      <c r="Y1030" s="2">
        <f t="shared" si="144"/>
        <v>0</v>
      </c>
      <c r="Z1030" s="10">
        <f t="shared" si="147"/>
        <v>0</v>
      </c>
    </row>
    <row r="1031" spans="1:26" ht="18" customHeight="1" x14ac:dyDescent="0.25">
      <c r="A1031" s="11">
        <v>6</v>
      </c>
      <c r="B1031" s="54" t="s">
        <v>2577</v>
      </c>
      <c r="C1031" s="53" t="s">
        <v>2578</v>
      </c>
      <c r="D1031" s="13" t="s">
        <v>28</v>
      </c>
      <c r="E1031" s="14" t="s">
        <v>2579</v>
      </c>
      <c r="F1031" s="54" t="s">
        <v>24</v>
      </c>
      <c r="G1031" s="116">
        <v>250</v>
      </c>
      <c r="H1031" s="52" t="s">
        <v>25</v>
      </c>
      <c r="I1031" s="117" t="s">
        <v>2580</v>
      </c>
      <c r="J1031" s="117">
        <v>0</v>
      </c>
      <c r="K1031" s="117">
        <v>0</v>
      </c>
      <c r="L1031" s="116">
        <v>94</v>
      </c>
      <c r="M1031" s="44">
        <v>159756</v>
      </c>
      <c r="N1031" s="42">
        <v>0</v>
      </c>
      <c r="O1031" s="42">
        <v>0</v>
      </c>
      <c r="P1031" s="42">
        <v>0</v>
      </c>
      <c r="Q1031" s="20">
        <v>0</v>
      </c>
      <c r="R1031" s="44">
        <f t="shared" si="145"/>
        <v>159756</v>
      </c>
      <c r="S1031" s="19">
        <v>3000</v>
      </c>
      <c r="T1031" s="19">
        <f t="shared" si="146"/>
        <v>162756</v>
      </c>
      <c r="U1031" s="151"/>
      <c r="X1031" s="10">
        <f t="shared" si="143"/>
        <v>159756</v>
      </c>
      <c r="Y1031" s="2">
        <f t="shared" si="144"/>
        <v>0</v>
      </c>
      <c r="Z1031" s="10">
        <f t="shared" si="147"/>
        <v>0</v>
      </c>
    </row>
    <row r="1032" spans="1:26" ht="18" customHeight="1" x14ac:dyDescent="0.25">
      <c r="A1032" s="11">
        <v>7</v>
      </c>
      <c r="B1032" s="54" t="s">
        <v>2581</v>
      </c>
      <c r="C1032" s="53" t="s">
        <v>2582</v>
      </c>
      <c r="D1032" s="13" t="s">
        <v>28</v>
      </c>
      <c r="E1032" s="14" t="s">
        <v>2583</v>
      </c>
      <c r="F1032" s="54" t="s">
        <v>24</v>
      </c>
      <c r="G1032" s="116">
        <v>7700</v>
      </c>
      <c r="H1032" s="52" t="s">
        <v>25</v>
      </c>
      <c r="I1032" s="117" t="s">
        <v>2584</v>
      </c>
      <c r="J1032" s="117">
        <v>42786</v>
      </c>
      <c r="K1032" s="117">
        <v>44120</v>
      </c>
      <c r="L1032" s="116">
        <v>1334</v>
      </c>
      <c r="M1032" s="44">
        <v>2267173</v>
      </c>
      <c r="N1032" s="42">
        <v>0</v>
      </c>
      <c r="O1032" s="42">
        <v>0</v>
      </c>
      <c r="P1032" s="42">
        <v>0</v>
      </c>
      <c r="Q1032" s="20">
        <v>0</v>
      </c>
      <c r="R1032" s="44">
        <f t="shared" si="145"/>
        <v>2267173</v>
      </c>
      <c r="S1032" s="19">
        <v>3000</v>
      </c>
      <c r="T1032" s="19">
        <f t="shared" si="146"/>
        <v>2270173</v>
      </c>
      <c r="U1032" s="151"/>
      <c r="X1032" s="10">
        <f t="shared" si="143"/>
        <v>2267173</v>
      </c>
      <c r="Y1032" s="2">
        <f t="shared" si="144"/>
        <v>0</v>
      </c>
      <c r="Z1032" s="10">
        <f t="shared" si="147"/>
        <v>0</v>
      </c>
    </row>
    <row r="1033" spans="1:26" ht="18" customHeight="1" x14ac:dyDescent="0.25">
      <c r="A1033" s="11">
        <v>8</v>
      </c>
      <c r="B1033" s="54" t="s">
        <v>2585</v>
      </c>
      <c r="C1033" s="53" t="s">
        <v>2586</v>
      </c>
      <c r="D1033" s="13" t="s">
        <v>22</v>
      </c>
      <c r="E1033" s="14" t="s">
        <v>2587</v>
      </c>
      <c r="F1033" s="54" t="s">
        <v>24</v>
      </c>
      <c r="G1033" s="116">
        <v>4400</v>
      </c>
      <c r="H1033" s="52" t="s">
        <v>25</v>
      </c>
      <c r="I1033" s="117" t="s">
        <v>2588</v>
      </c>
      <c r="J1033" s="117">
        <v>17567</v>
      </c>
      <c r="K1033" s="117">
        <v>18682</v>
      </c>
      <c r="L1033" s="116">
        <v>1115</v>
      </c>
      <c r="M1033" s="44">
        <v>1894976</v>
      </c>
      <c r="N1033" s="42">
        <v>0</v>
      </c>
      <c r="O1033" s="42">
        <v>0</v>
      </c>
      <c r="P1033" s="42">
        <v>0</v>
      </c>
      <c r="Q1033" s="20">
        <v>0</v>
      </c>
      <c r="R1033" s="44">
        <f t="shared" si="145"/>
        <v>1894976</v>
      </c>
      <c r="S1033" s="19">
        <v>3000</v>
      </c>
      <c r="T1033" s="19">
        <f t="shared" si="146"/>
        <v>1897976</v>
      </c>
      <c r="U1033" s="151"/>
      <c r="X1033" s="10">
        <f t="shared" si="143"/>
        <v>1894976</v>
      </c>
      <c r="Y1033" s="2">
        <f t="shared" si="144"/>
        <v>0</v>
      </c>
      <c r="Z1033" s="10">
        <f t="shared" si="147"/>
        <v>0</v>
      </c>
    </row>
    <row r="1034" spans="1:26" ht="18" customHeight="1" x14ac:dyDescent="0.25">
      <c r="A1034" s="11">
        <v>9</v>
      </c>
      <c r="B1034" s="54" t="s">
        <v>2589</v>
      </c>
      <c r="C1034" s="53" t="s">
        <v>2590</v>
      </c>
      <c r="D1034" s="13" t="s">
        <v>68</v>
      </c>
      <c r="E1034" s="14" t="s">
        <v>2591</v>
      </c>
      <c r="F1034" s="54" t="s">
        <v>24</v>
      </c>
      <c r="G1034" s="116">
        <v>7700</v>
      </c>
      <c r="H1034" s="52" t="s">
        <v>25</v>
      </c>
      <c r="I1034" s="117" t="s">
        <v>2592</v>
      </c>
      <c r="J1034" s="117">
        <v>60958</v>
      </c>
      <c r="K1034" s="117">
        <v>63078</v>
      </c>
      <c r="L1034" s="116">
        <v>2120</v>
      </c>
      <c r="M1034" s="44">
        <v>3603004</v>
      </c>
      <c r="N1034" s="42">
        <v>0</v>
      </c>
      <c r="O1034" s="42">
        <v>0</v>
      </c>
      <c r="P1034" s="42">
        <v>0</v>
      </c>
      <c r="Q1034" s="20">
        <v>0</v>
      </c>
      <c r="R1034" s="44">
        <f t="shared" si="145"/>
        <v>3603004</v>
      </c>
      <c r="S1034" s="19">
        <v>3000</v>
      </c>
      <c r="T1034" s="19">
        <f t="shared" si="146"/>
        <v>3606004</v>
      </c>
      <c r="U1034" s="151"/>
      <c r="X1034" s="10">
        <f t="shared" si="143"/>
        <v>3603004</v>
      </c>
      <c r="Y1034" s="2">
        <f t="shared" si="144"/>
        <v>0</v>
      </c>
      <c r="Z1034" s="10">
        <f t="shared" si="147"/>
        <v>0</v>
      </c>
    </row>
    <row r="1035" spans="1:26" ht="18" customHeight="1" x14ac:dyDescent="0.25">
      <c r="A1035" s="11">
        <v>10</v>
      </c>
      <c r="B1035" s="54" t="s">
        <v>2593</v>
      </c>
      <c r="C1035" s="53" t="s">
        <v>2594</v>
      </c>
      <c r="D1035" s="13" t="s">
        <v>68</v>
      </c>
      <c r="E1035" s="14" t="s">
        <v>2595</v>
      </c>
      <c r="F1035" s="54" t="s">
        <v>24</v>
      </c>
      <c r="G1035" s="116">
        <v>4400</v>
      </c>
      <c r="H1035" s="52" t="s">
        <v>25</v>
      </c>
      <c r="I1035" s="117" t="s">
        <v>677</v>
      </c>
      <c r="J1035" s="117">
        <v>52407</v>
      </c>
      <c r="K1035" s="117">
        <v>53423</v>
      </c>
      <c r="L1035" s="116">
        <v>1016</v>
      </c>
      <c r="M1035" s="44">
        <v>1726722</v>
      </c>
      <c r="N1035" s="42">
        <v>0</v>
      </c>
      <c r="O1035" s="42">
        <v>0</v>
      </c>
      <c r="P1035" s="42">
        <v>0</v>
      </c>
      <c r="Q1035" s="20">
        <v>0</v>
      </c>
      <c r="R1035" s="44">
        <f t="shared" si="145"/>
        <v>1726722</v>
      </c>
      <c r="S1035" s="19">
        <v>3000</v>
      </c>
      <c r="T1035" s="19">
        <f t="shared" si="146"/>
        <v>1729722</v>
      </c>
      <c r="U1035" s="151"/>
      <c r="X1035" s="10">
        <f t="shared" si="143"/>
        <v>1726722</v>
      </c>
      <c r="Y1035" s="2">
        <f t="shared" si="144"/>
        <v>0</v>
      </c>
      <c r="Z1035" s="10">
        <f t="shared" si="147"/>
        <v>0</v>
      </c>
    </row>
    <row r="1036" spans="1:26" ht="18" customHeight="1" x14ac:dyDescent="0.25">
      <c r="A1036" s="11">
        <v>11</v>
      </c>
      <c r="B1036" s="54" t="s">
        <v>2596</v>
      </c>
      <c r="C1036" s="53" t="s">
        <v>2597</v>
      </c>
      <c r="D1036" s="13" t="s">
        <v>28</v>
      </c>
      <c r="E1036" s="14" t="s">
        <v>2598</v>
      </c>
      <c r="F1036" s="54" t="s">
        <v>24</v>
      </c>
      <c r="G1036" s="116">
        <v>5500</v>
      </c>
      <c r="H1036" s="52" t="s">
        <v>25</v>
      </c>
      <c r="I1036" s="117" t="s">
        <v>2599</v>
      </c>
      <c r="J1036" s="117">
        <v>81117</v>
      </c>
      <c r="K1036" s="117">
        <v>81118</v>
      </c>
      <c r="L1036" s="116">
        <v>220</v>
      </c>
      <c r="M1036" s="44">
        <v>373897</v>
      </c>
      <c r="N1036" s="42">
        <v>0</v>
      </c>
      <c r="O1036" s="42">
        <v>0</v>
      </c>
      <c r="P1036" s="42">
        <v>0</v>
      </c>
      <c r="Q1036" s="20">
        <v>0</v>
      </c>
      <c r="R1036" s="44">
        <f t="shared" si="145"/>
        <v>373897</v>
      </c>
      <c r="S1036" s="19">
        <v>3000</v>
      </c>
      <c r="T1036" s="19">
        <f t="shared" si="146"/>
        <v>376897</v>
      </c>
      <c r="U1036" s="151"/>
      <c r="X1036" s="10">
        <f t="shared" si="143"/>
        <v>373897</v>
      </c>
      <c r="Y1036" s="2">
        <f t="shared" si="144"/>
        <v>0</v>
      </c>
      <c r="Z1036" s="10">
        <f t="shared" si="147"/>
        <v>0</v>
      </c>
    </row>
    <row r="1037" spans="1:26" ht="18" customHeight="1" x14ac:dyDescent="0.25">
      <c r="A1037" s="11">
        <v>12</v>
      </c>
      <c r="B1037" s="54" t="s">
        <v>2600</v>
      </c>
      <c r="C1037" s="53" t="s">
        <v>2601</v>
      </c>
      <c r="D1037" s="13" t="s">
        <v>68</v>
      </c>
      <c r="E1037" s="14" t="s">
        <v>2602</v>
      </c>
      <c r="F1037" s="54" t="s">
        <v>24</v>
      </c>
      <c r="G1037" s="116">
        <v>7700</v>
      </c>
      <c r="H1037" s="52" t="s">
        <v>25</v>
      </c>
      <c r="I1037" s="117" t="s">
        <v>2603</v>
      </c>
      <c r="J1037" s="117">
        <v>72584</v>
      </c>
      <c r="K1037" s="117">
        <v>73681</v>
      </c>
      <c r="L1037" s="116">
        <v>1097</v>
      </c>
      <c r="M1037" s="44">
        <v>1864384</v>
      </c>
      <c r="N1037" s="42">
        <v>0</v>
      </c>
      <c r="O1037" s="42">
        <v>0</v>
      </c>
      <c r="P1037" s="42">
        <v>0</v>
      </c>
      <c r="Q1037" s="20">
        <v>0</v>
      </c>
      <c r="R1037" s="44">
        <f t="shared" si="145"/>
        <v>1864384</v>
      </c>
      <c r="S1037" s="19">
        <v>3000</v>
      </c>
      <c r="T1037" s="19">
        <f t="shared" si="146"/>
        <v>1867384</v>
      </c>
      <c r="U1037" s="151"/>
      <c r="X1037" s="10">
        <f t="shared" si="143"/>
        <v>1864384</v>
      </c>
      <c r="Y1037" s="2">
        <f t="shared" si="144"/>
        <v>0</v>
      </c>
      <c r="Z1037" s="10">
        <f t="shared" si="147"/>
        <v>0</v>
      </c>
    </row>
    <row r="1038" spans="1:26" ht="18" customHeight="1" x14ac:dyDescent="0.25">
      <c r="A1038" s="11">
        <v>13</v>
      </c>
      <c r="B1038" s="54" t="s">
        <v>2604</v>
      </c>
      <c r="C1038" s="53" t="s">
        <v>2605</v>
      </c>
      <c r="D1038" s="13" t="s">
        <v>28</v>
      </c>
      <c r="E1038" s="14" t="s">
        <v>2606</v>
      </c>
      <c r="F1038" s="54" t="s">
        <v>24</v>
      </c>
      <c r="G1038" s="116">
        <v>5500</v>
      </c>
      <c r="H1038" s="52" t="s">
        <v>25</v>
      </c>
      <c r="I1038" s="117" t="s">
        <v>2607</v>
      </c>
      <c r="J1038" s="117">
        <v>12786</v>
      </c>
      <c r="K1038" s="117">
        <v>13481</v>
      </c>
      <c r="L1038" s="116">
        <v>695</v>
      </c>
      <c r="M1038" s="44">
        <v>1181173</v>
      </c>
      <c r="N1038" s="42">
        <v>0</v>
      </c>
      <c r="O1038" s="42">
        <v>0</v>
      </c>
      <c r="P1038" s="42">
        <v>0</v>
      </c>
      <c r="Q1038" s="20">
        <v>0</v>
      </c>
      <c r="R1038" s="44">
        <f t="shared" si="145"/>
        <v>1181173</v>
      </c>
      <c r="S1038" s="19">
        <v>3000</v>
      </c>
      <c r="T1038" s="19">
        <f t="shared" si="146"/>
        <v>1184173</v>
      </c>
      <c r="U1038" s="151"/>
      <c r="X1038" s="10">
        <f t="shared" si="143"/>
        <v>1181173</v>
      </c>
      <c r="Y1038" s="2">
        <f t="shared" si="144"/>
        <v>0</v>
      </c>
      <c r="Z1038" s="10">
        <f t="shared" si="147"/>
        <v>0</v>
      </c>
    </row>
    <row r="1039" spans="1:26" ht="18" customHeight="1" x14ac:dyDescent="0.25">
      <c r="A1039" s="11">
        <v>14</v>
      </c>
      <c r="B1039" s="54" t="s">
        <v>2608</v>
      </c>
      <c r="C1039" s="53" t="s">
        <v>2609</v>
      </c>
      <c r="D1039" s="13" t="s">
        <v>22</v>
      </c>
      <c r="E1039" s="14" t="s">
        <v>2610</v>
      </c>
      <c r="F1039" s="54" t="s">
        <v>24</v>
      </c>
      <c r="G1039" s="116">
        <v>5500</v>
      </c>
      <c r="H1039" s="52" t="s">
        <v>25</v>
      </c>
      <c r="I1039" s="117" t="s">
        <v>2611</v>
      </c>
      <c r="J1039" s="117">
        <v>27792</v>
      </c>
      <c r="K1039" s="117">
        <v>29022</v>
      </c>
      <c r="L1039" s="116">
        <v>1230</v>
      </c>
      <c r="M1039" s="44">
        <v>2090422</v>
      </c>
      <c r="N1039" s="42">
        <v>0</v>
      </c>
      <c r="O1039" s="42">
        <v>0</v>
      </c>
      <c r="P1039" s="42">
        <v>0</v>
      </c>
      <c r="Q1039" s="20">
        <v>0</v>
      </c>
      <c r="R1039" s="44">
        <f t="shared" si="145"/>
        <v>2090422</v>
      </c>
      <c r="S1039" s="19">
        <v>3000</v>
      </c>
      <c r="T1039" s="19">
        <f t="shared" si="146"/>
        <v>2093422</v>
      </c>
      <c r="U1039" s="151"/>
      <c r="X1039" s="10">
        <f t="shared" si="143"/>
        <v>2090422</v>
      </c>
      <c r="Y1039" s="2">
        <f t="shared" si="144"/>
        <v>0</v>
      </c>
      <c r="Z1039" s="10">
        <f t="shared" si="147"/>
        <v>0</v>
      </c>
    </row>
    <row r="1040" spans="1:26" ht="18" customHeight="1" x14ac:dyDescent="0.25">
      <c r="A1040" s="11">
        <v>15</v>
      </c>
      <c r="B1040" s="54" t="s">
        <v>2612</v>
      </c>
      <c r="C1040" s="53" t="s">
        <v>2597</v>
      </c>
      <c r="D1040" s="13" t="s">
        <v>28</v>
      </c>
      <c r="E1040" s="14" t="s">
        <v>2613</v>
      </c>
      <c r="F1040" s="54" t="s">
        <v>24</v>
      </c>
      <c r="G1040" s="116">
        <v>4400</v>
      </c>
      <c r="H1040" s="52" t="s">
        <v>25</v>
      </c>
      <c r="I1040" s="117" t="s">
        <v>2614</v>
      </c>
      <c r="J1040" s="117">
        <v>12222</v>
      </c>
      <c r="K1040" s="117">
        <v>13549</v>
      </c>
      <c r="L1040" s="116">
        <v>1327</v>
      </c>
      <c r="M1040" s="44">
        <v>2255276</v>
      </c>
      <c r="N1040" s="42">
        <v>0</v>
      </c>
      <c r="O1040" s="42">
        <v>0</v>
      </c>
      <c r="P1040" s="42">
        <v>0</v>
      </c>
      <c r="Q1040" s="20">
        <v>0</v>
      </c>
      <c r="R1040" s="44">
        <f t="shared" si="145"/>
        <v>2255276</v>
      </c>
      <c r="S1040" s="19">
        <v>3000</v>
      </c>
      <c r="T1040" s="19">
        <f t="shared" si="146"/>
        <v>2258276</v>
      </c>
      <c r="U1040" s="151"/>
      <c r="X1040" s="10">
        <f t="shared" si="143"/>
        <v>2255276</v>
      </c>
      <c r="Y1040" s="2">
        <f t="shared" si="144"/>
        <v>0</v>
      </c>
      <c r="Z1040" s="10">
        <f t="shared" si="147"/>
        <v>0</v>
      </c>
    </row>
    <row r="1041" spans="1:26" ht="18" customHeight="1" x14ac:dyDescent="0.25">
      <c r="A1041" s="11">
        <v>16</v>
      </c>
      <c r="B1041" s="54" t="s">
        <v>2615</v>
      </c>
      <c r="C1041" s="53" t="s">
        <v>2616</v>
      </c>
      <c r="D1041" s="13" t="s">
        <v>28</v>
      </c>
      <c r="E1041" s="14" t="s">
        <v>2617</v>
      </c>
      <c r="F1041" s="54" t="s">
        <v>24</v>
      </c>
      <c r="G1041" s="116">
        <v>4000</v>
      </c>
      <c r="H1041" s="52" t="s">
        <v>25</v>
      </c>
      <c r="I1041" s="117" t="s">
        <v>2618</v>
      </c>
      <c r="J1041" s="117">
        <v>0</v>
      </c>
      <c r="K1041" s="117">
        <v>0</v>
      </c>
      <c r="L1041" s="116">
        <v>1500</v>
      </c>
      <c r="M1041" s="44">
        <v>2549295</v>
      </c>
      <c r="N1041" s="42">
        <v>0</v>
      </c>
      <c r="O1041" s="42">
        <v>0</v>
      </c>
      <c r="P1041" s="42">
        <v>0</v>
      </c>
      <c r="Q1041" s="20">
        <v>0</v>
      </c>
      <c r="R1041" s="44">
        <f t="shared" si="145"/>
        <v>2549295</v>
      </c>
      <c r="S1041" s="19">
        <v>3000</v>
      </c>
      <c r="T1041" s="19">
        <f t="shared" si="146"/>
        <v>2552295</v>
      </c>
      <c r="U1041" s="151"/>
      <c r="X1041" s="10">
        <f t="shared" si="143"/>
        <v>2549295</v>
      </c>
      <c r="Y1041" s="2">
        <f t="shared" si="144"/>
        <v>0</v>
      </c>
      <c r="Z1041" s="10">
        <f t="shared" si="147"/>
        <v>0</v>
      </c>
    </row>
    <row r="1042" spans="1:26" ht="18" customHeight="1" x14ac:dyDescent="0.25">
      <c r="A1042" s="11">
        <v>17</v>
      </c>
      <c r="B1042" s="54" t="s">
        <v>2619</v>
      </c>
      <c r="C1042" s="53" t="s">
        <v>2620</v>
      </c>
      <c r="D1042" s="13" t="s">
        <v>22</v>
      </c>
      <c r="E1042" s="14" t="s">
        <v>2621</v>
      </c>
      <c r="F1042" s="54" t="s">
        <v>24</v>
      </c>
      <c r="G1042" s="116">
        <v>4400</v>
      </c>
      <c r="H1042" s="52" t="s">
        <v>25</v>
      </c>
      <c r="I1042" s="117" t="s">
        <v>666</v>
      </c>
      <c r="J1042" s="117">
        <v>4719</v>
      </c>
      <c r="K1042" s="117">
        <v>5551</v>
      </c>
      <c r="L1042" s="116">
        <v>832</v>
      </c>
      <c r="M1042" s="44">
        <v>1414009</v>
      </c>
      <c r="N1042" s="42">
        <v>0</v>
      </c>
      <c r="O1042" s="42">
        <v>0</v>
      </c>
      <c r="P1042" s="42">
        <v>0</v>
      </c>
      <c r="Q1042" s="20">
        <v>0</v>
      </c>
      <c r="R1042" s="44">
        <f t="shared" si="145"/>
        <v>1414009</v>
      </c>
      <c r="S1042" s="19">
        <v>3000</v>
      </c>
      <c r="T1042" s="19">
        <f t="shared" si="146"/>
        <v>1417009</v>
      </c>
      <c r="U1042" s="151"/>
      <c r="X1042" s="10">
        <f t="shared" si="143"/>
        <v>1414009</v>
      </c>
      <c r="Y1042" s="2">
        <f t="shared" si="144"/>
        <v>0</v>
      </c>
      <c r="Z1042" s="10">
        <f t="shared" si="147"/>
        <v>0</v>
      </c>
    </row>
    <row r="1043" spans="1:26" ht="18" customHeight="1" x14ac:dyDescent="0.25">
      <c r="A1043" s="11">
        <v>18</v>
      </c>
      <c r="B1043" s="54" t="s">
        <v>2622</v>
      </c>
      <c r="C1043" s="53" t="s">
        <v>2623</v>
      </c>
      <c r="D1043" s="13" t="s">
        <v>22</v>
      </c>
      <c r="E1043" s="14" t="s">
        <v>2624</v>
      </c>
      <c r="F1043" s="54" t="s">
        <v>24</v>
      </c>
      <c r="G1043" s="116">
        <v>2200</v>
      </c>
      <c r="H1043" s="52" t="s">
        <v>25</v>
      </c>
      <c r="I1043" s="117" t="s">
        <v>2625</v>
      </c>
      <c r="J1043" s="117">
        <v>0</v>
      </c>
      <c r="K1043" s="117">
        <v>0</v>
      </c>
      <c r="L1043" s="116">
        <v>825</v>
      </c>
      <c r="M1043" s="44">
        <v>1402112</v>
      </c>
      <c r="N1043" s="42">
        <v>0</v>
      </c>
      <c r="O1043" s="42">
        <v>0</v>
      </c>
      <c r="P1043" s="42">
        <v>0</v>
      </c>
      <c r="Q1043" s="20">
        <v>0</v>
      </c>
      <c r="R1043" s="44">
        <f t="shared" si="145"/>
        <v>1402112</v>
      </c>
      <c r="S1043" s="19">
        <v>3000</v>
      </c>
      <c r="T1043" s="19">
        <f t="shared" si="146"/>
        <v>1405112</v>
      </c>
      <c r="U1043" s="151"/>
      <c r="X1043" s="10">
        <f t="shared" si="143"/>
        <v>1402112</v>
      </c>
      <c r="Y1043" s="2">
        <f t="shared" si="144"/>
        <v>0</v>
      </c>
      <c r="Z1043" s="10">
        <f t="shared" si="147"/>
        <v>0</v>
      </c>
    </row>
    <row r="1044" spans="1:26" ht="18" customHeight="1" x14ac:dyDescent="0.25">
      <c r="A1044" s="11">
        <v>19</v>
      </c>
      <c r="B1044" s="54" t="s">
        <v>2626</v>
      </c>
      <c r="C1044" s="53" t="s">
        <v>2627</v>
      </c>
      <c r="D1044" s="13" t="s">
        <v>22</v>
      </c>
      <c r="E1044" s="14" t="s">
        <v>2624</v>
      </c>
      <c r="F1044" s="54" t="s">
        <v>24</v>
      </c>
      <c r="G1044" s="116">
        <v>1300</v>
      </c>
      <c r="H1044" s="52" t="s">
        <v>25</v>
      </c>
      <c r="I1044" s="117" t="s">
        <v>2628</v>
      </c>
      <c r="J1044" s="117">
        <v>51584</v>
      </c>
      <c r="K1044" s="117">
        <v>51986</v>
      </c>
      <c r="L1044" s="116">
        <v>402</v>
      </c>
      <c r="M1044" s="44">
        <v>683211</v>
      </c>
      <c r="N1044" s="42">
        <v>0</v>
      </c>
      <c r="O1044" s="42">
        <v>0</v>
      </c>
      <c r="P1044" s="42">
        <v>0</v>
      </c>
      <c r="Q1044" s="20">
        <v>0</v>
      </c>
      <c r="R1044" s="44">
        <f t="shared" si="145"/>
        <v>683211</v>
      </c>
      <c r="S1044" s="19">
        <v>3000</v>
      </c>
      <c r="T1044" s="19">
        <f t="shared" si="146"/>
        <v>686211</v>
      </c>
      <c r="U1044" s="151"/>
      <c r="X1044" s="10">
        <f t="shared" si="143"/>
        <v>683211</v>
      </c>
      <c r="Y1044" s="2">
        <f t="shared" si="144"/>
        <v>0</v>
      </c>
      <c r="Z1044" s="10">
        <f t="shared" si="147"/>
        <v>0</v>
      </c>
    </row>
    <row r="1045" spans="1:26" ht="18" customHeight="1" x14ac:dyDescent="0.25">
      <c r="A1045" s="11">
        <v>20</v>
      </c>
      <c r="B1045" s="54" t="s">
        <v>2629</v>
      </c>
      <c r="C1045" s="53" t="s">
        <v>2630</v>
      </c>
      <c r="D1045" s="13" t="s">
        <v>22</v>
      </c>
      <c r="E1045" s="14" t="s">
        <v>2606</v>
      </c>
      <c r="F1045" s="54" t="s">
        <v>24</v>
      </c>
      <c r="G1045" s="116">
        <v>4400</v>
      </c>
      <c r="H1045" s="52" t="s">
        <v>25</v>
      </c>
      <c r="I1045" s="117" t="s">
        <v>2631</v>
      </c>
      <c r="J1045" s="117">
        <v>8067</v>
      </c>
      <c r="K1045" s="117">
        <v>9464</v>
      </c>
      <c r="L1045" s="116">
        <v>1397</v>
      </c>
      <c r="M1045" s="44">
        <v>2374243</v>
      </c>
      <c r="N1045" s="42">
        <v>0</v>
      </c>
      <c r="O1045" s="42">
        <v>0</v>
      </c>
      <c r="P1045" s="42">
        <v>0</v>
      </c>
      <c r="Q1045" s="20">
        <v>0</v>
      </c>
      <c r="R1045" s="44">
        <f t="shared" si="145"/>
        <v>2374243</v>
      </c>
      <c r="S1045" s="19">
        <v>3000</v>
      </c>
      <c r="T1045" s="19">
        <f t="shared" si="146"/>
        <v>2377243</v>
      </c>
      <c r="U1045" s="151"/>
      <c r="X1045" s="10">
        <f t="shared" si="143"/>
        <v>2374243</v>
      </c>
      <c r="Y1045" s="2">
        <f t="shared" si="144"/>
        <v>0</v>
      </c>
      <c r="Z1045" s="10">
        <f t="shared" si="147"/>
        <v>0</v>
      </c>
    </row>
    <row r="1046" spans="1:26" ht="18" customHeight="1" x14ac:dyDescent="0.25">
      <c r="A1046" s="11">
        <v>21</v>
      </c>
      <c r="B1046" s="54" t="s">
        <v>2632</v>
      </c>
      <c r="C1046" s="53" t="s">
        <v>2633</v>
      </c>
      <c r="D1046" s="13" t="s">
        <v>28</v>
      </c>
      <c r="E1046" s="14" t="s">
        <v>2634</v>
      </c>
      <c r="F1046" s="54" t="s">
        <v>24</v>
      </c>
      <c r="G1046" s="116">
        <v>4400</v>
      </c>
      <c r="H1046" s="52" t="s">
        <v>25</v>
      </c>
      <c r="I1046" s="117" t="s">
        <v>672</v>
      </c>
      <c r="J1046" s="117">
        <v>79132</v>
      </c>
      <c r="K1046" s="117">
        <v>79878</v>
      </c>
      <c r="L1046" s="116">
        <v>746</v>
      </c>
      <c r="M1046" s="44">
        <v>1267849</v>
      </c>
      <c r="N1046" s="42">
        <v>0</v>
      </c>
      <c r="O1046" s="42">
        <v>0</v>
      </c>
      <c r="P1046" s="42">
        <v>0</v>
      </c>
      <c r="Q1046" s="20">
        <v>0</v>
      </c>
      <c r="R1046" s="44">
        <f t="shared" si="145"/>
        <v>1267849</v>
      </c>
      <c r="S1046" s="19">
        <v>3000</v>
      </c>
      <c r="T1046" s="19">
        <f t="shared" si="146"/>
        <v>1270849</v>
      </c>
      <c r="U1046" s="151"/>
      <c r="X1046" s="10">
        <f t="shared" si="143"/>
        <v>1267849</v>
      </c>
      <c r="Y1046" s="2">
        <f t="shared" si="144"/>
        <v>0</v>
      </c>
      <c r="Z1046" s="10">
        <f t="shared" si="147"/>
        <v>0</v>
      </c>
    </row>
    <row r="1047" spans="1:26" ht="18" customHeight="1" x14ac:dyDescent="0.25">
      <c r="A1047" s="11">
        <v>22</v>
      </c>
      <c r="B1047" s="54" t="s">
        <v>2635</v>
      </c>
      <c r="C1047" s="53" t="s">
        <v>2636</v>
      </c>
      <c r="D1047" s="13" t="s">
        <v>28</v>
      </c>
      <c r="E1047" s="14" t="s">
        <v>2637</v>
      </c>
      <c r="F1047" s="54" t="s">
        <v>24</v>
      </c>
      <c r="G1047" s="116">
        <v>7040</v>
      </c>
      <c r="H1047" s="52" t="s">
        <v>25</v>
      </c>
      <c r="I1047" s="117" t="s">
        <v>2638</v>
      </c>
      <c r="J1047" s="117">
        <v>0</v>
      </c>
      <c r="K1047" s="117">
        <v>0</v>
      </c>
      <c r="L1047" s="116">
        <v>2640</v>
      </c>
      <c r="M1047" s="44">
        <v>4486759</v>
      </c>
      <c r="N1047" s="42">
        <v>0</v>
      </c>
      <c r="O1047" s="42">
        <v>0</v>
      </c>
      <c r="P1047" s="42">
        <v>0</v>
      </c>
      <c r="Q1047" s="20">
        <v>0</v>
      </c>
      <c r="R1047" s="44">
        <f t="shared" si="145"/>
        <v>4486759</v>
      </c>
      <c r="S1047" s="19">
        <v>3000</v>
      </c>
      <c r="T1047" s="19">
        <f t="shared" si="146"/>
        <v>4489759</v>
      </c>
      <c r="U1047" s="151"/>
      <c r="X1047" s="10">
        <f t="shared" si="143"/>
        <v>4486759</v>
      </c>
      <c r="Y1047" s="2">
        <f t="shared" si="144"/>
        <v>0</v>
      </c>
      <c r="Z1047" s="10">
        <f t="shared" si="147"/>
        <v>0</v>
      </c>
    </row>
    <row r="1048" spans="1:26" ht="18" customHeight="1" x14ac:dyDescent="0.25">
      <c r="A1048" s="11">
        <v>23</v>
      </c>
      <c r="B1048" s="54" t="s">
        <v>2639</v>
      </c>
      <c r="C1048" s="53" t="s">
        <v>2640</v>
      </c>
      <c r="D1048" s="13" t="s">
        <v>28</v>
      </c>
      <c r="E1048" s="14" t="s">
        <v>2641</v>
      </c>
      <c r="F1048" s="54" t="s">
        <v>24</v>
      </c>
      <c r="G1048" s="116">
        <v>5500</v>
      </c>
      <c r="H1048" s="52" t="s">
        <v>25</v>
      </c>
      <c r="I1048" s="117" t="s">
        <v>2642</v>
      </c>
      <c r="J1048" s="117">
        <v>0</v>
      </c>
      <c r="K1048" s="117">
        <v>0</v>
      </c>
      <c r="L1048" s="116">
        <v>2063</v>
      </c>
      <c r="M1048" s="44">
        <v>3506130</v>
      </c>
      <c r="N1048" s="42">
        <v>0</v>
      </c>
      <c r="O1048" s="42">
        <v>0</v>
      </c>
      <c r="P1048" s="42">
        <v>0</v>
      </c>
      <c r="Q1048" s="20">
        <v>0</v>
      </c>
      <c r="R1048" s="44">
        <f t="shared" si="145"/>
        <v>3506130</v>
      </c>
      <c r="S1048" s="19">
        <v>3000</v>
      </c>
      <c r="T1048" s="19">
        <f t="shared" si="146"/>
        <v>3509130</v>
      </c>
      <c r="U1048" s="151"/>
      <c r="X1048" s="10">
        <f t="shared" si="143"/>
        <v>3506130</v>
      </c>
      <c r="Y1048" s="2">
        <f t="shared" si="144"/>
        <v>0</v>
      </c>
      <c r="Z1048" s="10">
        <f t="shared" si="147"/>
        <v>0</v>
      </c>
    </row>
    <row r="1049" spans="1:26" ht="18" customHeight="1" x14ac:dyDescent="0.25">
      <c r="A1049" s="11">
        <v>24</v>
      </c>
      <c r="B1049" s="54" t="s">
        <v>2643</v>
      </c>
      <c r="C1049" s="53" t="s">
        <v>2644</v>
      </c>
      <c r="D1049" s="13" t="s">
        <v>28</v>
      </c>
      <c r="E1049" s="14" t="s">
        <v>2645</v>
      </c>
      <c r="F1049" s="54" t="s">
        <v>24</v>
      </c>
      <c r="G1049" s="116">
        <v>7700</v>
      </c>
      <c r="H1049" s="52" t="s">
        <v>25</v>
      </c>
      <c r="I1049" s="117" t="s">
        <v>2646</v>
      </c>
      <c r="J1049" s="117">
        <v>74757</v>
      </c>
      <c r="K1049" s="117">
        <v>75379</v>
      </c>
      <c r="L1049" s="116">
        <v>622</v>
      </c>
      <c r="M1049" s="44">
        <v>1057108</v>
      </c>
      <c r="N1049" s="42">
        <v>0</v>
      </c>
      <c r="O1049" s="42">
        <v>0</v>
      </c>
      <c r="P1049" s="42">
        <v>0</v>
      </c>
      <c r="Q1049" s="20">
        <v>0</v>
      </c>
      <c r="R1049" s="44">
        <f t="shared" si="145"/>
        <v>1057108</v>
      </c>
      <c r="S1049" s="19">
        <v>3000</v>
      </c>
      <c r="T1049" s="19">
        <f t="shared" si="146"/>
        <v>1060108</v>
      </c>
      <c r="U1049" s="151"/>
      <c r="X1049" s="10">
        <f t="shared" si="143"/>
        <v>1057108</v>
      </c>
      <c r="Y1049" s="2">
        <f t="shared" si="144"/>
        <v>0</v>
      </c>
      <c r="Z1049" s="10">
        <f t="shared" si="147"/>
        <v>0</v>
      </c>
    </row>
    <row r="1050" spans="1:26" ht="18" customHeight="1" x14ac:dyDescent="0.25">
      <c r="A1050" s="11">
        <v>25</v>
      </c>
      <c r="B1050" s="54" t="s">
        <v>2647</v>
      </c>
      <c r="C1050" s="53" t="s">
        <v>2648</v>
      </c>
      <c r="D1050" s="13" t="s">
        <v>28</v>
      </c>
      <c r="E1050" s="14" t="s">
        <v>2649</v>
      </c>
      <c r="F1050" s="54" t="s">
        <v>24</v>
      </c>
      <c r="G1050" s="116">
        <v>10650</v>
      </c>
      <c r="H1050" s="52" t="s">
        <v>25</v>
      </c>
      <c r="I1050" s="117" t="s">
        <v>2650</v>
      </c>
      <c r="J1050" s="117">
        <v>0</v>
      </c>
      <c r="K1050" s="117">
        <v>0</v>
      </c>
      <c r="L1050" s="116">
        <v>3994</v>
      </c>
      <c r="M1050" s="44">
        <v>6787923</v>
      </c>
      <c r="N1050" s="42">
        <v>0</v>
      </c>
      <c r="O1050" s="42">
        <v>0</v>
      </c>
      <c r="P1050" s="42">
        <v>0</v>
      </c>
      <c r="Q1050" s="20">
        <v>10000</v>
      </c>
      <c r="R1050" s="44">
        <f t="shared" si="145"/>
        <v>6797923</v>
      </c>
      <c r="S1050" s="19">
        <v>3000</v>
      </c>
      <c r="T1050" s="19">
        <f t="shared" si="146"/>
        <v>6800923</v>
      </c>
      <c r="U1050" s="151"/>
      <c r="X1050" s="10">
        <f t="shared" si="143"/>
        <v>6787923</v>
      </c>
      <c r="Y1050" s="2">
        <f t="shared" si="144"/>
        <v>10000</v>
      </c>
      <c r="Z1050" s="10">
        <f t="shared" si="147"/>
        <v>0</v>
      </c>
    </row>
    <row r="1051" spans="1:26" ht="18" customHeight="1" x14ac:dyDescent="0.25">
      <c r="A1051" s="11">
        <v>26</v>
      </c>
      <c r="B1051" s="54" t="s">
        <v>2651</v>
      </c>
      <c r="C1051" s="53" t="s">
        <v>2652</v>
      </c>
      <c r="D1051" s="13" t="s">
        <v>28</v>
      </c>
      <c r="E1051" s="14" t="s">
        <v>2653</v>
      </c>
      <c r="F1051" s="54" t="s">
        <v>24</v>
      </c>
      <c r="G1051" s="116">
        <v>3040</v>
      </c>
      <c r="H1051" s="52" t="s">
        <v>25</v>
      </c>
      <c r="I1051" s="117" t="s">
        <v>2654</v>
      </c>
      <c r="J1051" s="117">
        <v>0</v>
      </c>
      <c r="K1051" s="117">
        <v>0</v>
      </c>
      <c r="L1051" s="116">
        <v>1140</v>
      </c>
      <c r="M1051" s="44">
        <v>1937464</v>
      </c>
      <c r="N1051" s="42">
        <v>0</v>
      </c>
      <c r="O1051" s="42">
        <v>0</v>
      </c>
      <c r="P1051" s="42">
        <v>0</v>
      </c>
      <c r="Q1051" s="20">
        <v>0</v>
      </c>
      <c r="R1051" s="44">
        <f t="shared" si="145"/>
        <v>1937464</v>
      </c>
      <c r="S1051" s="19">
        <v>3000</v>
      </c>
      <c r="T1051" s="19">
        <f t="shared" si="146"/>
        <v>1940464</v>
      </c>
      <c r="U1051" s="151"/>
      <c r="X1051" s="10">
        <f t="shared" si="143"/>
        <v>1937464</v>
      </c>
      <c r="Y1051" s="2">
        <f t="shared" si="144"/>
        <v>0</v>
      </c>
      <c r="Z1051" s="10">
        <f t="shared" si="147"/>
        <v>0</v>
      </c>
    </row>
    <row r="1052" spans="1:26" ht="18" customHeight="1" x14ac:dyDescent="0.25">
      <c r="A1052" s="11">
        <v>27</v>
      </c>
      <c r="B1052" s="54" t="s">
        <v>2655</v>
      </c>
      <c r="C1052" s="53" t="s">
        <v>2656</v>
      </c>
      <c r="D1052" s="13" t="s">
        <v>28</v>
      </c>
      <c r="E1052" s="14" t="s">
        <v>2624</v>
      </c>
      <c r="F1052" s="54" t="s">
        <v>24</v>
      </c>
      <c r="G1052" s="116">
        <v>1840</v>
      </c>
      <c r="H1052" s="52" t="s">
        <v>25</v>
      </c>
      <c r="I1052" s="117" t="s">
        <v>2657</v>
      </c>
      <c r="J1052" s="117">
        <v>0</v>
      </c>
      <c r="K1052" s="117">
        <v>0</v>
      </c>
      <c r="L1052" s="116">
        <v>690</v>
      </c>
      <c r="M1052" s="44">
        <v>1172676</v>
      </c>
      <c r="N1052" s="42">
        <v>0</v>
      </c>
      <c r="O1052" s="42">
        <v>0</v>
      </c>
      <c r="P1052" s="42">
        <v>0</v>
      </c>
      <c r="Q1052" s="20">
        <v>0</v>
      </c>
      <c r="R1052" s="44">
        <f t="shared" si="145"/>
        <v>1172676</v>
      </c>
      <c r="S1052" s="19">
        <v>3000</v>
      </c>
      <c r="T1052" s="19">
        <f t="shared" si="146"/>
        <v>1175676</v>
      </c>
      <c r="U1052" s="151"/>
      <c r="X1052" s="10">
        <f t="shared" si="143"/>
        <v>1172676</v>
      </c>
      <c r="Y1052" s="2">
        <f t="shared" si="144"/>
        <v>0</v>
      </c>
      <c r="Z1052" s="10">
        <f t="shared" si="147"/>
        <v>0</v>
      </c>
    </row>
    <row r="1053" spans="1:26" ht="18" customHeight="1" x14ac:dyDescent="0.25">
      <c r="A1053" s="11">
        <v>28</v>
      </c>
      <c r="B1053" s="54" t="s">
        <v>2658</v>
      </c>
      <c r="C1053" s="53" t="s">
        <v>2659</v>
      </c>
      <c r="D1053" s="13" t="s">
        <v>28</v>
      </c>
      <c r="E1053" s="14" t="s">
        <v>2660</v>
      </c>
      <c r="F1053" s="54" t="s">
        <v>24</v>
      </c>
      <c r="G1053" s="116">
        <v>7700</v>
      </c>
      <c r="H1053" s="52" t="s">
        <v>25</v>
      </c>
      <c r="I1053" s="117" t="s">
        <v>2661</v>
      </c>
      <c r="J1053" s="117">
        <v>0</v>
      </c>
      <c r="K1053" s="117">
        <v>0</v>
      </c>
      <c r="L1053" s="116">
        <v>2888</v>
      </c>
      <c r="M1053" s="44">
        <v>4908243</v>
      </c>
      <c r="N1053" s="42">
        <v>0</v>
      </c>
      <c r="O1053" s="42">
        <v>0</v>
      </c>
      <c r="P1053" s="42">
        <v>0</v>
      </c>
      <c r="Q1053" s="20">
        <v>0</v>
      </c>
      <c r="R1053" s="44">
        <f t="shared" si="145"/>
        <v>4908243</v>
      </c>
      <c r="S1053" s="19">
        <v>3000</v>
      </c>
      <c r="T1053" s="19">
        <f t="shared" si="146"/>
        <v>4911243</v>
      </c>
      <c r="U1053" s="151"/>
      <c r="X1053" s="10">
        <f t="shared" si="143"/>
        <v>4908243</v>
      </c>
      <c r="Y1053" s="2">
        <f t="shared" si="144"/>
        <v>0</v>
      </c>
      <c r="Z1053" s="10">
        <f t="shared" si="147"/>
        <v>0</v>
      </c>
    </row>
    <row r="1054" spans="1:26" ht="18" customHeight="1" x14ac:dyDescent="0.25">
      <c r="A1054" s="11">
        <v>29</v>
      </c>
      <c r="B1054" s="54" t="s">
        <v>2662</v>
      </c>
      <c r="C1054" s="53" t="s">
        <v>2663</v>
      </c>
      <c r="D1054" s="13" t="s">
        <v>28</v>
      </c>
      <c r="E1054" s="14" t="s">
        <v>2664</v>
      </c>
      <c r="F1054" s="54" t="s">
        <v>24</v>
      </c>
      <c r="G1054" s="116">
        <v>7700</v>
      </c>
      <c r="H1054" s="52" t="s">
        <v>25</v>
      </c>
      <c r="I1054" s="117" t="s">
        <v>2665</v>
      </c>
      <c r="J1054" s="117">
        <v>0</v>
      </c>
      <c r="K1054" s="117">
        <v>0</v>
      </c>
      <c r="L1054" s="116">
        <v>2888</v>
      </c>
      <c r="M1054" s="44">
        <v>4908243</v>
      </c>
      <c r="N1054" s="42">
        <v>0</v>
      </c>
      <c r="O1054" s="42">
        <v>0</v>
      </c>
      <c r="P1054" s="42">
        <v>0</v>
      </c>
      <c r="Q1054" s="20">
        <v>0</v>
      </c>
      <c r="R1054" s="44">
        <f t="shared" si="145"/>
        <v>4908243</v>
      </c>
      <c r="S1054" s="19">
        <v>3000</v>
      </c>
      <c r="T1054" s="19">
        <f t="shared" si="146"/>
        <v>4911243</v>
      </c>
      <c r="U1054" s="151"/>
      <c r="X1054" s="10">
        <f t="shared" si="143"/>
        <v>4908243</v>
      </c>
      <c r="Y1054" s="2">
        <f t="shared" si="144"/>
        <v>0</v>
      </c>
      <c r="Z1054" s="10">
        <f t="shared" si="147"/>
        <v>0</v>
      </c>
    </row>
    <row r="1055" spans="1:26" ht="18" customHeight="1" x14ac:dyDescent="0.25">
      <c r="A1055" s="11">
        <v>30</v>
      </c>
      <c r="B1055" s="54" t="s">
        <v>2666</v>
      </c>
      <c r="C1055" s="53" t="s">
        <v>2667</v>
      </c>
      <c r="D1055" s="13" t="s">
        <v>28</v>
      </c>
      <c r="E1055" s="14" t="s">
        <v>2668</v>
      </c>
      <c r="F1055" s="54" t="s">
        <v>24</v>
      </c>
      <c r="G1055" s="116">
        <v>5500</v>
      </c>
      <c r="H1055" s="52" t="s">
        <v>25</v>
      </c>
      <c r="I1055" s="117" t="s">
        <v>2669</v>
      </c>
      <c r="J1055" s="117">
        <v>26659</v>
      </c>
      <c r="K1055" s="117">
        <v>28437</v>
      </c>
      <c r="L1055" s="116">
        <v>1778</v>
      </c>
      <c r="M1055" s="44">
        <v>3021764</v>
      </c>
      <c r="N1055" s="42">
        <v>0</v>
      </c>
      <c r="O1055" s="42">
        <v>0</v>
      </c>
      <c r="P1055" s="42">
        <v>0</v>
      </c>
      <c r="Q1055" s="20">
        <v>0</v>
      </c>
      <c r="R1055" s="44">
        <f t="shared" si="145"/>
        <v>3021764</v>
      </c>
      <c r="S1055" s="19">
        <v>3000</v>
      </c>
      <c r="T1055" s="19">
        <f t="shared" si="146"/>
        <v>3024764</v>
      </c>
      <c r="U1055" s="151"/>
      <c r="X1055" s="10">
        <f t="shared" si="143"/>
        <v>3021764</v>
      </c>
      <c r="Y1055" s="2">
        <f t="shared" si="144"/>
        <v>0</v>
      </c>
      <c r="Z1055" s="10">
        <f t="shared" si="147"/>
        <v>0</v>
      </c>
    </row>
    <row r="1056" spans="1:26" ht="18" customHeight="1" x14ac:dyDescent="0.25">
      <c r="A1056" s="11">
        <v>31</v>
      </c>
      <c r="B1056" s="54" t="s">
        <v>2670</v>
      </c>
      <c r="C1056" s="53" t="s">
        <v>2671</v>
      </c>
      <c r="D1056" s="13" t="s">
        <v>28</v>
      </c>
      <c r="E1056" s="14" t="s">
        <v>2672</v>
      </c>
      <c r="F1056" s="54" t="s">
        <v>24</v>
      </c>
      <c r="G1056" s="116">
        <v>10600</v>
      </c>
      <c r="H1056" s="52" t="s">
        <v>25</v>
      </c>
      <c r="I1056" s="117" t="s">
        <v>2673</v>
      </c>
      <c r="J1056" s="117">
        <v>0</v>
      </c>
      <c r="K1056" s="117">
        <v>0</v>
      </c>
      <c r="L1056" s="116">
        <v>3975</v>
      </c>
      <c r="M1056" s="44">
        <v>6755632</v>
      </c>
      <c r="N1056" s="42">
        <v>0</v>
      </c>
      <c r="O1056" s="42">
        <v>0</v>
      </c>
      <c r="P1056" s="42">
        <v>0</v>
      </c>
      <c r="Q1056" s="20">
        <v>10000</v>
      </c>
      <c r="R1056" s="44">
        <f t="shared" si="145"/>
        <v>6765632</v>
      </c>
      <c r="S1056" s="19">
        <v>3000</v>
      </c>
      <c r="T1056" s="19">
        <f t="shared" si="146"/>
        <v>6768632</v>
      </c>
      <c r="U1056" s="151"/>
      <c r="X1056" s="10">
        <f t="shared" si="143"/>
        <v>6755632</v>
      </c>
      <c r="Y1056" s="2">
        <f t="shared" si="144"/>
        <v>10000</v>
      </c>
      <c r="Z1056" s="10">
        <f t="shared" si="147"/>
        <v>0</v>
      </c>
    </row>
    <row r="1057" spans="1:26" ht="18" customHeight="1" x14ac:dyDescent="0.25">
      <c r="A1057" s="11">
        <v>32</v>
      </c>
      <c r="B1057" s="54" t="s">
        <v>2674</v>
      </c>
      <c r="C1057" s="53" t="s">
        <v>2675</v>
      </c>
      <c r="D1057" s="13" t="s">
        <v>28</v>
      </c>
      <c r="E1057" s="14" t="s">
        <v>2676</v>
      </c>
      <c r="F1057" s="54" t="s">
        <v>24</v>
      </c>
      <c r="G1057" s="116">
        <v>7700</v>
      </c>
      <c r="H1057" s="52" t="s">
        <v>25</v>
      </c>
      <c r="I1057" s="117" t="s">
        <v>2677</v>
      </c>
      <c r="J1057" s="117">
        <v>0</v>
      </c>
      <c r="K1057" s="117">
        <v>0</v>
      </c>
      <c r="L1057" s="116">
        <v>2888</v>
      </c>
      <c r="M1057" s="44">
        <v>4908243</v>
      </c>
      <c r="N1057" s="42">
        <v>0</v>
      </c>
      <c r="O1057" s="42">
        <v>0</v>
      </c>
      <c r="P1057" s="42">
        <v>0</v>
      </c>
      <c r="Q1057" s="20">
        <v>0</v>
      </c>
      <c r="R1057" s="44">
        <f t="shared" si="145"/>
        <v>4908243</v>
      </c>
      <c r="S1057" s="19">
        <v>3000</v>
      </c>
      <c r="T1057" s="19">
        <f t="shared" si="146"/>
        <v>4911243</v>
      </c>
      <c r="U1057" s="151"/>
      <c r="X1057" s="10">
        <f t="shared" si="143"/>
        <v>4908243</v>
      </c>
      <c r="Y1057" s="2">
        <f t="shared" si="144"/>
        <v>0</v>
      </c>
      <c r="Z1057" s="10">
        <f t="shared" si="147"/>
        <v>0</v>
      </c>
    </row>
    <row r="1058" spans="1:26" ht="18" customHeight="1" x14ac:dyDescent="0.25">
      <c r="A1058" s="11">
        <v>33</v>
      </c>
      <c r="B1058" s="54" t="s">
        <v>2678</v>
      </c>
      <c r="C1058" s="53" t="s">
        <v>2679</v>
      </c>
      <c r="D1058" s="13" t="s">
        <v>28</v>
      </c>
      <c r="E1058" s="14" t="s">
        <v>2680</v>
      </c>
      <c r="F1058" s="54" t="s">
        <v>24</v>
      </c>
      <c r="G1058" s="116">
        <v>7700</v>
      </c>
      <c r="H1058" s="52" t="s">
        <v>25</v>
      </c>
      <c r="I1058" s="117" t="s">
        <v>2681</v>
      </c>
      <c r="J1058" s="117">
        <v>0</v>
      </c>
      <c r="K1058" s="117">
        <v>0</v>
      </c>
      <c r="L1058" s="116">
        <v>2888</v>
      </c>
      <c r="M1058" s="44">
        <v>4908243</v>
      </c>
      <c r="N1058" s="42">
        <v>0</v>
      </c>
      <c r="O1058" s="42">
        <v>0</v>
      </c>
      <c r="P1058" s="42">
        <v>0</v>
      </c>
      <c r="Q1058" s="20">
        <v>0</v>
      </c>
      <c r="R1058" s="44">
        <f t="shared" si="145"/>
        <v>4908243</v>
      </c>
      <c r="S1058" s="19">
        <v>3000</v>
      </c>
      <c r="T1058" s="19">
        <f t="shared" si="146"/>
        <v>4911243</v>
      </c>
      <c r="U1058" s="151"/>
      <c r="X1058" s="10">
        <f t="shared" si="143"/>
        <v>4908243</v>
      </c>
      <c r="Y1058" s="2">
        <f t="shared" si="144"/>
        <v>0</v>
      </c>
      <c r="Z1058" s="10">
        <f t="shared" si="147"/>
        <v>0</v>
      </c>
    </row>
    <row r="1059" spans="1:26" ht="18" customHeight="1" x14ac:dyDescent="0.25">
      <c r="A1059" s="11">
        <v>34</v>
      </c>
      <c r="B1059" s="54" t="s">
        <v>2682</v>
      </c>
      <c r="C1059" s="53" t="s">
        <v>2683</v>
      </c>
      <c r="D1059" s="13" t="s">
        <v>28</v>
      </c>
      <c r="E1059" s="14" t="s">
        <v>2684</v>
      </c>
      <c r="F1059" s="54" t="s">
        <v>24</v>
      </c>
      <c r="G1059" s="116">
        <v>5500</v>
      </c>
      <c r="H1059" s="52" t="s">
        <v>25</v>
      </c>
      <c r="I1059" s="117" t="s">
        <v>2685</v>
      </c>
      <c r="J1059" s="117">
        <v>0</v>
      </c>
      <c r="K1059" s="117">
        <v>0</v>
      </c>
      <c r="L1059" s="116">
        <v>2063</v>
      </c>
      <c r="M1059" s="44">
        <v>3506130</v>
      </c>
      <c r="N1059" s="42">
        <v>0</v>
      </c>
      <c r="O1059" s="42">
        <v>0</v>
      </c>
      <c r="P1059" s="42">
        <v>0</v>
      </c>
      <c r="Q1059" s="20">
        <v>0</v>
      </c>
      <c r="R1059" s="44">
        <f t="shared" si="145"/>
        <v>3506130</v>
      </c>
      <c r="S1059" s="19">
        <v>3000</v>
      </c>
      <c r="T1059" s="19">
        <f t="shared" si="146"/>
        <v>3509130</v>
      </c>
      <c r="U1059" s="151"/>
      <c r="X1059" s="10">
        <f t="shared" si="143"/>
        <v>3506130</v>
      </c>
      <c r="Y1059" s="2">
        <f t="shared" si="144"/>
        <v>0</v>
      </c>
      <c r="Z1059" s="10">
        <f t="shared" si="147"/>
        <v>0</v>
      </c>
    </row>
    <row r="1060" spans="1:26" ht="18" customHeight="1" x14ac:dyDescent="0.25">
      <c r="A1060" s="11">
        <v>35</v>
      </c>
      <c r="B1060" s="54" t="s">
        <v>2686</v>
      </c>
      <c r="C1060" s="53" t="s">
        <v>2687</v>
      </c>
      <c r="D1060" s="13" t="s">
        <v>28</v>
      </c>
      <c r="E1060" s="14" t="s">
        <v>2688</v>
      </c>
      <c r="F1060" s="54" t="s">
        <v>24</v>
      </c>
      <c r="G1060" s="116">
        <v>7700</v>
      </c>
      <c r="H1060" s="52" t="s">
        <v>25</v>
      </c>
      <c r="I1060" s="117" t="s">
        <v>2689</v>
      </c>
      <c r="J1060" s="117">
        <v>69988</v>
      </c>
      <c r="K1060" s="117">
        <v>72011</v>
      </c>
      <c r="L1060" s="116">
        <v>2023</v>
      </c>
      <c r="M1060" s="44">
        <v>3438149</v>
      </c>
      <c r="N1060" s="42">
        <v>0</v>
      </c>
      <c r="O1060" s="42">
        <v>0</v>
      </c>
      <c r="P1060" s="42">
        <v>0</v>
      </c>
      <c r="Q1060" s="20">
        <v>0</v>
      </c>
      <c r="R1060" s="44">
        <f t="shared" si="145"/>
        <v>3438149</v>
      </c>
      <c r="S1060" s="19">
        <v>3000</v>
      </c>
      <c r="T1060" s="19">
        <f t="shared" si="146"/>
        <v>3441149</v>
      </c>
      <c r="U1060" s="151"/>
      <c r="X1060" s="10">
        <f t="shared" si="143"/>
        <v>3438149</v>
      </c>
      <c r="Y1060" s="2">
        <f t="shared" si="144"/>
        <v>0</v>
      </c>
      <c r="Z1060" s="10">
        <f t="shared" si="147"/>
        <v>0</v>
      </c>
    </row>
    <row r="1061" spans="1:26" ht="18" customHeight="1" x14ac:dyDescent="0.25">
      <c r="A1061" s="11">
        <v>36</v>
      </c>
      <c r="B1061" s="54" t="s">
        <v>2690</v>
      </c>
      <c r="C1061" s="53" t="s">
        <v>2691</v>
      </c>
      <c r="D1061" s="13" t="s">
        <v>28</v>
      </c>
      <c r="E1061" s="14" t="s">
        <v>2692</v>
      </c>
      <c r="F1061" s="54" t="s">
        <v>24</v>
      </c>
      <c r="G1061" s="116">
        <v>7700</v>
      </c>
      <c r="H1061" s="52" t="s">
        <v>25</v>
      </c>
      <c r="I1061" s="117" t="s">
        <v>2693</v>
      </c>
      <c r="J1061" s="117">
        <v>0</v>
      </c>
      <c r="K1061" s="117">
        <v>0</v>
      </c>
      <c r="L1061" s="116">
        <v>2888</v>
      </c>
      <c r="M1061" s="44">
        <v>4908243</v>
      </c>
      <c r="N1061" s="42">
        <v>0</v>
      </c>
      <c r="O1061" s="42">
        <v>0</v>
      </c>
      <c r="P1061" s="42">
        <v>0</v>
      </c>
      <c r="Q1061" s="20">
        <v>0</v>
      </c>
      <c r="R1061" s="44">
        <f t="shared" si="145"/>
        <v>4908243</v>
      </c>
      <c r="S1061" s="19">
        <v>3000</v>
      </c>
      <c r="T1061" s="19">
        <f t="shared" si="146"/>
        <v>4911243</v>
      </c>
      <c r="U1061" s="151"/>
      <c r="X1061" s="10">
        <f t="shared" si="143"/>
        <v>4908243</v>
      </c>
      <c r="Y1061" s="2">
        <f t="shared" si="144"/>
        <v>0</v>
      </c>
      <c r="Z1061" s="10">
        <f t="shared" si="147"/>
        <v>0</v>
      </c>
    </row>
    <row r="1062" spans="1:26" ht="18" customHeight="1" x14ac:dyDescent="0.25">
      <c r="A1062" s="11">
        <v>37</v>
      </c>
      <c r="B1062" s="54" t="s">
        <v>2694</v>
      </c>
      <c r="C1062" s="53" t="s">
        <v>2695</v>
      </c>
      <c r="D1062" s="13" t="s">
        <v>28</v>
      </c>
      <c r="E1062" s="14" t="s">
        <v>2696</v>
      </c>
      <c r="F1062" s="54" t="s">
        <v>24</v>
      </c>
      <c r="G1062" s="116">
        <v>6890</v>
      </c>
      <c r="H1062" s="52" t="s">
        <v>25</v>
      </c>
      <c r="I1062" s="117" t="s">
        <v>2697</v>
      </c>
      <c r="J1062" s="117">
        <v>0</v>
      </c>
      <c r="K1062" s="117">
        <v>0</v>
      </c>
      <c r="L1062" s="116">
        <v>2584</v>
      </c>
      <c r="M1062" s="44">
        <v>4391586</v>
      </c>
      <c r="N1062" s="42">
        <v>0</v>
      </c>
      <c r="O1062" s="42">
        <v>0</v>
      </c>
      <c r="P1062" s="42">
        <v>0</v>
      </c>
      <c r="Q1062" s="20">
        <v>0</v>
      </c>
      <c r="R1062" s="44">
        <f t="shared" si="145"/>
        <v>4391586</v>
      </c>
      <c r="S1062" s="19">
        <v>3000</v>
      </c>
      <c r="T1062" s="19">
        <f t="shared" si="146"/>
        <v>4394586</v>
      </c>
      <c r="U1062" s="151"/>
      <c r="X1062" s="10">
        <f t="shared" si="143"/>
        <v>4391586</v>
      </c>
      <c r="Y1062" s="2">
        <f t="shared" si="144"/>
        <v>0</v>
      </c>
      <c r="Z1062" s="10">
        <f t="shared" si="147"/>
        <v>0</v>
      </c>
    </row>
    <row r="1063" spans="1:26" ht="18" customHeight="1" x14ac:dyDescent="0.25">
      <c r="A1063" s="11">
        <v>38</v>
      </c>
      <c r="B1063" s="54" t="s">
        <v>2698</v>
      </c>
      <c r="C1063" s="53" t="s">
        <v>2699</v>
      </c>
      <c r="D1063" s="13" t="s">
        <v>28</v>
      </c>
      <c r="E1063" s="14" t="s">
        <v>2696</v>
      </c>
      <c r="F1063" s="54" t="s">
        <v>24</v>
      </c>
      <c r="G1063" s="116">
        <v>11000</v>
      </c>
      <c r="H1063" s="52" t="s">
        <v>25</v>
      </c>
      <c r="I1063" s="117" t="s">
        <v>2700</v>
      </c>
      <c r="J1063" s="117">
        <v>22373</v>
      </c>
      <c r="K1063" s="117">
        <v>24423</v>
      </c>
      <c r="L1063" s="116">
        <v>2050</v>
      </c>
      <c r="M1063" s="44">
        <v>3484037</v>
      </c>
      <c r="N1063" s="42">
        <v>0</v>
      </c>
      <c r="O1063" s="42">
        <v>0</v>
      </c>
      <c r="P1063" s="42">
        <v>0</v>
      </c>
      <c r="Q1063" s="20">
        <v>0</v>
      </c>
      <c r="R1063" s="44">
        <f t="shared" si="145"/>
        <v>3484037</v>
      </c>
      <c r="S1063" s="19">
        <v>3000</v>
      </c>
      <c r="T1063" s="19">
        <f t="shared" si="146"/>
        <v>3487037</v>
      </c>
      <c r="U1063" s="151"/>
      <c r="X1063" s="10">
        <f t="shared" si="143"/>
        <v>3484037</v>
      </c>
      <c r="Y1063" s="2">
        <f t="shared" si="144"/>
        <v>0</v>
      </c>
      <c r="Z1063" s="10">
        <f t="shared" si="147"/>
        <v>0</v>
      </c>
    </row>
    <row r="1064" spans="1:26" ht="18" customHeight="1" x14ac:dyDescent="0.25">
      <c r="A1064" s="11">
        <v>39</v>
      </c>
      <c r="B1064" s="54" t="s">
        <v>2701</v>
      </c>
      <c r="C1064" s="53" t="s">
        <v>2702</v>
      </c>
      <c r="D1064" s="13" t="s">
        <v>28</v>
      </c>
      <c r="E1064" s="14" t="s">
        <v>2634</v>
      </c>
      <c r="F1064" s="54" t="s">
        <v>24</v>
      </c>
      <c r="G1064" s="116">
        <v>1000</v>
      </c>
      <c r="H1064" s="52" t="s">
        <v>25</v>
      </c>
      <c r="I1064" s="117" t="s">
        <v>2703</v>
      </c>
      <c r="J1064" s="117">
        <v>36337</v>
      </c>
      <c r="K1064" s="117">
        <v>36785</v>
      </c>
      <c r="L1064" s="116">
        <v>448</v>
      </c>
      <c r="M1064" s="44">
        <v>761389</v>
      </c>
      <c r="N1064" s="42">
        <v>0</v>
      </c>
      <c r="O1064" s="42">
        <v>0</v>
      </c>
      <c r="P1064" s="42">
        <v>0</v>
      </c>
      <c r="Q1064" s="20">
        <v>0</v>
      </c>
      <c r="R1064" s="44">
        <f t="shared" si="145"/>
        <v>761389</v>
      </c>
      <c r="S1064" s="19">
        <v>3000</v>
      </c>
      <c r="T1064" s="19">
        <f t="shared" si="146"/>
        <v>764389</v>
      </c>
      <c r="U1064" s="151"/>
      <c r="X1064" s="10">
        <f t="shared" si="143"/>
        <v>761389</v>
      </c>
      <c r="Y1064" s="2">
        <f t="shared" si="144"/>
        <v>0</v>
      </c>
      <c r="Z1064" s="10">
        <f t="shared" si="147"/>
        <v>0</v>
      </c>
    </row>
    <row r="1065" spans="1:26" ht="18" customHeight="1" x14ac:dyDescent="0.25">
      <c r="A1065" s="11">
        <v>40</v>
      </c>
      <c r="B1065" s="54" t="s">
        <v>2704</v>
      </c>
      <c r="C1065" s="53" t="s">
        <v>2705</v>
      </c>
      <c r="D1065" s="13" t="s">
        <v>28</v>
      </c>
      <c r="E1065" s="53" t="s">
        <v>2634</v>
      </c>
      <c r="F1065" s="54" t="s">
        <v>24</v>
      </c>
      <c r="G1065" s="116">
        <v>11000</v>
      </c>
      <c r="H1065" s="52" t="s">
        <v>25</v>
      </c>
      <c r="I1065" s="117" t="s">
        <v>2706</v>
      </c>
      <c r="J1065" s="117">
        <v>24921</v>
      </c>
      <c r="K1065" s="117">
        <v>25840</v>
      </c>
      <c r="L1065" s="116">
        <v>919</v>
      </c>
      <c r="M1065" s="44">
        <v>1561868</v>
      </c>
      <c r="N1065" s="42">
        <v>0</v>
      </c>
      <c r="O1065" s="42">
        <v>0</v>
      </c>
      <c r="P1065" s="42">
        <v>0</v>
      </c>
      <c r="Q1065" s="42">
        <v>0</v>
      </c>
      <c r="R1065" s="44">
        <f t="shared" si="145"/>
        <v>1561868</v>
      </c>
      <c r="S1065" s="19">
        <v>3000</v>
      </c>
      <c r="T1065" s="19">
        <f t="shared" si="146"/>
        <v>1564868</v>
      </c>
      <c r="U1065" s="151"/>
      <c r="X1065" s="10">
        <f t="shared" si="143"/>
        <v>1561868</v>
      </c>
      <c r="Y1065" s="2">
        <f t="shared" si="144"/>
        <v>0</v>
      </c>
      <c r="Z1065" s="10">
        <f t="shared" si="147"/>
        <v>0</v>
      </c>
    </row>
    <row r="1066" spans="1:26" ht="18" customHeight="1" x14ac:dyDescent="0.25">
      <c r="A1066" s="11"/>
      <c r="B1066" s="107"/>
      <c r="C1066" s="13"/>
      <c r="D1066" s="13"/>
      <c r="E1066" s="13"/>
      <c r="F1066" s="15"/>
      <c r="G1066" s="18"/>
      <c r="H1066" s="118"/>
      <c r="I1066" s="15" t="s">
        <v>0</v>
      </c>
      <c r="J1066" s="15"/>
      <c r="K1066" s="15"/>
      <c r="L1066" s="18"/>
      <c r="M1066" s="19"/>
      <c r="N1066" s="20"/>
      <c r="O1066" s="20"/>
      <c r="P1066" s="20"/>
      <c r="Q1066" s="20"/>
      <c r="R1066" s="19"/>
      <c r="S1066" s="19"/>
      <c r="T1066" s="19"/>
      <c r="U1066" s="105"/>
      <c r="X1066" s="10">
        <f t="shared" si="143"/>
        <v>0</v>
      </c>
      <c r="Y1066" s="2">
        <f t="shared" si="144"/>
        <v>0</v>
      </c>
      <c r="Z1066" s="10"/>
    </row>
    <row r="1067" spans="1:26" ht="33" customHeight="1" x14ac:dyDescent="0.25">
      <c r="A1067" s="11"/>
      <c r="B1067" s="107"/>
      <c r="C1067" s="13"/>
      <c r="D1067" s="13"/>
      <c r="E1067" s="14" t="s">
        <v>139</v>
      </c>
      <c r="F1067" s="15"/>
      <c r="G1067" s="61">
        <f>SUM(G1026:G1066)</f>
        <v>231410</v>
      </c>
      <c r="H1067" s="61">
        <f t="shared" ref="H1067:R1067" si="148">SUM(H1026:H1066)</f>
        <v>0</v>
      </c>
      <c r="I1067" s="61">
        <f t="shared" si="148"/>
        <v>0</v>
      </c>
      <c r="J1067" s="61"/>
      <c r="K1067" s="61"/>
      <c r="L1067" s="61">
        <f t="shared" si="148"/>
        <v>64942</v>
      </c>
      <c r="M1067" s="37">
        <f t="shared" si="148"/>
        <v>110370877</v>
      </c>
      <c r="N1067" s="38">
        <f t="shared" si="148"/>
        <v>0</v>
      </c>
      <c r="O1067" s="38">
        <f t="shared" si="148"/>
        <v>0</v>
      </c>
      <c r="P1067" s="38">
        <f t="shared" si="148"/>
        <v>0</v>
      </c>
      <c r="Q1067" s="38">
        <f t="shared" si="148"/>
        <v>20000</v>
      </c>
      <c r="R1067" s="37">
        <f t="shared" si="148"/>
        <v>110390877</v>
      </c>
      <c r="S1067" s="37">
        <f>SUM(S1026:S1066)</f>
        <v>120000</v>
      </c>
      <c r="T1067" s="37">
        <f>SUM(T1026:T1066)</f>
        <v>110510877</v>
      </c>
      <c r="U1067" s="147"/>
      <c r="W1067" s="62"/>
      <c r="X1067" s="10">
        <f t="shared" si="143"/>
        <v>110370877</v>
      </c>
      <c r="Y1067" s="2">
        <f t="shared" si="144"/>
        <v>10000</v>
      </c>
      <c r="Z1067" s="10"/>
    </row>
    <row r="1068" spans="1:26" ht="18" customHeight="1" x14ac:dyDescent="0.25">
      <c r="A1068" s="87"/>
      <c r="B1068" s="108"/>
      <c r="C1068" s="85"/>
      <c r="D1068" s="85"/>
      <c r="E1068" s="85"/>
      <c r="G1068" s="28"/>
      <c r="H1068" s="28"/>
      <c r="L1068" s="31"/>
      <c r="X1068" s="10">
        <f t="shared" si="143"/>
        <v>0</v>
      </c>
      <c r="Y1068" s="2">
        <f t="shared" si="144"/>
        <v>0</v>
      </c>
      <c r="Z1068" s="10"/>
    </row>
    <row r="1069" spans="1:26" ht="18" customHeight="1" x14ac:dyDescent="0.25">
      <c r="B1069" s="88"/>
      <c r="L1069" s="31"/>
      <c r="X1069" s="10">
        <f t="shared" si="143"/>
        <v>0</v>
      </c>
      <c r="Y1069" s="2">
        <f t="shared" si="144"/>
        <v>0</v>
      </c>
      <c r="Z1069" s="10"/>
    </row>
    <row r="1070" spans="1:26" s="84" customFormat="1" ht="39" customHeight="1" x14ac:dyDescent="0.25">
      <c r="A1070" s="9" t="s">
        <v>4</v>
      </c>
      <c r="B1070" s="21" t="s">
        <v>5</v>
      </c>
      <c r="C1070" s="21" t="s">
        <v>6</v>
      </c>
      <c r="D1070" s="12"/>
      <c r="E1070" s="9" t="s">
        <v>7</v>
      </c>
      <c r="F1070" s="21" t="s">
        <v>8</v>
      </c>
      <c r="G1070" s="21" t="s">
        <v>9</v>
      </c>
      <c r="H1070" s="21" t="s">
        <v>10</v>
      </c>
      <c r="I1070" s="21" t="s">
        <v>11</v>
      </c>
      <c r="J1070" s="21" t="s">
        <v>12</v>
      </c>
      <c r="K1070" s="21" t="s">
        <v>13</v>
      </c>
      <c r="L1070" s="21" t="s">
        <v>14</v>
      </c>
      <c r="M1070" s="143" t="s">
        <v>15</v>
      </c>
      <c r="N1070" s="144" t="s">
        <v>16</v>
      </c>
      <c r="O1070" s="144" t="s">
        <v>17</v>
      </c>
      <c r="P1070" s="144" t="s">
        <v>18</v>
      </c>
      <c r="Q1070" s="144" t="s">
        <v>19</v>
      </c>
      <c r="R1070" s="143" t="s">
        <v>20</v>
      </c>
      <c r="S1070" s="143" t="s">
        <v>3471</v>
      </c>
      <c r="T1070" s="143" t="s">
        <v>3472</v>
      </c>
      <c r="U1070" s="145"/>
      <c r="V1070" s="145"/>
      <c r="W1070" s="145"/>
      <c r="X1070" s="145"/>
    </row>
    <row r="1071" spans="1:26" ht="18" customHeight="1" x14ac:dyDescent="0.25">
      <c r="A1071" s="34"/>
      <c r="B1071" s="112"/>
      <c r="C1071" s="9"/>
      <c r="D1071" s="9"/>
      <c r="E1071" s="9"/>
      <c r="F1071" s="9"/>
      <c r="G1071" s="9"/>
      <c r="H1071" s="9"/>
      <c r="I1071" s="15"/>
      <c r="J1071" s="15"/>
      <c r="K1071" s="15"/>
      <c r="L1071" s="18"/>
      <c r="M1071" s="19"/>
      <c r="N1071" s="20"/>
      <c r="O1071" s="20"/>
      <c r="P1071" s="20"/>
      <c r="Q1071" s="20"/>
      <c r="R1071" s="19"/>
      <c r="S1071" s="19"/>
      <c r="T1071" s="19"/>
      <c r="U1071" s="105"/>
      <c r="X1071" s="10">
        <f t="shared" si="143"/>
        <v>0</v>
      </c>
      <c r="Y1071" s="2">
        <f t="shared" si="144"/>
        <v>0</v>
      </c>
      <c r="Z1071" s="10"/>
    </row>
    <row r="1072" spans="1:26" ht="18" customHeight="1" x14ac:dyDescent="0.25">
      <c r="A1072" s="51"/>
      <c r="B1072" s="112"/>
      <c r="C1072" s="35"/>
      <c r="D1072" s="35"/>
      <c r="E1072" s="35" t="s">
        <v>141</v>
      </c>
      <c r="F1072" s="15"/>
      <c r="G1072" s="36">
        <f>G1067</f>
        <v>231410</v>
      </c>
      <c r="H1072" s="36">
        <f t="shared" ref="H1072:R1072" si="149">H1067</f>
        <v>0</v>
      </c>
      <c r="I1072" s="36">
        <f t="shared" si="149"/>
        <v>0</v>
      </c>
      <c r="J1072" s="36"/>
      <c r="K1072" s="36"/>
      <c r="L1072" s="36">
        <f t="shared" si="149"/>
        <v>64942</v>
      </c>
      <c r="M1072" s="37">
        <f t="shared" si="149"/>
        <v>110370877</v>
      </c>
      <c r="N1072" s="38">
        <f t="shared" si="149"/>
        <v>0</v>
      </c>
      <c r="O1072" s="38">
        <f t="shared" si="149"/>
        <v>0</v>
      </c>
      <c r="P1072" s="38">
        <f t="shared" si="149"/>
        <v>0</v>
      </c>
      <c r="Q1072" s="38">
        <f t="shared" si="149"/>
        <v>20000</v>
      </c>
      <c r="R1072" s="37">
        <f t="shared" si="149"/>
        <v>110390877</v>
      </c>
      <c r="S1072" s="37">
        <f>S1067</f>
        <v>120000</v>
      </c>
      <c r="T1072" s="37">
        <f>T1067</f>
        <v>110510877</v>
      </c>
      <c r="U1072" s="147"/>
      <c r="X1072" s="10">
        <f t="shared" si="143"/>
        <v>110370877</v>
      </c>
      <c r="Y1072" s="2">
        <f t="shared" si="144"/>
        <v>10000</v>
      </c>
      <c r="Z1072" s="10"/>
    </row>
    <row r="1073" spans="1:26" ht="18" customHeight="1" x14ac:dyDescent="0.25">
      <c r="A1073" s="11">
        <v>41</v>
      </c>
      <c r="B1073" s="52" t="s">
        <v>2707</v>
      </c>
      <c r="C1073" s="53" t="s">
        <v>2708</v>
      </c>
      <c r="D1073" s="13" t="s">
        <v>28</v>
      </c>
      <c r="E1073" s="53" t="s">
        <v>2709</v>
      </c>
      <c r="F1073" s="54" t="s">
        <v>24</v>
      </c>
      <c r="G1073" s="116">
        <v>10600</v>
      </c>
      <c r="H1073" s="52" t="s">
        <v>25</v>
      </c>
      <c r="I1073" s="117" t="s">
        <v>2710</v>
      </c>
      <c r="J1073" s="117">
        <v>0</v>
      </c>
      <c r="K1073" s="117">
        <v>0</v>
      </c>
      <c r="L1073" s="18">
        <v>3975</v>
      </c>
      <c r="M1073" s="19">
        <v>6755632</v>
      </c>
      <c r="N1073" s="20">
        <v>0</v>
      </c>
      <c r="O1073" s="20">
        <v>0</v>
      </c>
      <c r="P1073" s="20">
        <v>0</v>
      </c>
      <c r="Q1073" s="20">
        <v>10000</v>
      </c>
      <c r="R1073" s="19">
        <f t="shared" ref="R1073:R1112" si="150">M1073+N1073+O1073+P1073+Q1073</f>
        <v>6765632</v>
      </c>
      <c r="S1073" s="19">
        <v>3000</v>
      </c>
      <c r="T1073" s="19">
        <f t="shared" ref="T1073:T1112" si="151">R1073+S1073</f>
        <v>6768632</v>
      </c>
      <c r="U1073" s="105"/>
      <c r="X1073" s="10">
        <f t="shared" si="143"/>
        <v>6755632</v>
      </c>
      <c r="Y1073" s="2">
        <f t="shared" si="144"/>
        <v>10000</v>
      </c>
      <c r="Z1073" s="10">
        <f t="shared" ref="Z1073:Z1112" si="152">Q1073-Y1073</f>
        <v>0</v>
      </c>
    </row>
    <row r="1074" spans="1:26" ht="18" customHeight="1" x14ac:dyDescent="0.25">
      <c r="A1074" s="11">
        <v>42</v>
      </c>
      <c r="B1074" s="52" t="s">
        <v>2711</v>
      </c>
      <c r="C1074" s="53" t="s">
        <v>2712</v>
      </c>
      <c r="D1074" s="13" t="s">
        <v>28</v>
      </c>
      <c r="E1074" s="53" t="s">
        <v>2713</v>
      </c>
      <c r="F1074" s="54" t="s">
        <v>24</v>
      </c>
      <c r="G1074" s="116">
        <v>10600</v>
      </c>
      <c r="H1074" s="52" t="s">
        <v>25</v>
      </c>
      <c r="I1074" s="117" t="s">
        <v>2714</v>
      </c>
      <c r="J1074" s="117">
        <v>0</v>
      </c>
      <c r="K1074" s="117">
        <v>0</v>
      </c>
      <c r="L1074" s="18">
        <v>3975</v>
      </c>
      <c r="M1074" s="19">
        <v>6755632</v>
      </c>
      <c r="N1074" s="20">
        <v>0</v>
      </c>
      <c r="O1074" s="20">
        <v>0</v>
      </c>
      <c r="P1074" s="20">
        <v>0</v>
      </c>
      <c r="Q1074" s="20">
        <v>10000</v>
      </c>
      <c r="R1074" s="19">
        <f t="shared" si="150"/>
        <v>6765632</v>
      </c>
      <c r="S1074" s="19">
        <v>3000</v>
      </c>
      <c r="T1074" s="19">
        <f t="shared" si="151"/>
        <v>6768632</v>
      </c>
      <c r="U1074" s="105"/>
      <c r="X1074" s="10">
        <f t="shared" si="143"/>
        <v>6755632</v>
      </c>
      <c r="Y1074" s="2">
        <f t="shared" si="144"/>
        <v>10000</v>
      </c>
      <c r="Z1074" s="10">
        <f t="shared" si="152"/>
        <v>0</v>
      </c>
    </row>
    <row r="1075" spans="1:26" ht="18" customHeight="1" x14ac:dyDescent="0.25">
      <c r="A1075" s="11">
        <v>43</v>
      </c>
      <c r="B1075" s="52" t="s">
        <v>2715</v>
      </c>
      <c r="C1075" s="53" t="s">
        <v>2716</v>
      </c>
      <c r="D1075" s="13" t="s">
        <v>22</v>
      </c>
      <c r="E1075" s="53" t="s">
        <v>2717</v>
      </c>
      <c r="F1075" s="54" t="s">
        <v>24</v>
      </c>
      <c r="G1075" s="116">
        <v>16500</v>
      </c>
      <c r="H1075" s="52" t="s">
        <v>25</v>
      </c>
      <c r="I1075" s="117" t="s">
        <v>2718</v>
      </c>
      <c r="J1075" s="117">
        <v>0</v>
      </c>
      <c r="K1075" s="117">
        <v>0</v>
      </c>
      <c r="L1075" s="18">
        <v>6188</v>
      </c>
      <c r="M1075" s="19">
        <v>10516692</v>
      </c>
      <c r="N1075" s="20">
        <v>0</v>
      </c>
      <c r="O1075" s="20">
        <v>0</v>
      </c>
      <c r="P1075" s="20">
        <v>0</v>
      </c>
      <c r="Q1075" s="20">
        <v>10000</v>
      </c>
      <c r="R1075" s="19">
        <f t="shared" si="150"/>
        <v>10526692</v>
      </c>
      <c r="S1075" s="19">
        <v>3000</v>
      </c>
      <c r="T1075" s="19">
        <f t="shared" si="151"/>
        <v>10529692</v>
      </c>
      <c r="U1075" s="105"/>
      <c r="X1075" s="10">
        <f t="shared" si="143"/>
        <v>10516692</v>
      </c>
      <c r="Y1075" s="2">
        <f t="shared" si="144"/>
        <v>10000</v>
      </c>
      <c r="Z1075" s="10">
        <f t="shared" si="152"/>
        <v>0</v>
      </c>
    </row>
    <row r="1076" spans="1:26" ht="18" customHeight="1" x14ac:dyDescent="0.25">
      <c r="A1076" s="11">
        <v>44</v>
      </c>
      <c r="B1076" s="52" t="s">
        <v>2719</v>
      </c>
      <c r="C1076" s="53" t="s">
        <v>2720</v>
      </c>
      <c r="D1076" s="13" t="s">
        <v>28</v>
      </c>
      <c r="E1076" s="53" t="s">
        <v>2721</v>
      </c>
      <c r="F1076" s="54" t="s">
        <v>24</v>
      </c>
      <c r="G1076" s="116">
        <v>7700</v>
      </c>
      <c r="H1076" s="52" t="s">
        <v>25</v>
      </c>
      <c r="I1076" s="117" t="s">
        <v>2722</v>
      </c>
      <c r="J1076" s="117">
        <v>0</v>
      </c>
      <c r="K1076" s="117">
        <v>0</v>
      </c>
      <c r="L1076" s="18">
        <v>2888</v>
      </c>
      <c r="M1076" s="19">
        <v>4908243</v>
      </c>
      <c r="N1076" s="20">
        <v>0</v>
      </c>
      <c r="O1076" s="20">
        <v>0</v>
      </c>
      <c r="P1076" s="20">
        <v>0</v>
      </c>
      <c r="Q1076" s="20">
        <v>0</v>
      </c>
      <c r="R1076" s="19">
        <f t="shared" si="150"/>
        <v>4908243</v>
      </c>
      <c r="S1076" s="19">
        <v>3000</v>
      </c>
      <c r="T1076" s="19">
        <f t="shared" si="151"/>
        <v>4911243</v>
      </c>
      <c r="U1076" s="105"/>
      <c r="X1076" s="10">
        <f t="shared" si="143"/>
        <v>4908243</v>
      </c>
      <c r="Y1076" s="2">
        <f t="shared" si="144"/>
        <v>0</v>
      </c>
      <c r="Z1076" s="10">
        <f t="shared" si="152"/>
        <v>0</v>
      </c>
    </row>
    <row r="1077" spans="1:26" ht="18" customHeight="1" x14ac:dyDescent="0.25">
      <c r="A1077" s="11">
        <v>45</v>
      </c>
      <c r="B1077" s="52" t="s">
        <v>2723</v>
      </c>
      <c r="C1077" s="53" t="s">
        <v>2724</v>
      </c>
      <c r="D1077" s="13" t="s">
        <v>22</v>
      </c>
      <c r="E1077" s="53" t="s">
        <v>2688</v>
      </c>
      <c r="F1077" s="54" t="s">
        <v>24</v>
      </c>
      <c r="G1077" s="116">
        <v>4400</v>
      </c>
      <c r="H1077" s="52" t="s">
        <v>25</v>
      </c>
      <c r="I1077" s="117" t="s">
        <v>2725</v>
      </c>
      <c r="J1077" s="117">
        <v>16677</v>
      </c>
      <c r="K1077" s="117">
        <v>17837</v>
      </c>
      <c r="L1077" s="18">
        <v>1160</v>
      </c>
      <c r="M1077" s="19">
        <v>1971455</v>
      </c>
      <c r="N1077" s="20">
        <v>0</v>
      </c>
      <c r="O1077" s="20">
        <v>0</v>
      </c>
      <c r="P1077" s="20">
        <v>0</v>
      </c>
      <c r="Q1077" s="20">
        <v>0</v>
      </c>
      <c r="R1077" s="19">
        <f t="shared" si="150"/>
        <v>1971455</v>
      </c>
      <c r="S1077" s="19">
        <v>3000</v>
      </c>
      <c r="T1077" s="19">
        <f t="shared" si="151"/>
        <v>1974455</v>
      </c>
      <c r="U1077" s="105"/>
      <c r="X1077" s="10">
        <f t="shared" si="143"/>
        <v>1971455</v>
      </c>
      <c r="Y1077" s="2">
        <f t="shared" si="144"/>
        <v>0</v>
      </c>
      <c r="Z1077" s="10">
        <f t="shared" si="152"/>
        <v>0</v>
      </c>
    </row>
    <row r="1078" spans="1:26" ht="18" customHeight="1" x14ac:dyDescent="0.25">
      <c r="A1078" s="11">
        <v>46</v>
      </c>
      <c r="B1078" s="52" t="s">
        <v>2726</v>
      </c>
      <c r="C1078" s="53" t="s">
        <v>2727</v>
      </c>
      <c r="D1078" s="13" t="s">
        <v>28</v>
      </c>
      <c r="E1078" s="53" t="s">
        <v>2728</v>
      </c>
      <c r="F1078" s="54" t="s">
        <v>24</v>
      </c>
      <c r="G1078" s="116">
        <v>16500</v>
      </c>
      <c r="H1078" s="52" t="s">
        <v>25</v>
      </c>
      <c r="I1078" s="117" t="s">
        <v>2729</v>
      </c>
      <c r="J1078" s="117">
        <v>0</v>
      </c>
      <c r="K1078" s="117">
        <v>0</v>
      </c>
      <c r="L1078" s="18">
        <v>6188</v>
      </c>
      <c r="M1078" s="19">
        <v>10516692</v>
      </c>
      <c r="N1078" s="20">
        <v>0</v>
      </c>
      <c r="O1078" s="20">
        <v>0</v>
      </c>
      <c r="P1078" s="20">
        <v>0</v>
      </c>
      <c r="Q1078" s="20">
        <v>10000</v>
      </c>
      <c r="R1078" s="19">
        <f t="shared" si="150"/>
        <v>10526692</v>
      </c>
      <c r="S1078" s="19">
        <v>3000</v>
      </c>
      <c r="T1078" s="19">
        <f t="shared" si="151"/>
        <v>10529692</v>
      </c>
      <c r="U1078" s="105"/>
      <c r="X1078" s="10">
        <f t="shared" si="143"/>
        <v>10516692</v>
      </c>
      <c r="Y1078" s="2">
        <f t="shared" si="144"/>
        <v>10000</v>
      </c>
      <c r="Z1078" s="10">
        <f t="shared" si="152"/>
        <v>0</v>
      </c>
    </row>
    <row r="1079" spans="1:26" ht="18" customHeight="1" x14ac:dyDescent="0.25">
      <c r="A1079" s="11">
        <v>47</v>
      </c>
      <c r="B1079" s="52" t="s">
        <v>2730</v>
      </c>
      <c r="C1079" s="53" t="s">
        <v>2731</v>
      </c>
      <c r="D1079" s="13" t="s">
        <v>28</v>
      </c>
      <c r="E1079" s="53" t="s">
        <v>2732</v>
      </c>
      <c r="F1079" s="54" t="s">
        <v>24</v>
      </c>
      <c r="G1079" s="116">
        <v>11000</v>
      </c>
      <c r="H1079" s="52" t="s">
        <v>25</v>
      </c>
      <c r="I1079" s="117" t="s">
        <v>2733</v>
      </c>
      <c r="J1079" s="117">
        <v>0</v>
      </c>
      <c r="K1079" s="117">
        <v>0</v>
      </c>
      <c r="L1079" s="18">
        <v>4125</v>
      </c>
      <c r="M1079" s="19">
        <v>7010561</v>
      </c>
      <c r="N1079" s="20">
        <v>0</v>
      </c>
      <c r="O1079" s="20">
        <v>0</v>
      </c>
      <c r="P1079" s="20">
        <v>0</v>
      </c>
      <c r="Q1079" s="20">
        <v>10000</v>
      </c>
      <c r="R1079" s="19">
        <f t="shared" si="150"/>
        <v>7020561</v>
      </c>
      <c r="S1079" s="19">
        <v>3000</v>
      </c>
      <c r="T1079" s="19">
        <f t="shared" si="151"/>
        <v>7023561</v>
      </c>
      <c r="U1079" s="105"/>
      <c r="X1079" s="10">
        <f t="shared" si="143"/>
        <v>7010561</v>
      </c>
      <c r="Y1079" s="2">
        <f t="shared" si="144"/>
        <v>10000</v>
      </c>
      <c r="Z1079" s="10">
        <f t="shared" si="152"/>
        <v>0</v>
      </c>
    </row>
    <row r="1080" spans="1:26" ht="18" customHeight="1" x14ac:dyDescent="0.25">
      <c r="A1080" s="11">
        <v>48</v>
      </c>
      <c r="B1080" s="52" t="s">
        <v>2734</v>
      </c>
      <c r="C1080" s="53" t="s">
        <v>2735</v>
      </c>
      <c r="D1080" s="13" t="s">
        <v>28</v>
      </c>
      <c r="E1080" s="53" t="s">
        <v>2736</v>
      </c>
      <c r="F1080" s="54" t="s">
        <v>24</v>
      </c>
      <c r="G1080" s="116">
        <v>5500</v>
      </c>
      <c r="H1080" s="52" t="s">
        <v>25</v>
      </c>
      <c r="I1080" s="117" t="s">
        <v>2737</v>
      </c>
      <c r="J1080" s="117">
        <v>0</v>
      </c>
      <c r="K1080" s="117">
        <v>0</v>
      </c>
      <c r="L1080" s="18">
        <v>2063</v>
      </c>
      <c r="M1080" s="19">
        <v>3506130</v>
      </c>
      <c r="N1080" s="20">
        <v>0</v>
      </c>
      <c r="O1080" s="20">
        <v>0</v>
      </c>
      <c r="P1080" s="20">
        <v>0</v>
      </c>
      <c r="Q1080" s="20">
        <v>0</v>
      </c>
      <c r="R1080" s="19">
        <f t="shared" si="150"/>
        <v>3506130</v>
      </c>
      <c r="S1080" s="19">
        <v>3000</v>
      </c>
      <c r="T1080" s="19">
        <f t="shared" si="151"/>
        <v>3509130</v>
      </c>
      <c r="U1080" s="105"/>
      <c r="X1080" s="10">
        <f t="shared" si="143"/>
        <v>3506130</v>
      </c>
      <c r="Y1080" s="2">
        <f t="shared" si="144"/>
        <v>0</v>
      </c>
      <c r="Z1080" s="10">
        <f t="shared" si="152"/>
        <v>0</v>
      </c>
    </row>
    <row r="1081" spans="1:26" ht="18" customHeight="1" x14ac:dyDescent="0.25">
      <c r="A1081" s="11">
        <v>49</v>
      </c>
      <c r="B1081" s="52" t="s">
        <v>2738</v>
      </c>
      <c r="C1081" s="53" t="s">
        <v>2739</v>
      </c>
      <c r="D1081" s="13" t="s">
        <v>28</v>
      </c>
      <c r="E1081" s="53" t="s">
        <v>2740</v>
      </c>
      <c r="F1081" s="54" t="s">
        <v>24</v>
      </c>
      <c r="G1081" s="116">
        <v>4400</v>
      </c>
      <c r="H1081" s="52" t="s">
        <v>25</v>
      </c>
      <c r="I1081" s="117" t="s">
        <v>2741</v>
      </c>
      <c r="J1081" s="117">
        <v>0</v>
      </c>
      <c r="K1081" s="117">
        <v>0</v>
      </c>
      <c r="L1081" s="18">
        <v>1650</v>
      </c>
      <c r="M1081" s="19">
        <v>2804225</v>
      </c>
      <c r="N1081" s="20">
        <v>0</v>
      </c>
      <c r="O1081" s="20">
        <v>0</v>
      </c>
      <c r="P1081" s="20">
        <v>0</v>
      </c>
      <c r="Q1081" s="20">
        <v>0</v>
      </c>
      <c r="R1081" s="19">
        <f t="shared" si="150"/>
        <v>2804225</v>
      </c>
      <c r="S1081" s="19">
        <v>3000</v>
      </c>
      <c r="T1081" s="19">
        <f t="shared" si="151"/>
        <v>2807225</v>
      </c>
      <c r="U1081" s="105"/>
      <c r="X1081" s="10">
        <f t="shared" si="143"/>
        <v>2804225</v>
      </c>
      <c r="Y1081" s="2">
        <f t="shared" si="144"/>
        <v>0</v>
      </c>
      <c r="Z1081" s="10">
        <f t="shared" si="152"/>
        <v>0</v>
      </c>
    </row>
    <row r="1082" spans="1:26" ht="18" customHeight="1" x14ac:dyDescent="0.25">
      <c r="A1082" s="11">
        <v>50</v>
      </c>
      <c r="B1082" s="52" t="s">
        <v>2742</v>
      </c>
      <c r="C1082" s="53" t="s">
        <v>2743</v>
      </c>
      <c r="D1082" s="13" t="s">
        <v>28</v>
      </c>
      <c r="E1082" s="53" t="s">
        <v>2744</v>
      </c>
      <c r="F1082" s="54" t="s">
        <v>24</v>
      </c>
      <c r="G1082" s="116">
        <v>7700</v>
      </c>
      <c r="H1082" s="52" t="s">
        <v>25</v>
      </c>
      <c r="I1082" s="117" t="s">
        <v>2745</v>
      </c>
      <c r="J1082" s="117">
        <v>0</v>
      </c>
      <c r="K1082" s="117">
        <v>0</v>
      </c>
      <c r="L1082" s="18">
        <v>2888</v>
      </c>
      <c r="M1082" s="19">
        <v>4908243</v>
      </c>
      <c r="N1082" s="20">
        <v>0</v>
      </c>
      <c r="O1082" s="20">
        <v>0</v>
      </c>
      <c r="P1082" s="20">
        <v>0</v>
      </c>
      <c r="Q1082" s="20">
        <v>0</v>
      </c>
      <c r="R1082" s="19">
        <f t="shared" si="150"/>
        <v>4908243</v>
      </c>
      <c r="S1082" s="19">
        <v>3000</v>
      </c>
      <c r="T1082" s="19">
        <f t="shared" si="151"/>
        <v>4911243</v>
      </c>
      <c r="U1082" s="105"/>
      <c r="X1082" s="10">
        <f t="shared" si="143"/>
        <v>4908243</v>
      </c>
      <c r="Y1082" s="2">
        <f t="shared" si="144"/>
        <v>0</v>
      </c>
      <c r="Z1082" s="10">
        <f t="shared" si="152"/>
        <v>0</v>
      </c>
    </row>
    <row r="1083" spans="1:26" ht="18" customHeight="1" x14ac:dyDescent="0.25">
      <c r="A1083" s="11">
        <v>51</v>
      </c>
      <c r="B1083" s="52" t="s">
        <v>2746</v>
      </c>
      <c r="C1083" s="53" t="s">
        <v>2747</v>
      </c>
      <c r="D1083" s="13" t="s">
        <v>28</v>
      </c>
      <c r="E1083" s="53" t="s">
        <v>2748</v>
      </c>
      <c r="F1083" s="54" t="s">
        <v>24</v>
      </c>
      <c r="G1083" s="116">
        <v>10600</v>
      </c>
      <c r="H1083" s="52" t="s">
        <v>25</v>
      </c>
      <c r="I1083" s="117" t="s">
        <v>2749</v>
      </c>
      <c r="J1083" s="117">
        <v>0</v>
      </c>
      <c r="K1083" s="117">
        <v>0</v>
      </c>
      <c r="L1083" s="18">
        <v>3975</v>
      </c>
      <c r="M1083" s="19">
        <v>6755632</v>
      </c>
      <c r="N1083" s="20">
        <v>0</v>
      </c>
      <c r="O1083" s="20">
        <v>0</v>
      </c>
      <c r="P1083" s="20">
        <v>0</v>
      </c>
      <c r="Q1083" s="20">
        <v>10000</v>
      </c>
      <c r="R1083" s="19">
        <f t="shared" si="150"/>
        <v>6765632</v>
      </c>
      <c r="S1083" s="19">
        <v>3000</v>
      </c>
      <c r="T1083" s="19">
        <f t="shared" si="151"/>
        <v>6768632</v>
      </c>
      <c r="U1083" s="105"/>
      <c r="X1083" s="10">
        <f t="shared" si="143"/>
        <v>6755632</v>
      </c>
      <c r="Y1083" s="2">
        <f t="shared" si="144"/>
        <v>10000</v>
      </c>
      <c r="Z1083" s="10">
        <f t="shared" si="152"/>
        <v>0</v>
      </c>
    </row>
    <row r="1084" spans="1:26" ht="18" customHeight="1" x14ac:dyDescent="0.25">
      <c r="A1084" s="11">
        <v>52</v>
      </c>
      <c r="B1084" s="52" t="s">
        <v>2750</v>
      </c>
      <c r="C1084" s="53" t="s">
        <v>2751</v>
      </c>
      <c r="D1084" s="13" t="s">
        <v>28</v>
      </c>
      <c r="E1084" s="53" t="s">
        <v>2676</v>
      </c>
      <c r="F1084" s="54" t="s">
        <v>24</v>
      </c>
      <c r="G1084" s="116">
        <v>6600</v>
      </c>
      <c r="H1084" s="52" t="s">
        <v>25</v>
      </c>
      <c r="I1084" s="117" t="s">
        <v>647</v>
      </c>
      <c r="J1084" s="117">
        <v>69894</v>
      </c>
      <c r="K1084" s="117">
        <v>71167</v>
      </c>
      <c r="L1084" s="18">
        <v>1273</v>
      </c>
      <c r="M1084" s="19">
        <v>2163502</v>
      </c>
      <c r="N1084" s="20">
        <v>0</v>
      </c>
      <c r="O1084" s="20">
        <v>0</v>
      </c>
      <c r="P1084" s="20">
        <v>0</v>
      </c>
      <c r="Q1084" s="20">
        <v>0</v>
      </c>
      <c r="R1084" s="19">
        <f t="shared" si="150"/>
        <v>2163502</v>
      </c>
      <c r="S1084" s="19">
        <v>3000</v>
      </c>
      <c r="T1084" s="19">
        <f t="shared" si="151"/>
        <v>2166502</v>
      </c>
      <c r="U1084" s="105"/>
      <c r="X1084" s="10">
        <f t="shared" ref="X1084:X1149" si="153">M1084+N1084+O1084+P1084</f>
        <v>2163502</v>
      </c>
      <c r="Y1084" s="2">
        <f t="shared" ref="Y1084:Y1149" si="154">IF(X1084&gt;5000000,10000,IF(V1084&lt;5000000,0,IF(V1084=5000000,10000)))</f>
        <v>0</v>
      </c>
      <c r="Z1084" s="10">
        <f t="shared" si="152"/>
        <v>0</v>
      </c>
    </row>
    <row r="1085" spans="1:26" ht="18" customHeight="1" x14ac:dyDescent="0.25">
      <c r="A1085" s="11">
        <v>53</v>
      </c>
      <c r="B1085" s="52" t="s">
        <v>2752</v>
      </c>
      <c r="C1085" s="53" t="s">
        <v>2753</v>
      </c>
      <c r="D1085" s="13" t="s">
        <v>28</v>
      </c>
      <c r="E1085" s="53" t="s">
        <v>2096</v>
      </c>
      <c r="F1085" s="54" t="s">
        <v>24</v>
      </c>
      <c r="G1085" s="116">
        <v>11000</v>
      </c>
      <c r="H1085" s="52" t="s">
        <v>25</v>
      </c>
      <c r="I1085" s="117" t="s">
        <v>2754</v>
      </c>
      <c r="J1085" s="117">
        <v>64271</v>
      </c>
      <c r="K1085" s="117">
        <v>67017</v>
      </c>
      <c r="L1085" s="18">
        <v>2746</v>
      </c>
      <c r="M1085" s="19">
        <v>4666909</v>
      </c>
      <c r="N1085" s="20">
        <v>0</v>
      </c>
      <c r="O1085" s="20">
        <v>0</v>
      </c>
      <c r="P1085" s="20">
        <v>0</v>
      </c>
      <c r="Q1085" s="20">
        <v>0</v>
      </c>
      <c r="R1085" s="19">
        <f t="shared" si="150"/>
        <v>4666909</v>
      </c>
      <c r="S1085" s="19">
        <v>3000</v>
      </c>
      <c r="T1085" s="19">
        <f t="shared" si="151"/>
        <v>4669909</v>
      </c>
      <c r="U1085" s="105"/>
      <c r="X1085" s="10">
        <f t="shared" si="153"/>
        <v>4666909</v>
      </c>
      <c r="Y1085" s="2">
        <f t="shared" si="154"/>
        <v>0</v>
      </c>
      <c r="Z1085" s="10">
        <f t="shared" si="152"/>
        <v>0</v>
      </c>
    </row>
    <row r="1086" spans="1:26" ht="18" customHeight="1" x14ac:dyDescent="0.25">
      <c r="A1086" s="11">
        <v>54</v>
      </c>
      <c r="B1086" s="52" t="s">
        <v>2755</v>
      </c>
      <c r="C1086" s="53" t="s">
        <v>2756</v>
      </c>
      <c r="D1086" s="13" t="s">
        <v>28</v>
      </c>
      <c r="E1086" s="53" t="s">
        <v>2757</v>
      </c>
      <c r="F1086" s="54" t="s">
        <v>24</v>
      </c>
      <c r="G1086" s="116">
        <v>5500</v>
      </c>
      <c r="H1086" s="52" t="s">
        <v>25</v>
      </c>
      <c r="I1086" s="117" t="s">
        <v>2758</v>
      </c>
      <c r="J1086" s="117">
        <v>0</v>
      </c>
      <c r="K1086" s="117">
        <v>0</v>
      </c>
      <c r="L1086" s="18">
        <v>2063</v>
      </c>
      <c r="M1086" s="19">
        <v>3506130</v>
      </c>
      <c r="N1086" s="20">
        <v>0</v>
      </c>
      <c r="O1086" s="20">
        <v>0</v>
      </c>
      <c r="P1086" s="20">
        <v>0</v>
      </c>
      <c r="Q1086" s="20">
        <v>0</v>
      </c>
      <c r="R1086" s="19">
        <f t="shared" si="150"/>
        <v>3506130</v>
      </c>
      <c r="S1086" s="19">
        <v>3000</v>
      </c>
      <c r="T1086" s="19">
        <f t="shared" si="151"/>
        <v>3509130</v>
      </c>
      <c r="U1086" s="105"/>
      <c r="X1086" s="10">
        <f t="shared" si="153"/>
        <v>3506130</v>
      </c>
      <c r="Y1086" s="2">
        <f t="shared" si="154"/>
        <v>0</v>
      </c>
      <c r="Z1086" s="10">
        <f t="shared" si="152"/>
        <v>0</v>
      </c>
    </row>
    <row r="1087" spans="1:26" ht="18" customHeight="1" x14ac:dyDescent="0.25">
      <c r="A1087" s="11">
        <v>55</v>
      </c>
      <c r="B1087" s="52" t="s">
        <v>2759</v>
      </c>
      <c r="C1087" s="53" t="s">
        <v>2760</v>
      </c>
      <c r="D1087" s="13" t="s">
        <v>28</v>
      </c>
      <c r="E1087" s="53" t="s">
        <v>2761</v>
      </c>
      <c r="F1087" s="54" t="s">
        <v>24</v>
      </c>
      <c r="G1087" s="116">
        <v>4960</v>
      </c>
      <c r="H1087" s="52" t="s">
        <v>25</v>
      </c>
      <c r="I1087" s="117" t="s">
        <v>2762</v>
      </c>
      <c r="J1087" s="117">
        <v>0</v>
      </c>
      <c r="K1087" s="117">
        <v>0</v>
      </c>
      <c r="L1087" s="18">
        <v>1860</v>
      </c>
      <c r="M1087" s="19">
        <v>3161126</v>
      </c>
      <c r="N1087" s="20">
        <v>0</v>
      </c>
      <c r="O1087" s="20">
        <v>0</v>
      </c>
      <c r="P1087" s="20">
        <v>0</v>
      </c>
      <c r="Q1087" s="20">
        <v>0</v>
      </c>
      <c r="R1087" s="19">
        <f t="shared" si="150"/>
        <v>3161126</v>
      </c>
      <c r="S1087" s="19">
        <v>3000</v>
      </c>
      <c r="T1087" s="19">
        <f t="shared" si="151"/>
        <v>3164126</v>
      </c>
      <c r="U1087" s="105"/>
      <c r="X1087" s="10">
        <f t="shared" si="153"/>
        <v>3161126</v>
      </c>
      <c r="Y1087" s="2">
        <f t="shared" si="154"/>
        <v>0</v>
      </c>
      <c r="Z1087" s="10">
        <f t="shared" si="152"/>
        <v>0</v>
      </c>
    </row>
    <row r="1088" spans="1:26" ht="18" customHeight="1" x14ac:dyDescent="0.25">
      <c r="A1088" s="11">
        <v>56</v>
      </c>
      <c r="B1088" s="52" t="s">
        <v>2763</v>
      </c>
      <c r="C1088" s="53" t="s">
        <v>2764</v>
      </c>
      <c r="D1088" s="13" t="s">
        <v>28</v>
      </c>
      <c r="E1088" s="53" t="s">
        <v>2765</v>
      </c>
      <c r="F1088" s="54" t="s">
        <v>24</v>
      </c>
      <c r="G1088" s="116">
        <v>5910</v>
      </c>
      <c r="H1088" s="52" t="s">
        <v>25</v>
      </c>
      <c r="I1088" s="117" t="s">
        <v>2766</v>
      </c>
      <c r="J1088" s="117">
        <v>0</v>
      </c>
      <c r="K1088" s="117">
        <v>0</v>
      </c>
      <c r="L1088" s="18">
        <v>2216</v>
      </c>
      <c r="M1088" s="19">
        <v>3766158</v>
      </c>
      <c r="N1088" s="20">
        <v>0</v>
      </c>
      <c r="O1088" s="20">
        <v>0</v>
      </c>
      <c r="P1088" s="20">
        <v>0</v>
      </c>
      <c r="Q1088" s="20">
        <v>0</v>
      </c>
      <c r="R1088" s="19">
        <f t="shared" si="150"/>
        <v>3766158</v>
      </c>
      <c r="S1088" s="19">
        <v>3000</v>
      </c>
      <c r="T1088" s="19">
        <f t="shared" si="151"/>
        <v>3769158</v>
      </c>
      <c r="U1088" s="105"/>
      <c r="X1088" s="10">
        <f t="shared" si="153"/>
        <v>3766158</v>
      </c>
      <c r="Y1088" s="2">
        <f t="shared" si="154"/>
        <v>0</v>
      </c>
      <c r="Z1088" s="10">
        <f t="shared" si="152"/>
        <v>0</v>
      </c>
    </row>
    <row r="1089" spans="1:26" ht="18" customHeight="1" x14ac:dyDescent="0.25">
      <c r="A1089" s="11">
        <v>57</v>
      </c>
      <c r="B1089" s="52" t="s">
        <v>2767</v>
      </c>
      <c r="C1089" s="53" t="s">
        <v>2768</v>
      </c>
      <c r="D1089" s="13" t="s">
        <v>28</v>
      </c>
      <c r="E1089" s="53" t="s">
        <v>2769</v>
      </c>
      <c r="F1089" s="54" t="s">
        <v>24</v>
      </c>
      <c r="G1089" s="116">
        <v>10600</v>
      </c>
      <c r="H1089" s="52" t="s">
        <v>25</v>
      </c>
      <c r="I1089" s="117" t="s">
        <v>2770</v>
      </c>
      <c r="J1089" s="117">
        <v>0</v>
      </c>
      <c r="K1089" s="117">
        <v>0</v>
      </c>
      <c r="L1089" s="18">
        <v>3975</v>
      </c>
      <c r="M1089" s="19">
        <v>6755632</v>
      </c>
      <c r="N1089" s="20">
        <v>0</v>
      </c>
      <c r="O1089" s="20">
        <v>0</v>
      </c>
      <c r="P1089" s="20">
        <v>0</v>
      </c>
      <c r="Q1089" s="20">
        <v>10000</v>
      </c>
      <c r="R1089" s="19">
        <f t="shared" si="150"/>
        <v>6765632</v>
      </c>
      <c r="S1089" s="19">
        <v>3000</v>
      </c>
      <c r="T1089" s="19">
        <f t="shared" si="151"/>
        <v>6768632</v>
      </c>
      <c r="U1089" s="105"/>
      <c r="X1089" s="10">
        <f t="shared" si="153"/>
        <v>6755632</v>
      </c>
      <c r="Y1089" s="2">
        <f t="shared" si="154"/>
        <v>10000</v>
      </c>
      <c r="Z1089" s="10">
        <f t="shared" si="152"/>
        <v>0</v>
      </c>
    </row>
    <row r="1090" spans="1:26" ht="18" customHeight="1" x14ac:dyDescent="0.25">
      <c r="A1090" s="11">
        <v>58</v>
      </c>
      <c r="B1090" s="52" t="s">
        <v>2771</v>
      </c>
      <c r="C1090" s="53" t="s">
        <v>2772</v>
      </c>
      <c r="D1090" s="13" t="s">
        <v>28</v>
      </c>
      <c r="E1090" s="53" t="s">
        <v>2773</v>
      </c>
      <c r="F1090" s="54" t="s">
        <v>24</v>
      </c>
      <c r="G1090" s="116">
        <v>4720</v>
      </c>
      <c r="H1090" s="52" t="s">
        <v>25</v>
      </c>
      <c r="I1090" s="117" t="s">
        <v>2774</v>
      </c>
      <c r="J1090" s="117">
        <v>0</v>
      </c>
      <c r="K1090" s="117">
        <v>0</v>
      </c>
      <c r="L1090" s="18">
        <v>1770</v>
      </c>
      <c r="M1090" s="19">
        <v>3008168</v>
      </c>
      <c r="N1090" s="20">
        <v>0</v>
      </c>
      <c r="O1090" s="20">
        <v>0</v>
      </c>
      <c r="P1090" s="20">
        <v>0</v>
      </c>
      <c r="Q1090" s="20">
        <v>0</v>
      </c>
      <c r="R1090" s="19">
        <f t="shared" si="150"/>
        <v>3008168</v>
      </c>
      <c r="S1090" s="19">
        <v>3000</v>
      </c>
      <c r="T1090" s="19">
        <f t="shared" si="151"/>
        <v>3011168</v>
      </c>
      <c r="U1090" s="105"/>
      <c r="X1090" s="10">
        <f t="shared" si="153"/>
        <v>3008168</v>
      </c>
      <c r="Y1090" s="2">
        <f t="shared" si="154"/>
        <v>0</v>
      </c>
      <c r="Z1090" s="10">
        <f t="shared" si="152"/>
        <v>0</v>
      </c>
    </row>
    <row r="1091" spans="1:26" ht="18" customHeight="1" x14ac:dyDescent="0.25">
      <c r="A1091" s="11">
        <v>59</v>
      </c>
      <c r="B1091" s="52" t="s">
        <v>2775</v>
      </c>
      <c r="C1091" s="53" t="s">
        <v>2776</v>
      </c>
      <c r="D1091" s="13" t="s">
        <v>28</v>
      </c>
      <c r="E1091" s="53" t="s">
        <v>2621</v>
      </c>
      <c r="F1091" s="54" t="s">
        <v>24</v>
      </c>
      <c r="G1091" s="116">
        <v>6600</v>
      </c>
      <c r="H1091" s="52" t="s">
        <v>25</v>
      </c>
      <c r="I1091" s="117" t="s">
        <v>2777</v>
      </c>
      <c r="J1091" s="117">
        <v>121122</v>
      </c>
      <c r="K1091" s="117">
        <v>122919</v>
      </c>
      <c r="L1091" s="18">
        <v>1797</v>
      </c>
      <c r="M1091" s="19">
        <v>3054055</v>
      </c>
      <c r="N1091" s="20">
        <v>0</v>
      </c>
      <c r="O1091" s="20">
        <v>0</v>
      </c>
      <c r="P1091" s="20">
        <v>0</v>
      </c>
      <c r="Q1091" s="20">
        <v>0</v>
      </c>
      <c r="R1091" s="19">
        <f t="shared" si="150"/>
        <v>3054055</v>
      </c>
      <c r="S1091" s="19">
        <v>3000</v>
      </c>
      <c r="T1091" s="19">
        <f t="shared" si="151"/>
        <v>3057055</v>
      </c>
      <c r="U1091" s="105"/>
      <c r="X1091" s="10">
        <f t="shared" si="153"/>
        <v>3054055</v>
      </c>
      <c r="Y1091" s="2">
        <f t="shared" si="154"/>
        <v>0</v>
      </c>
      <c r="Z1091" s="10">
        <f t="shared" si="152"/>
        <v>0</v>
      </c>
    </row>
    <row r="1092" spans="1:26" ht="18" customHeight="1" x14ac:dyDescent="0.25">
      <c r="A1092" s="11">
        <v>60</v>
      </c>
      <c r="B1092" s="52" t="s">
        <v>2778</v>
      </c>
      <c r="C1092" s="53" t="s">
        <v>2779</v>
      </c>
      <c r="D1092" s="13" t="s">
        <v>28</v>
      </c>
      <c r="E1092" s="53" t="s">
        <v>2780</v>
      </c>
      <c r="F1092" s="54" t="s">
        <v>24</v>
      </c>
      <c r="G1092" s="116">
        <v>5500</v>
      </c>
      <c r="H1092" s="52" t="s">
        <v>25</v>
      </c>
      <c r="I1092" s="117" t="s">
        <v>2781</v>
      </c>
      <c r="J1092" s="117">
        <v>61867</v>
      </c>
      <c r="K1092" s="117">
        <v>63613</v>
      </c>
      <c r="L1092" s="18">
        <v>1746</v>
      </c>
      <c r="M1092" s="19">
        <v>2967379</v>
      </c>
      <c r="N1092" s="20">
        <v>0</v>
      </c>
      <c r="O1092" s="20">
        <v>0</v>
      </c>
      <c r="P1092" s="20">
        <v>0</v>
      </c>
      <c r="Q1092" s="20">
        <v>0</v>
      </c>
      <c r="R1092" s="19">
        <f t="shared" si="150"/>
        <v>2967379</v>
      </c>
      <c r="S1092" s="19">
        <v>3000</v>
      </c>
      <c r="T1092" s="19">
        <f t="shared" si="151"/>
        <v>2970379</v>
      </c>
      <c r="U1092" s="105"/>
      <c r="X1092" s="10">
        <f t="shared" si="153"/>
        <v>2967379</v>
      </c>
      <c r="Y1092" s="2">
        <f t="shared" si="154"/>
        <v>0</v>
      </c>
      <c r="Z1092" s="10">
        <f t="shared" si="152"/>
        <v>0</v>
      </c>
    </row>
    <row r="1093" spans="1:26" ht="18" customHeight="1" x14ac:dyDescent="0.25">
      <c r="A1093" s="11">
        <v>61</v>
      </c>
      <c r="B1093" s="52" t="s">
        <v>2782</v>
      </c>
      <c r="C1093" s="53" t="s">
        <v>2783</v>
      </c>
      <c r="D1093" s="13" t="s">
        <v>28</v>
      </c>
      <c r="E1093" s="53" t="s">
        <v>2784</v>
      </c>
      <c r="F1093" s="54" t="s">
        <v>24</v>
      </c>
      <c r="G1093" s="116">
        <v>4400</v>
      </c>
      <c r="H1093" s="52" t="s">
        <v>25</v>
      </c>
      <c r="I1093" s="117" t="s">
        <v>2785</v>
      </c>
      <c r="J1093" s="117">
        <v>89705</v>
      </c>
      <c r="K1093" s="117">
        <v>90741</v>
      </c>
      <c r="L1093" s="18">
        <v>1036</v>
      </c>
      <c r="M1093" s="19">
        <v>1760713</v>
      </c>
      <c r="N1093" s="20">
        <v>0</v>
      </c>
      <c r="O1093" s="20">
        <v>0</v>
      </c>
      <c r="P1093" s="20">
        <v>0</v>
      </c>
      <c r="Q1093" s="20">
        <v>0</v>
      </c>
      <c r="R1093" s="19">
        <f t="shared" si="150"/>
        <v>1760713</v>
      </c>
      <c r="S1093" s="19">
        <v>3000</v>
      </c>
      <c r="T1093" s="19">
        <f t="shared" si="151"/>
        <v>1763713</v>
      </c>
      <c r="U1093" s="105"/>
      <c r="X1093" s="10">
        <f t="shared" si="153"/>
        <v>1760713</v>
      </c>
      <c r="Y1093" s="2">
        <f t="shared" si="154"/>
        <v>0</v>
      </c>
      <c r="Z1093" s="10">
        <f t="shared" si="152"/>
        <v>0</v>
      </c>
    </row>
    <row r="1094" spans="1:26" ht="18" customHeight="1" x14ac:dyDescent="0.25">
      <c r="A1094" s="11">
        <v>62</v>
      </c>
      <c r="B1094" s="52" t="s">
        <v>2786</v>
      </c>
      <c r="C1094" s="53" t="s">
        <v>2787</v>
      </c>
      <c r="D1094" s="13" t="s">
        <v>28</v>
      </c>
      <c r="E1094" s="53" t="s">
        <v>2788</v>
      </c>
      <c r="F1094" s="54" t="s">
        <v>24</v>
      </c>
      <c r="G1094" s="116">
        <v>9750</v>
      </c>
      <c r="H1094" s="52" t="s">
        <v>25</v>
      </c>
      <c r="I1094" s="117" t="s">
        <v>2789</v>
      </c>
      <c r="J1094" s="117">
        <v>0</v>
      </c>
      <c r="K1094" s="117">
        <v>0</v>
      </c>
      <c r="L1094" s="18">
        <v>3656</v>
      </c>
      <c r="M1094" s="19">
        <v>6213482</v>
      </c>
      <c r="N1094" s="20">
        <v>0</v>
      </c>
      <c r="O1094" s="20">
        <v>0</v>
      </c>
      <c r="P1094" s="20">
        <v>0</v>
      </c>
      <c r="Q1094" s="20">
        <v>10000</v>
      </c>
      <c r="R1094" s="19">
        <f t="shared" si="150"/>
        <v>6223482</v>
      </c>
      <c r="S1094" s="19">
        <v>3000</v>
      </c>
      <c r="T1094" s="19">
        <f t="shared" si="151"/>
        <v>6226482</v>
      </c>
      <c r="U1094" s="105"/>
      <c r="X1094" s="10">
        <f t="shared" si="153"/>
        <v>6213482</v>
      </c>
      <c r="Y1094" s="2">
        <f t="shared" si="154"/>
        <v>10000</v>
      </c>
      <c r="Z1094" s="10">
        <f t="shared" si="152"/>
        <v>0</v>
      </c>
    </row>
    <row r="1095" spans="1:26" ht="18" customHeight="1" x14ac:dyDescent="0.25">
      <c r="A1095" s="11">
        <v>63</v>
      </c>
      <c r="B1095" s="52" t="s">
        <v>2790</v>
      </c>
      <c r="C1095" s="53" t="s">
        <v>2791</v>
      </c>
      <c r="D1095" s="13" t="s">
        <v>28</v>
      </c>
      <c r="E1095" s="53" t="s">
        <v>2792</v>
      </c>
      <c r="F1095" s="54" t="s">
        <v>24</v>
      </c>
      <c r="G1095" s="116">
        <v>6400</v>
      </c>
      <c r="H1095" s="52" t="s">
        <v>25</v>
      </c>
      <c r="I1095" s="117" t="s">
        <v>2793</v>
      </c>
      <c r="J1095" s="117">
        <v>0</v>
      </c>
      <c r="K1095" s="117">
        <v>0</v>
      </c>
      <c r="L1095" s="18">
        <v>2400</v>
      </c>
      <c r="M1095" s="19">
        <v>4078872</v>
      </c>
      <c r="N1095" s="20">
        <v>0</v>
      </c>
      <c r="O1095" s="20">
        <v>0</v>
      </c>
      <c r="P1095" s="20">
        <v>0</v>
      </c>
      <c r="Q1095" s="20">
        <v>0</v>
      </c>
      <c r="R1095" s="19">
        <f t="shared" si="150"/>
        <v>4078872</v>
      </c>
      <c r="S1095" s="19">
        <v>3000</v>
      </c>
      <c r="T1095" s="19">
        <f t="shared" si="151"/>
        <v>4081872</v>
      </c>
      <c r="U1095" s="105"/>
      <c r="X1095" s="10">
        <f t="shared" si="153"/>
        <v>4078872</v>
      </c>
      <c r="Y1095" s="2">
        <f t="shared" si="154"/>
        <v>0</v>
      </c>
      <c r="Z1095" s="10">
        <f t="shared" si="152"/>
        <v>0</v>
      </c>
    </row>
    <row r="1096" spans="1:26" ht="18" customHeight="1" x14ac:dyDescent="0.25">
      <c r="A1096" s="11">
        <v>64</v>
      </c>
      <c r="B1096" s="52" t="s">
        <v>2794</v>
      </c>
      <c r="C1096" s="53" t="s">
        <v>2795</v>
      </c>
      <c r="D1096" s="13" t="s">
        <v>28</v>
      </c>
      <c r="E1096" s="53" t="s">
        <v>2796</v>
      </c>
      <c r="F1096" s="54" t="s">
        <v>24</v>
      </c>
      <c r="G1096" s="116">
        <v>6340</v>
      </c>
      <c r="H1096" s="52" t="s">
        <v>25</v>
      </c>
      <c r="I1096" s="117" t="s">
        <v>2797</v>
      </c>
      <c r="J1096" s="117">
        <v>0</v>
      </c>
      <c r="K1096" s="117">
        <v>0</v>
      </c>
      <c r="L1096" s="18">
        <v>2378</v>
      </c>
      <c r="M1096" s="19">
        <v>4041482</v>
      </c>
      <c r="N1096" s="20">
        <v>0</v>
      </c>
      <c r="O1096" s="20">
        <v>0</v>
      </c>
      <c r="P1096" s="20">
        <v>0</v>
      </c>
      <c r="Q1096" s="20">
        <v>0</v>
      </c>
      <c r="R1096" s="19">
        <f t="shared" si="150"/>
        <v>4041482</v>
      </c>
      <c r="S1096" s="19">
        <v>3000</v>
      </c>
      <c r="T1096" s="19">
        <f t="shared" si="151"/>
        <v>4044482</v>
      </c>
      <c r="U1096" s="105"/>
      <c r="X1096" s="10">
        <f t="shared" si="153"/>
        <v>4041482</v>
      </c>
      <c r="Y1096" s="2">
        <f t="shared" si="154"/>
        <v>0</v>
      </c>
      <c r="Z1096" s="10">
        <f t="shared" si="152"/>
        <v>0</v>
      </c>
    </row>
    <row r="1097" spans="1:26" ht="18" customHeight="1" x14ac:dyDescent="0.25">
      <c r="A1097" s="11">
        <v>65</v>
      </c>
      <c r="B1097" s="52" t="s">
        <v>2798</v>
      </c>
      <c r="C1097" s="53" t="s">
        <v>2799</v>
      </c>
      <c r="D1097" s="13" t="s">
        <v>28</v>
      </c>
      <c r="E1097" s="53" t="s">
        <v>2800</v>
      </c>
      <c r="F1097" s="54" t="s">
        <v>24</v>
      </c>
      <c r="G1097" s="116">
        <v>4400</v>
      </c>
      <c r="H1097" s="52" t="s">
        <v>25</v>
      </c>
      <c r="I1097" s="117" t="s">
        <v>2801</v>
      </c>
      <c r="J1097" s="117">
        <v>32276</v>
      </c>
      <c r="K1097" s="117">
        <v>33185</v>
      </c>
      <c r="L1097" s="18">
        <v>909</v>
      </c>
      <c r="M1097" s="19">
        <v>1544873</v>
      </c>
      <c r="N1097" s="20">
        <v>0</v>
      </c>
      <c r="O1097" s="20">
        <v>0</v>
      </c>
      <c r="P1097" s="20">
        <v>0</v>
      </c>
      <c r="Q1097" s="20">
        <v>0</v>
      </c>
      <c r="R1097" s="19">
        <f t="shared" si="150"/>
        <v>1544873</v>
      </c>
      <c r="S1097" s="19">
        <v>3000</v>
      </c>
      <c r="T1097" s="19">
        <f t="shared" si="151"/>
        <v>1547873</v>
      </c>
      <c r="U1097" s="105"/>
      <c r="X1097" s="10">
        <f t="shared" si="153"/>
        <v>1544873</v>
      </c>
      <c r="Y1097" s="2">
        <f t="shared" si="154"/>
        <v>0</v>
      </c>
      <c r="Z1097" s="10">
        <f t="shared" si="152"/>
        <v>0</v>
      </c>
    </row>
    <row r="1098" spans="1:26" ht="18" customHeight="1" x14ac:dyDescent="0.25">
      <c r="A1098" s="11">
        <v>66</v>
      </c>
      <c r="B1098" s="52" t="s">
        <v>2802</v>
      </c>
      <c r="C1098" s="53" t="s">
        <v>2803</v>
      </c>
      <c r="D1098" s="13" t="s">
        <v>28</v>
      </c>
      <c r="E1098" s="53" t="s">
        <v>2664</v>
      </c>
      <c r="F1098" s="54" t="s">
        <v>24</v>
      </c>
      <c r="G1098" s="116">
        <v>4400</v>
      </c>
      <c r="H1098" s="52" t="s">
        <v>25</v>
      </c>
      <c r="I1098" s="117" t="s">
        <v>2804</v>
      </c>
      <c r="J1098" s="117">
        <v>28637</v>
      </c>
      <c r="K1098" s="117">
        <v>30175</v>
      </c>
      <c r="L1098" s="18">
        <v>1538</v>
      </c>
      <c r="M1098" s="19">
        <v>2613877</v>
      </c>
      <c r="N1098" s="20">
        <v>0</v>
      </c>
      <c r="O1098" s="20">
        <v>0</v>
      </c>
      <c r="P1098" s="20">
        <v>0</v>
      </c>
      <c r="Q1098" s="20">
        <v>0</v>
      </c>
      <c r="R1098" s="19">
        <f t="shared" si="150"/>
        <v>2613877</v>
      </c>
      <c r="S1098" s="19">
        <v>3000</v>
      </c>
      <c r="T1098" s="19">
        <f t="shared" si="151"/>
        <v>2616877</v>
      </c>
      <c r="U1098" s="105"/>
      <c r="X1098" s="10">
        <f t="shared" si="153"/>
        <v>2613877</v>
      </c>
      <c r="Y1098" s="2">
        <f t="shared" si="154"/>
        <v>0</v>
      </c>
      <c r="Z1098" s="10">
        <f t="shared" si="152"/>
        <v>0</v>
      </c>
    </row>
    <row r="1099" spans="1:26" ht="18" customHeight="1" x14ac:dyDescent="0.25">
      <c r="A1099" s="11">
        <v>67</v>
      </c>
      <c r="B1099" s="52" t="s">
        <v>2805</v>
      </c>
      <c r="C1099" s="53" t="s">
        <v>2806</v>
      </c>
      <c r="D1099" s="13" t="s">
        <v>28</v>
      </c>
      <c r="E1099" s="53" t="s">
        <v>2807</v>
      </c>
      <c r="F1099" s="54" t="s">
        <v>24</v>
      </c>
      <c r="G1099" s="116">
        <v>6600</v>
      </c>
      <c r="H1099" s="52" t="s">
        <v>25</v>
      </c>
      <c r="I1099" s="117" t="s">
        <v>2808</v>
      </c>
      <c r="J1099" s="117">
        <v>0</v>
      </c>
      <c r="K1099" s="117">
        <v>0</v>
      </c>
      <c r="L1099" s="18">
        <v>2475</v>
      </c>
      <c r="M1099" s="19">
        <v>4206337</v>
      </c>
      <c r="N1099" s="20">
        <v>0</v>
      </c>
      <c r="O1099" s="20">
        <v>0</v>
      </c>
      <c r="P1099" s="20">
        <v>0</v>
      </c>
      <c r="Q1099" s="20">
        <v>0</v>
      </c>
      <c r="R1099" s="19">
        <f t="shared" si="150"/>
        <v>4206337</v>
      </c>
      <c r="S1099" s="19">
        <v>3000</v>
      </c>
      <c r="T1099" s="19">
        <f t="shared" si="151"/>
        <v>4209337</v>
      </c>
      <c r="U1099" s="105"/>
      <c r="X1099" s="10">
        <f t="shared" si="153"/>
        <v>4206337</v>
      </c>
      <c r="Y1099" s="2">
        <f t="shared" si="154"/>
        <v>0</v>
      </c>
      <c r="Z1099" s="10">
        <f t="shared" si="152"/>
        <v>0</v>
      </c>
    </row>
    <row r="1100" spans="1:26" ht="18" customHeight="1" x14ac:dyDescent="0.25">
      <c r="A1100" s="11">
        <v>68</v>
      </c>
      <c r="B1100" s="52" t="s">
        <v>2809</v>
      </c>
      <c r="C1100" s="53" t="s">
        <v>2810</v>
      </c>
      <c r="D1100" s="13" t="s">
        <v>22</v>
      </c>
      <c r="E1100" s="53" t="s">
        <v>2641</v>
      </c>
      <c r="F1100" s="54" t="s">
        <v>24</v>
      </c>
      <c r="G1100" s="116">
        <v>2200</v>
      </c>
      <c r="H1100" s="52" t="s">
        <v>25</v>
      </c>
      <c r="I1100" s="117" t="s">
        <v>2811</v>
      </c>
      <c r="J1100" s="117">
        <v>66467</v>
      </c>
      <c r="K1100" s="117">
        <v>66712</v>
      </c>
      <c r="L1100" s="18">
        <v>245</v>
      </c>
      <c r="M1100" s="19">
        <v>416385</v>
      </c>
      <c r="N1100" s="20">
        <v>0</v>
      </c>
      <c r="O1100" s="20">
        <v>0</v>
      </c>
      <c r="P1100" s="20">
        <v>0</v>
      </c>
      <c r="Q1100" s="20">
        <v>0</v>
      </c>
      <c r="R1100" s="19">
        <f t="shared" si="150"/>
        <v>416385</v>
      </c>
      <c r="S1100" s="19">
        <v>3000</v>
      </c>
      <c r="T1100" s="19">
        <f t="shared" si="151"/>
        <v>419385</v>
      </c>
      <c r="U1100" s="105"/>
      <c r="X1100" s="10">
        <f t="shared" si="153"/>
        <v>416385</v>
      </c>
      <c r="Y1100" s="2">
        <f t="shared" si="154"/>
        <v>0</v>
      </c>
      <c r="Z1100" s="10">
        <f t="shared" si="152"/>
        <v>0</v>
      </c>
    </row>
    <row r="1101" spans="1:26" ht="18" customHeight="1" x14ac:dyDescent="0.25">
      <c r="A1101" s="11">
        <v>69</v>
      </c>
      <c r="B1101" s="52" t="s">
        <v>2812</v>
      </c>
      <c r="C1101" s="53" t="s">
        <v>2813</v>
      </c>
      <c r="D1101" s="13" t="s">
        <v>28</v>
      </c>
      <c r="E1101" s="53" t="s">
        <v>2649</v>
      </c>
      <c r="F1101" s="54" t="s">
        <v>24</v>
      </c>
      <c r="G1101" s="116">
        <v>2200</v>
      </c>
      <c r="H1101" s="52" t="s">
        <v>25</v>
      </c>
      <c r="I1101" s="117" t="s">
        <v>2814</v>
      </c>
      <c r="J1101" s="117">
        <v>72660</v>
      </c>
      <c r="K1101" s="117">
        <v>72878</v>
      </c>
      <c r="L1101" s="18">
        <v>218</v>
      </c>
      <c r="M1101" s="19">
        <v>370498</v>
      </c>
      <c r="N1101" s="20">
        <v>0</v>
      </c>
      <c r="O1101" s="20">
        <v>0</v>
      </c>
      <c r="P1101" s="20">
        <v>0</v>
      </c>
      <c r="Q1101" s="20">
        <v>0</v>
      </c>
      <c r="R1101" s="19">
        <f t="shared" si="150"/>
        <v>370498</v>
      </c>
      <c r="S1101" s="19">
        <v>3000</v>
      </c>
      <c r="T1101" s="19">
        <f t="shared" si="151"/>
        <v>373498</v>
      </c>
      <c r="U1101" s="105"/>
      <c r="X1101" s="10">
        <f t="shared" si="153"/>
        <v>370498</v>
      </c>
      <c r="Y1101" s="2">
        <f t="shared" si="154"/>
        <v>0</v>
      </c>
      <c r="Z1101" s="10">
        <f t="shared" si="152"/>
        <v>0</v>
      </c>
    </row>
    <row r="1102" spans="1:26" ht="18" customHeight="1" x14ac:dyDescent="0.25">
      <c r="A1102" s="11">
        <v>70</v>
      </c>
      <c r="B1102" s="52" t="s">
        <v>2815</v>
      </c>
      <c r="C1102" s="53" t="s">
        <v>2816</v>
      </c>
      <c r="D1102" s="13" t="s">
        <v>22</v>
      </c>
      <c r="E1102" s="53" t="s">
        <v>2817</v>
      </c>
      <c r="F1102" s="54" t="s">
        <v>24</v>
      </c>
      <c r="G1102" s="116">
        <v>2400</v>
      </c>
      <c r="H1102" s="52" t="s">
        <v>25</v>
      </c>
      <c r="I1102" s="117" t="s">
        <v>2818</v>
      </c>
      <c r="J1102" s="117">
        <v>45415</v>
      </c>
      <c r="K1102" s="117">
        <v>45415</v>
      </c>
      <c r="L1102" s="18">
        <v>900</v>
      </c>
      <c r="M1102" s="19">
        <v>1529577</v>
      </c>
      <c r="N1102" s="20">
        <v>0</v>
      </c>
      <c r="O1102" s="20">
        <v>0</v>
      </c>
      <c r="P1102" s="20">
        <v>0</v>
      </c>
      <c r="Q1102" s="20">
        <v>0</v>
      </c>
      <c r="R1102" s="19">
        <f t="shared" si="150"/>
        <v>1529577</v>
      </c>
      <c r="S1102" s="19">
        <v>3000</v>
      </c>
      <c r="T1102" s="19">
        <f t="shared" si="151"/>
        <v>1532577</v>
      </c>
      <c r="U1102" s="105"/>
      <c r="X1102" s="10">
        <f t="shared" si="153"/>
        <v>1529577</v>
      </c>
      <c r="Y1102" s="2">
        <f t="shared" si="154"/>
        <v>0</v>
      </c>
      <c r="Z1102" s="10">
        <f t="shared" si="152"/>
        <v>0</v>
      </c>
    </row>
    <row r="1103" spans="1:26" ht="18" customHeight="1" x14ac:dyDescent="0.25">
      <c r="A1103" s="11">
        <v>71</v>
      </c>
      <c r="B1103" s="52" t="s">
        <v>2819</v>
      </c>
      <c r="C1103" s="53" t="s">
        <v>2820</v>
      </c>
      <c r="D1103" s="13" t="s">
        <v>28</v>
      </c>
      <c r="E1103" s="53" t="s">
        <v>2821</v>
      </c>
      <c r="F1103" s="54" t="s">
        <v>24</v>
      </c>
      <c r="G1103" s="116">
        <v>3720</v>
      </c>
      <c r="H1103" s="52" t="s">
        <v>25</v>
      </c>
      <c r="I1103" s="117" t="s">
        <v>2822</v>
      </c>
      <c r="J1103" s="117">
        <v>262751</v>
      </c>
      <c r="K1103" s="117">
        <v>263566</v>
      </c>
      <c r="L1103" s="18">
        <v>815</v>
      </c>
      <c r="M1103" s="19">
        <v>1385117</v>
      </c>
      <c r="N1103" s="20">
        <v>0</v>
      </c>
      <c r="O1103" s="20">
        <v>0</v>
      </c>
      <c r="P1103" s="20">
        <v>0</v>
      </c>
      <c r="Q1103" s="20">
        <v>0</v>
      </c>
      <c r="R1103" s="19">
        <f t="shared" si="150"/>
        <v>1385117</v>
      </c>
      <c r="S1103" s="19">
        <v>3000</v>
      </c>
      <c r="T1103" s="19">
        <f t="shared" si="151"/>
        <v>1388117</v>
      </c>
      <c r="U1103" s="105"/>
      <c r="X1103" s="10">
        <f t="shared" si="153"/>
        <v>1385117</v>
      </c>
      <c r="Y1103" s="2">
        <f t="shared" si="154"/>
        <v>0</v>
      </c>
      <c r="Z1103" s="10">
        <f t="shared" si="152"/>
        <v>0</v>
      </c>
    </row>
    <row r="1104" spans="1:26" ht="18" customHeight="1" x14ac:dyDescent="0.25">
      <c r="A1104" s="11">
        <v>72</v>
      </c>
      <c r="B1104" s="52" t="s">
        <v>2823</v>
      </c>
      <c r="C1104" s="53" t="s">
        <v>2824</v>
      </c>
      <c r="D1104" s="13" t="s">
        <v>28</v>
      </c>
      <c r="E1104" s="53" t="s">
        <v>2825</v>
      </c>
      <c r="F1104" s="54" t="s">
        <v>24</v>
      </c>
      <c r="G1104" s="116">
        <v>2720</v>
      </c>
      <c r="H1104" s="52" t="s">
        <v>25</v>
      </c>
      <c r="I1104" s="117" t="s">
        <v>2826</v>
      </c>
      <c r="J1104" s="117">
        <v>27056</v>
      </c>
      <c r="K1104" s="117">
        <v>28245</v>
      </c>
      <c r="L1104" s="18">
        <v>1189</v>
      </c>
      <c r="M1104" s="19">
        <v>2020741</v>
      </c>
      <c r="N1104" s="20">
        <v>0</v>
      </c>
      <c r="O1104" s="20">
        <v>0</v>
      </c>
      <c r="P1104" s="20">
        <v>0</v>
      </c>
      <c r="Q1104" s="20">
        <v>0</v>
      </c>
      <c r="R1104" s="19">
        <f t="shared" si="150"/>
        <v>2020741</v>
      </c>
      <c r="S1104" s="19">
        <v>3000</v>
      </c>
      <c r="T1104" s="19">
        <f t="shared" si="151"/>
        <v>2023741</v>
      </c>
      <c r="U1104" s="105"/>
      <c r="X1104" s="10">
        <f t="shared" si="153"/>
        <v>2020741</v>
      </c>
      <c r="Y1104" s="2">
        <f t="shared" si="154"/>
        <v>0</v>
      </c>
      <c r="Z1104" s="10">
        <f t="shared" si="152"/>
        <v>0</v>
      </c>
    </row>
    <row r="1105" spans="1:26" ht="18" customHeight="1" x14ac:dyDescent="0.25">
      <c r="A1105" s="11">
        <v>73</v>
      </c>
      <c r="B1105" s="52" t="s">
        <v>2827</v>
      </c>
      <c r="C1105" s="53" t="s">
        <v>2828</v>
      </c>
      <c r="D1105" s="13" t="s">
        <v>28</v>
      </c>
      <c r="E1105" s="53" t="s">
        <v>2829</v>
      </c>
      <c r="F1105" s="54" t="s">
        <v>24</v>
      </c>
      <c r="G1105" s="116">
        <v>1250</v>
      </c>
      <c r="H1105" s="52" t="s">
        <v>25</v>
      </c>
      <c r="I1105" s="117" t="s">
        <v>2830</v>
      </c>
      <c r="J1105" s="117">
        <v>25080</v>
      </c>
      <c r="K1105" s="117">
        <v>25827</v>
      </c>
      <c r="L1105" s="18">
        <v>747</v>
      </c>
      <c r="M1105" s="19">
        <v>1269549</v>
      </c>
      <c r="N1105" s="20">
        <v>0</v>
      </c>
      <c r="O1105" s="20">
        <v>0</v>
      </c>
      <c r="P1105" s="20">
        <v>0</v>
      </c>
      <c r="Q1105" s="20">
        <v>0</v>
      </c>
      <c r="R1105" s="19">
        <f t="shared" si="150"/>
        <v>1269549</v>
      </c>
      <c r="S1105" s="19">
        <v>3000</v>
      </c>
      <c r="T1105" s="19">
        <f t="shared" si="151"/>
        <v>1272549</v>
      </c>
      <c r="U1105" s="105"/>
      <c r="X1105" s="10">
        <f t="shared" si="153"/>
        <v>1269549</v>
      </c>
      <c r="Y1105" s="2">
        <f t="shared" si="154"/>
        <v>0</v>
      </c>
      <c r="Z1105" s="10">
        <f t="shared" si="152"/>
        <v>0</v>
      </c>
    </row>
    <row r="1106" spans="1:26" ht="18" customHeight="1" x14ac:dyDescent="0.25">
      <c r="A1106" s="11">
        <v>74</v>
      </c>
      <c r="B1106" s="52" t="s">
        <v>2831</v>
      </c>
      <c r="C1106" s="53" t="s">
        <v>2832</v>
      </c>
      <c r="D1106" s="13" t="s">
        <v>28</v>
      </c>
      <c r="E1106" s="53" t="s">
        <v>2833</v>
      </c>
      <c r="F1106" s="54" t="s">
        <v>24</v>
      </c>
      <c r="G1106" s="116">
        <v>10600</v>
      </c>
      <c r="H1106" s="52" t="s">
        <v>25</v>
      </c>
      <c r="I1106" s="117" t="s">
        <v>2834</v>
      </c>
      <c r="J1106" s="117">
        <v>119339</v>
      </c>
      <c r="K1106" s="117">
        <v>121375</v>
      </c>
      <c r="L1106" s="18">
        <v>2036</v>
      </c>
      <c r="M1106" s="19">
        <v>3460243</v>
      </c>
      <c r="N1106" s="20">
        <v>0</v>
      </c>
      <c r="O1106" s="20">
        <v>0</v>
      </c>
      <c r="P1106" s="20">
        <v>0</v>
      </c>
      <c r="Q1106" s="20">
        <v>0</v>
      </c>
      <c r="R1106" s="19">
        <f t="shared" si="150"/>
        <v>3460243</v>
      </c>
      <c r="S1106" s="19">
        <v>3000</v>
      </c>
      <c r="T1106" s="19">
        <f t="shared" si="151"/>
        <v>3463243</v>
      </c>
      <c r="U1106" s="105"/>
      <c r="X1106" s="10">
        <f t="shared" si="153"/>
        <v>3460243</v>
      </c>
      <c r="Y1106" s="2">
        <f t="shared" si="154"/>
        <v>0</v>
      </c>
      <c r="Z1106" s="10">
        <f t="shared" si="152"/>
        <v>0</v>
      </c>
    </row>
    <row r="1107" spans="1:26" ht="18" customHeight="1" x14ac:dyDescent="0.25">
      <c r="A1107" s="11">
        <v>75</v>
      </c>
      <c r="B1107" s="52" t="s">
        <v>2835</v>
      </c>
      <c r="C1107" s="53" t="s">
        <v>2836</v>
      </c>
      <c r="D1107" s="13" t="s">
        <v>28</v>
      </c>
      <c r="E1107" s="53" t="s">
        <v>2837</v>
      </c>
      <c r="F1107" s="54" t="s">
        <v>24</v>
      </c>
      <c r="G1107" s="116">
        <v>2200</v>
      </c>
      <c r="H1107" s="52" t="s">
        <v>25</v>
      </c>
      <c r="I1107" s="117" t="s">
        <v>2838</v>
      </c>
      <c r="J1107" s="117">
        <v>26152</v>
      </c>
      <c r="K1107" s="117">
        <v>26301</v>
      </c>
      <c r="L1107" s="18">
        <v>149</v>
      </c>
      <c r="M1107" s="19">
        <v>253230</v>
      </c>
      <c r="N1107" s="20">
        <v>0</v>
      </c>
      <c r="O1107" s="20">
        <v>0</v>
      </c>
      <c r="P1107" s="20">
        <v>0</v>
      </c>
      <c r="Q1107" s="20">
        <v>0</v>
      </c>
      <c r="R1107" s="19">
        <f t="shared" si="150"/>
        <v>253230</v>
      </c>
      <c r="S1107" s="19">
        <v>3000</v>
      </c>
      <c r="T1107" s="19">
        <f t="shared" si="151"/>
        <v>256230</v>
      </c>
      <c r="U1107" s="105"/>
      <c r="X1107" s="10">
        <f t="shared" si="153"/>
        <v>253230</v>
      </c>
      <c r="Y1107" s="2">
        <f t="shared" si="154"/>
        <v>0</v>
      </c>
      <c r="Z1107" s="10">
        <f t="shared" si="152"/>
        <v>0</v>
      </c>
    </row>
    <row r="1108" spans="1:26" ht="18" customHeight="1" x14ac:dyDescent="0.25">
      <c r="A1108" s="11">
        <v>76</v>
      </c>
      <c r="B1108" s="52" t="s">
        <v>2839</v>
      </c>
      <c r="C1108" s="53" t="s">
        <v>2117</v>
      </c>
      <c r="D1108" s="13" t="s">
        <v>28</v>
      </c>
      <c r="E1108" s="53" t="s">
        <v>2575</v>
      </c>
      <c r="F1108" s="54" t="s">
        <v>24</v>
      </c>
      <c r="G1108" s="116">
        <v>2200</v>
      </c>
      <c r="H1108" s="52" t="s">
        <v>25</v>
      </c>
      <c r="I1108" s="117" t="s">
        <v>2840</v>
      </c>
      <c r="J1108" s="117">
        <v>46241</v>
      </c>
      <c r="K1108" s="117">
        <v>46546</v>
      </c>
      <c r="L1108" s="18">
        <v>305</v>
      </c>
      <c r="M1108" s="19">
        <v>518357</v>
      </c>
      <c r="N1108" s="20">
        <v>0</v>
      </c>
      <c r="O1108" s="20">
        <v>0</v>
      </c>
      <c r="P1108" s="20">
        <v>0</v>
      </c>
      <c r="Q1108" s="20">
        <v>0</v>
      </c>
      <c r="R1108" s="19">
        <f t="shared" si="150"/>
        <v>518357</v>
      </c>
      <c r="S1108" s="19">
        <v>3000</v>
      </c>
      <c r="T1108" s="19">
        <f t="shared" si="151"/>
        <v>521357</v>
      </c>
      <c r="U1108" s="105"/>
      <c r="X1108" s="10">
        <f t="shared" si="153"/>
        <v>518357</v>
      </c>
      <c r="Y1108" s="2">
        <f t="shared" si="154"/>
        <v>0</v>
      </c>
      <c r="Z1108" s="10">
        <f t="shared" si="152"/>
        <v>0</v>
      </c>
    </row>
    <row r="1109" spans="1:26" ht="18" customHeight="1" x14ac:dyDescent="0.25">
      <c r="A1109" s="11">
        <v>77</v>
      </c>
      <c r="B1109" s="52" t="s">
        <v>2841</v>
      </c>
      <c r="C1109" s="53" t="s">
        <v>2842</v>
      </c>
      <c r="D1109" s="13" t="s">
        <v>28</v>
      </c>
      <c r="E1109" s="53" t="s">
        <v>2843</v>
      </c>
      <c r="F1109" s="54" t="s">
        <v>24</v>
      </c>
      <c r="G1109" s="116">
        <v>5500</v>
      </c>
      <c r="H1109" s="52" t="s">
        <v>25</v>
      </c>
      <c r="I1109" s="117" t="s">
        <v>671</v>
      </c>
      <c r="J1109" s="117">
        <v>61002</v>
      </c>
      <c r="K1109" s="117">
        <v>62247</v>
      </c>
      <c r="L1109" s="18">
        <v>1245</v>
      </c>
      <c r="M1109" s="19">
        <v>2115915</v>
      </c>
      <c r="N1109" s="20">
        <v>0</v>
      </c>
      <c r="O1109" s="20">
        <v>0</v>
      </c>
      <c r="P1109" s="20">
        <v>0</v>
      </c>
      <c r="Q1109" s="20">
        <v>0</v>
      </c>
      <c r="R1109" s="19">
        <f t="shared" si="150"/>
        <v>2115915</v>
      </c>
      <c r="S1109" s="19">
        <v>3000</v>
      </c>
      <c r="T1109" s="19">
        <f t="shared" si="151"/>
        <v>2118915</v>
      </c>
      <c r="U1109" s="105"/>
      <c r="X1109" s="10">
        <f t="shared" si="153"/>
        <v>2115915</v>
      </c>
      <c r="Y1109" s="2">
        <f t="shared" si="154"/>
        <v>0</v>
      </c>
      <c r="Z1109" s="10">
        <f t="shared" si="152"/>
        <v>0</v>
      </c>
    </row>
    <row r="1110" spans="1:26" ht="18" customHeight="1" x14ac:dyDescent="0.25">
      <c r="A1110" s="11">
        <v>78</v>
      </c>
      <c r="B1110" s="52" t="s">
        <v>2844</v>
      </c>
      <c r="C1110" s="53" t="s">
        <v>2845</v>
      </c>
      <c r="D1110" s="13" t="s">
        <v>28</v>
      </c>
      <c r="E1110" s="53" t="s">
        <v>2587</v>
      </c>
      <c r="F1110" s="54" t="s">
        <v>24</v>
      </c>
      <c r="G1110" s="116">
        <v>11000</v>
      </c>
      <c r="H1110" s="52" t="s">
        <v>25</v>
      </c>
      <c r="I1110" s="117" t="s">
        <v>2846</v>
      </c>
      <c r="J1110" s="117">
        <v>73989</v>
      </c>
      <c r="K1110" s="117">
        <v>75405</v>
      </c>
      <c r="L1110" s="18">
        <v>1416</v>
      </c>
      <c r="M1110" s="19">
        <v>2406534</v>
      </c>
      <c r="N1110" s="20">
        <v>0</v>
      </c>
      <c r="O1110" s="20">
        <v>0</v>
      </c>
      <c r="P1110" s="20">
        <v>0</v>
      </c>
      <c r="Q1110" s="20">
        <v>0</v>
      </c>
      <c r="R1110" s="19">
        <f t="shared" si="150"/>
        <v>2406534</v>
      </c>
      <c r="S1110" s="19">
        <v>3000</v>
      </c>
      <c r="T1110" s="19">
        <f t="shared" si="151"/>
        <v>2409534</v>
      </c>
      <c r="U1110" s="105"/>
      <c r="X1110" s="10">
        <f t="shared" si="153"/>
        <v>2406534</v>
      </c>
      <c r="Y1110" s="2">
        <f t="shared" si="154"/>
        <v>0</v>
      </c>
      <c r="Z1110" s="10">
        <f t="shared" si="152"/>
        <v>0</v>
      </c>
    </row>
    <row r="1111" spans="1:26" ht="18" customHeight="1" x14ac:dyDescent="0.25">
      <c r="A1111" s="11">
        <v>79</v>
      </c>
      <c r="B1111" s="52" t="s">
        <v>2847</v>
      </c>
      <c r="C1111" s="53" t="s">
        <v>2848</v>
      </c>
      <c r="D1111" s="13" t="s">
        <v>22</v>
      </c>
      <c r="E1111" s="53" t="s">
        <v>2849</v>
      </c>
      <c r="F1111" s="54" t="s">
        <v>24</v>
      </c>
      <c r="G1111" s="116">
        <v>5500</v>
      </c>
      <c r="H1111" s="52" t="s">
        <v>25</v>
      </c>
      <c r="I1111" s="117" t="s">
        <v>2850</v>
      </c>
      <c r="J1111" s="117">
        <v>36412</v>
      </c>
      <c r="K1111" s="117">
        <v>36861</v>
      </c>
      <c r="L1111" s="18">
        <v>449</v>
      </c>
      <c r="M1111" s="19">
        <v>763089</v>
      </c>
      <c r="N1111" s="20">
        <v>0</v>
      </c>
      <c r="O1111" s="20">
        <v>0</v>
      </c>
      <c r="P1111" s="20">
        <v>0</v>
      </c>
      <c r="Q1111" s="20">
        <v>0</v>
      </c>
      <c r="R1111" s="19">
        <f t="shared" si="150"/>
        <v>763089</v>
      </c>
      <c r="S1111" s="19">
        <v>3000</v>
      </c>
      <c r="T1111" s="19">
        <f t="shared" si="151"/>
        <v>766089</v>
      </c>
      <c r="U1111" s="105"/>
      <c r="X1111" s="10">
        <f t="shared" si="153"/>
        <v>763089</v>
      </c>
      <c r="Y1111" s="2">
        <f t="shared" si="154"/>
        <v>0</v>
      </c>
      <c r="Z1111" s="10">
        <f t="shared" si="152"/>
        <v>0</v>
      </c>
    </row>
    <row r="1112" spans="1:26" ht="18" customHeight="1" x14ac:dyDescent="0.25">
      <c r="A1112" s="11">
        <v>80</v>
      </c>
      <c r="B1112" s="52" t="s">
        <v>2851</v>
      </c>
      <c r="C1112" s="53" t="s">
        <v>2852</v>
      </c>
      <c r="D1112" s="13" t="s">
        <v>28</v>
      </c>
      <c r="E1112" s="53" t="s">
        <v>2780</v>
      </c>
      <c r="F1112" s="54" t="s">
        <v>24</v>
      </c>
      <c r="G1112" s="116">
        <v>4400</v>
      </c>
      <c r="H1112" s="52" t="s">
        <v>25</v>
      </c>
      <c r="I1112" s="117" t="s">
        <v>2853</v>
      </c>
      <c r="J1112" s="117">
        <v>9508</v>
      </c>
      <c r="K1112" s="117">
        <v>11076</v>
      </c>
      <c r="L1112" s="18">
        <v>1568</v>
      </c>
      <c r="M1112" s="19">
        <v>2664863</v>
      </c>
      <c r="N1112" s="20">
        <v>0</v>
      </c>
      <c r="O1112" s="20">
        <v>0</v>
      </c>
      <c r="P1112" s="20">
        <v>0</v>
      </c>
      <c r="Q1112" s="20">
        <v>0</v>
      </c>
      <c r="R1112" s="19">
        <f t="shared" si="150"/>
        <v>2664863</v>
      </c>
      <c r="S1112" s="19">
        <v>3000</v>
      </c>
      <c r="T1112" s="19">
        <f t="shared" si="151"/>
        <v>2667863</v>
      </c>
      <c r="U1112" s="105"/>
      <c r="X1112" s="10">
        <f t="shared" si="153"/>
        <v>2664863</v>
      </c>
      <c r="Y1112" s="2">
        <f t="shared" si="154"/>
        <v>0</v>
      </c>
      <c r="Z1112" s="10">
        <f t="shared" si="152"/>
        <v>0</v>
      </c>
    </row>
    <row r="1113" spans="1:26" ht="18" customHeight="1" x14ac:dyDescent="0.25">
      <c r="A1113" s="11"/>
      <c r="B1113" s="52"/>
      <c r="C1113" s="53"/>
      <c r="D1113" s="13"/>
      <c r="E1113" s="53"/>
      <c r="F1113" s="54"/>
      <c r="G1113" s="116"/>
      <c r="H1113" s="52"/>
      <c r="I1113" s="117"/>
      <c r="J1113" s="117"/>
      <c r="K1113" s="117"/>
      <c r="L1113" s="18"/>
      <c r="M1113" s="19"/>
      <c r="N1113" s="20"/>
      <c r="O1113" s="20"/>
      <c r="P1113" s="20"/>
      <c r="Q1113" s="20"/>
      <c r="R1113" s="19"/>
      <c r="S1113" s="19"/>
      <c r="T1113" s="19"/>
      <c r="U1113" s="105"/>
      <c r="X1113" s="10"/>
      <c r="Z1113" s="10"/>
    </row>
    <row r="1114" spans="1:26" ht="33.75" customHeight="1" x14ac:dyDescent="0.25">
      <c r="A1114" s="11"/>
      <c r="B1114" s="107"/>
      <c r="C1114" s="13"/>
      <c r="D1114" s="13"/>
      <c r="E1114" s="119" t="s">
        <v>139</v>
      </c>
      <c r="F1114" s="54"/>
      <c r="G1114" s="120">
        <f t="shared" ref="G1114:R1114" si="155">SUM(G1072:G1112)</f>
        <v>496480</v>
      </c>
      <c r="H1114" s="52" t="s">
        <v>2854</v>
      </c>
      <c r="I1114" s="120">
        <f t="shared" si="155"/>
        <v>0</v>
      </c>
      <c r="J1114" s="120"/>
      <c r="K1114" s="120"/>
      <c r="L1114" s="120">
        <f t="shared" si="155"/>
        <v>149137</v>
      </c>
      <c r="M1114" s="121">
        <f t="shared" si="155"/>
        <v>253462807</v>
      </c>
      <c r="N1114" s="122">
        <f t="shared" si="155"/>
        <v>0</v>
      </c>
      <c r="O1114" s="122">
        <f t="shared" si="155"/>
        <v>0</v>
      </c>
      <c r="P1114" s="122">
        <f t="shared" si="155"/>
        <v>0</v>
      </c>
      <c r="Q1114" s="122">
        <f t="shared" si="155"/>
        <v>100000</v>
      </c>
      <c r="R1114" s="121">
        <f t="shared" si="155"/>
        <v>253562807</v>
      </c>
      <c r="S1114" s="121">
        <f>SUM(S1072:S1112)</f>
        <v>240000</v>
      </c>
      <c r="T1114" s="121">
        <f>SUM(T1072:T1112)</f>
        <v>253802807</v>
      </c>
      <c r="U1114" s="152"/>
      <c r="W1114" s="123"/>
      <c r="X1114" s="10">
        <f t="shared" si="153"/>
        <v>253462807</v>
      </c>
      <c r="Y1114" s="2">
        <f t="shared" si="154"/>
        <v>10000</v>
      </c>
      <c r="Z1114" s="10"/>
    </row>
    <row r="1115" spans="1:26" ht="18" customHeight="1" x14ac:dyDescent="0.25">
      <c r="A1115" s="87"/>
      <c r="B1115" s="108"/>
      <c r="C1115" s="85"/>
      <c r="D1115" s="85"/>
      <c r="E1115" s="85"/>
      <c r="G1115" s="28"/>
      <c r="H1115" s="28"/>
      <c r="L1115" s="31"/>
      <c r="X1115" s="10">
        <f t="shared" si="153"/>
        <v>0</v>
      </c>
      <c r="Y1115" s="2">
        <f t="shared" si="154"/>
        <v>0</v>
      </c>
      <c r="Z1115" s="10"/>
    </row>
    <row r="1116" spans="1:26" ht="18" customHeight="1" x14ac:dyDescent="0.25">
      <c r="B1116" s="88"/>
      <c r="L1116" s="31"/>
      <c r="X1116" s="10">
        <f t="shared" si="153"/>
        <v>0</v>
      </c>
      <c r="Y1116" s="2">
        <f t="shared" si="154"/>
        <v>0</v>
      </c>
      <c r="Z1116" s="10"/>
    </row>
    <row r="1117" spans="1:26" s="84" customFormat="1" ht="39" customHeight="1" x14ac:dyDescent="0.25">
      <c r="A1117" s="9" t="s">
        <v>4</v>
      </c>
      <c r="B1117" s="21" t="s">
        <v>5</v>
      </c>
      <c r="C1117" s="21" t="s">
        <v>6</v>
      </c>
      <c r="D1117" s="12"/>
      <c r="E1117" s="9" t="s">
        <v>7</v>
      </c>
      <c r="F1117" s="21" t="s">
        <v>8</v>
      </c>
      <c r="G1117" s="21" t="s">
        <v>9</v>
      </c>
      <c r="H1117" s="21" t="s">
        <v>10</v>
      </c>
      <c r="I1117" s="21" t="s">
        <v>11</v>
      </c>
      <c r="J1117" s="21" t="s">
        <v>12</v>
      </c>
      <c r="K1117" s="21" t="s">
        <v>13</v>
      </c>
      <c r="L1117" s="21" t="s">
        <v>14</v>
      </c>
      <c r="M1117" s="143" t="s">
        <v>15</v>
      </c>
      <c r="N1117" s="144" t="s">
        <v>16</v>
      </c>
      <c r="O1117" s="144" t="s">
        <v>17</v>
      </c>
      <c r="P1117" s="144" t="s">
        <v>18</v>
      </c>
      <c r="Q1117" s="144" t="s">
        <v>19</v>
      </c>
      <c r="R1117" s="143" t="s">
        <v>20</v>
      </c>
      <c r="S1117" s="143" t="s">
        <v>3471</v>
      </c>
      <c r="T1117" s="143" t="s">
        <v>3472</v>
      </c>
      <c r="U1117" s="145"/>
      <c r="V1117" s="145"/>
      <c r="W1117" s="145"/>
      <c r="X1117" s="145"/>
    </row>
    <row r="1118" spans="1:26" s="84" customFormat="1" ht="18.75" customHeight="1" x14ac:dyDescent="0.25">
      <c r="A1118" s="9"/>
      <c r="B1118" s="21"/>
      <c r="C1118" s="21"/>
      <c r="D1118" s="12"/>
      <c r="E1118" s="9"/>
      <c r="F1118" s="21"/>
      <c r="G1118" s="21"/>
      <c r="H1118" s="21"/>
      <c r="I1118" s="21"/>
      <c r="J1118" s="21"/>
      <c r="K1118" s="21"/>
      <c r="L1118" s="21"/>
      <c r="M1118" s="143"/>
      <c r="N1118" s="144"/>
      <c r="O1118" s="144"/>
      <c r="P1118" s="144"/>
      <c r="Q1118" s="144"/>
      <c r="R1118" s="143"/>
      <c r="S1118" s="143"/>
      <c r="T1118" s="143"/>
      <c r="U1118" s="145"/>
      <c r="V1118" s="145"/>
      <c r="W1118" s="145"/>
      <c r="X1118" s="145"/>
    </row>
    <row r="1119" spans="1:26" ht="18" customHeight="1" x14ac:dyDescent="0.25">
      <c r="A1119" s="11"/>
      <c r="B1119" s="107"/>
      <c r="C1119" s="13"/>
      <c r="D1119" s="13"/>
      <c r="E1119" s="35" t="s">
        <v>141</v>
      </c>
      <c r="F1119" s="15"/>
      <c r="G1119" s="61">
        <f>G1114</f>
        <v>496480</v>
      </c>
      <c r="H1119" s="61" t="str">
        <f t="shared" ref="H1119:R1119" si="156">H1114</f>
        <v>202410</v>
      </c>
      <c r="I1119" s="61">
        <f t="shared" si="156"/>
        <v>0</v>
      </c>
      <c r="J1119" s="61"/>
      <c r="K1119" s="61"/>
      <c r="L1119" s="61">
        <f t="shared" si="156"/>
        <v>149137</v>
      </c>
      <c r="M1119" s="37">
        <f t="shared" si="156"/>
        <v>253462807</v>
      </c>
      <c r="N1119" s="38">
        <f t="shared" si="156"/>
        <v>0</v>
      </c>
      <c r="O1119" s="38">
        <f t="shared" si="156"/>
        <v>0</v>
      </c>
      <c r="P1119" s="38">
        <f t="shared" si="156"/>
        <v>0</v>
      </c>
      <c r="Q1119" s="38">
        <f t="shared" si="156"/>
        <v>100000</v>
      </c>
      <c r="R1119" s="37">
        <f t="shared" si="156"/>
        <v>253562807</v>
      </c>
      <c r="S1119" s="37">
        <f>S1114</f>
        <v>240000</v>
      </c>
      <c r="T1119" s="37">
        <f>T1114</f>
        <v>253802807</v>
      </c>
      <c r="U1119" s="147"/>
      <c r="X1119" s="10">
        <f t="shared" si="153"/>
        <v>253462807</v>
      </c>
      <c r="Y1119" s="2">
        <f t="shared" si="154"/>
        <v>10000</v>
      </c>
      <c r="Z1119" s="10"/>
    </row>
    <row r="1120" spans="1:26" ht="18" customHeight="1" x14ac:dyDescent="0.25">
      <c r="A1120" s="11">
        <v>81</v>
      </c>
      <c r="B1120" s="52" t="s">
        <v>2855</v>
      </c>
      <c r="C1120" s="53" t="s">
        <v>2856</v>
      </c>
      <c r="D1120" s="13" t="s">
        <v>28</v>
      </c>
      <c r="E1120" s="53" t="s">
        <v>2857</v>
      </c>
      <c r="F1120" s="54" t="s">
        <v>24</v>
      </c>
      <c r="G1120" s="116">
        <v>4400</v>
      </c>
      <c r="H1120" s="52" t="s">
        <v>25</v>
      </c>
      <c r="I1120" s="116" t="s">
        <v>2858</v>
      </c>
      <c r="J1120" s="116">
        <v>1</v>
      </c>
      <c r="K1120" s="116">
        <v>1</v>
      </c>
      <c r="L1120" s="124">
        <v>176</v>
      </c>
      <c r="M1120" s="19">
        <v>299117</v>
      </c>
      <c r="N1120" s="20">
        <v>0</v>
      </c>
      <c r="O1120" s="20">
        <v>0</v>
      </c>
      <c r="P1120" s="20">
        <v>0</v>
      </c>
      <c r="Q1120" s="20">
        <v>0</v>
      </c>
      <c r="R1120" s="19">
        <f t="shared" ref="R1120:R1159" si="157">M1120+N1120+O1120+P1120+Q1120</f>
        <v>299117</v>
      </c>
      <c r="S1120" s="19">
        <v>3000</v>
      </c>
      <c r="T1120" s="19">
        <f t="shared" ref="T1120:T1159" si="158">R1120+S1120</f>
        <v>302117</v>
      </c>
      <c r="U1120" s="105"/>
      <c r="X1120" s="10">
        <f t="shared" si="153"/>
        <v>299117</v>
      </c>
      <c r="Y1120" s="2">
        <f t="shared" si="154"/>
        <v>0</v>
      </c>
      <c r="Z1120" s="10">
        <f t="shared" ref="Z1120:Z1159" si="159">Q1120-Y1120</f>
        <v>0</v>
      </c>
    </row>
    <row r="1121" spans="1:26" ht="18" customHeight="1" x14ac:dyDescent="0.25">
      <c r="A1121" s="11">
        <v>82</v>
      </c>
      <c r="B1121" s="52" t="s">
        <v>2859</v>
      </c>
      <c r="C1121" s="53" t="s">
        <v>2860</v>
      </c>
      <c r="D1121" s="13" t="s">
        <v>28</v>
      </c>
      <c r="E1121" s="53" t="s">
        <v>2861</v>
      </c>
      <c r="F1121" s="54" t="s">
        <v>24</v>
      </c>
      <c r="G1121" s="116">
        <v>4400</v>
      </c>
      <c r="H1121" s="52" t="s">
        <v>25</v>
      </c>
      <c r="I1121" s="116" t="s">
        <v>2862</v>
      </c>
      <c r="J1121" s="116">
        <v>72900</v>
      </c>
      <c r="K1121" s="116">
        <v>73450</v>
      </c>
      <c r="L1121" s="124">
        <v>550</v>
      </c>
      <c r="M1121" s="19">
        <v>934742</v>
      </c>
      <c r="N1121" s="20">
        <v>0</v>
      </c>
      <c r="O1121" s="20">
        <v>0</v>
      </c>
      <c r="P1121" s="20">
        <v>0</v>
      </c>
      <c r="Q1121" s="20">
        <v>0</v>
      </c>
      <c r="R1121" s="19">
        <f t="shared" si="157"/>
        <v>934742</v>
      </c>
      <c r="S1121" s="19">
        <v>3000</v>
      </c>
      <c r="T1121" s="19">
        <f t="shared" si="158"/>
        <v>937742</v>
      </c>
      <c r="U1121" s="105"/>
      <c r="X1121" s="10">
        <f t="shared" si="153"/>
        <v>934742</v>
      </c>
      <c r="Y1121" s="2">
        <f t="shared" si="154"/>
        <v>0</v>
      </c>
      <c r="Z1121" s="10">
        <f t="shared" si="159"/>
        <v>0</v>
      </c>
    </row>
    <row r="1122" spans="1:26" ht="18" customHeight="1" x14ac:dyDescent="0.25">
      <c r="A1122" s="11">
        <v>83</v>
      </c>
      <c r="B1122" s="52" t="s">
        <v>2863</v>
      </c>
      <c r="C1122" s="53" t="s">
        <v>2864</v>
      </c>
      <c r="D1122" s="13" t="s">
        <v>28</v>
      </c>
      <c r="E1122" s="53" t="s">
        <v>2865</v>
      </c>
      <c r="F1122" s="54" t="s">
        <v>24</v>
      </c>
      <c r="G1122" s="116">
        <v>4400</v>
      </c>
      <c r="H1122" s="52" t="s">
        <v>25</v>
      </c>
      <c r="I1122" s="116" t="s">
        <v>2866</v>
      </c>
      <c r="J1122" s="116">
        <v>89428</v>
      </c>
      <c r="K1122" s="116">
        <v>91760</v>
      </c>
      <c r="L1122" s="124">
        <v>2332</v>
      </c>
      <c r="M1122" s="19">
        <v>3963304</v>
      </c>
      <c r="N1122" s="20">
        <v>0</v>
      </c>
      <c r="O1122" s="20">
        <v>0</v>
      </c>
      <c r="P1122" s="20">
        <v>0</v>
      </c>
      <c r="Q1122" s="20">
        <v>0</v>
      </c>
      <c r="R1122" s="19">
        <f t="shared" si="157"/>
        <v>3963304</v>
      </c>
      <c r="S1122" s="19">
        <v>3000</v>
      </c>
      <c r="T1122" s="19">
        <f t="shared" si="158"/>
        <v>3966304</v>
      </c>
      <c r="U1122" s="105"/>
      <c r="X1122" s="10">
        <f t="shared" si="153"/>
        <v>3963304</v>
      </c>
      <c r="Y1122" s="2">
        <f t="shared" si="154"/>
        <v>0</v>
      </c>
      <c r="Z1122" s="10">
        <f t="shared" si="159"/>
        <v>0</v>
      </c>
    </row>
    <row r="1123" spans="1:26" ht="18" customHeight="1" x14ac:dyDescent="0.25">
      <c r="A1123" s="11">
        <v>84</v>
      </c>
      <c r="B1123" s="52" t="s">
        <v>2867</v>
      </c>
      <c r="C1123" s="53" t="s">
        <v>2868</v>
      </c>
      <c r="D1123" s="13" t="s">
        <v>28</v>
      </c>
      <c r="E1123" s="53" t="s">
        <v>2780</v>
      </c>
      <c r="F1123" s="54" t="s">
        <v>24</v>
      </c>
      <c r="G1123" s="116">
        <v>5500</v>
      </c>
      <c r="H1123" s="52" t="s">
        <v>25</v>
      </c>
      <c r="I1123" s="116" t="s">
        <v>2869</v>
      </c>
      <c r="J1123" s="116">
        <v>24921</v>
      </c>
      <c r="K1123" s="116">
        <v>26146</v>
      </c>
      <c r="L1123" s="124">
        <v>1225</v>
      </c>
      <c r="M1123" s="19">
        <v>2081924</v>
      </c>
      <c r="N1123" s="20">
        <v>0</v>
      </c>
      <c r="O1123" s="20">
        <v>0</v>
      </c>
      <c r="P1123" s="20">
        <v>0</v>
      </c>
      <c r="Q1123" s="20">
        <v>0</v>
      </c>
      <c r="R1123" s="19">
        <f t="shared" si="157"/>
        <v>2081924</v>
      </c>
      <c r="S1123" s="19">
        <v>3000</v>
      </c>
      <c r="T1123" s="19">
        <f t="shared" si="158"/>
        <v>2084924</v>
      </c>
      <c r="U1123" s="105"/>
      <c r="X1123" s="10">
        <f t="shared" si="153"/>
        <v>2081924</v>
      </c>
      <c r="Y1123" s="2">
        <f t="shared" si="154"/>
        <v>0</v>
      </c>
      <c r="Z1123" s="10">
        <f t="shared" si="159"/>
        <v>0</v>
      </c>
    </row>
    <row r="1124" spans="1:26" ht="18" customHeight="1" x14ac:dyDescent="0.25">
      <c r="A1124" s="11">
        <v>85</v>
      </c>
      <c r="B1124" s="52" t="s">
        <v>2870</v>
      </c>
      <c r="C1124" s="53" t="s">
        <v>2871</v>
      </c>
      <c r="D1124" s="13" t="s">
        <v>28</v>
      </c>
      <c r="E1124" s="53" t="s">
        <v>2872</v>
      </c>
      <c r="F1124" s="54" t="s">
        <v>24</v>
      </c>
      <c r="G1124" s="116">
        <v>4400</v>
      </c>
      <c r="H1124" s="52" t="s">
        <v>25</v>
      </c>
      <c r="I1124" s="116" t="s">
        <v>2873</v>
      </c>
      <c r="J1124" s="116">
        <v>99020</v>
      </c>
      <c r="K1124" s="116">
        <v>367</v>
      </c>
      <c r="L1124" s="124">
        <v>1347</v>
      </c>
      <c r="M1124" s="19">
        <v>2289267</v>
      </c>
      <c r="N1124" s="20">
        <v>0</v>
      </c>
      <c r="O1124" s="20">
        <v>0</v>
      </c>
      <c r="P1124" s="20">
        <v>0</v>
      </c>
      <c r="Q1124" s="20">
        <v>0</v>
      </c>
      <c r="R1124" s="19">
        <f t="shared" si="157"/>
        <v>2289267</v>
      </c>
      <c r="S1124" s="19">
        <v>3000</v>
      </c>
      <c r="T1124" s="19">
        <f t="shared" si="158"/>
        <v>2292267</v>
      </c>
      <c r="U1124" s="105"/>
      <c r="X1124" s="10">
        <f t="shared" si="153"/>
        <v>2289267</v>
      </c>
      <c r="Y1124" s="2">
        <f t="shared" si="154"/>
        <v>0</v>
      </c>
      <c r="Z1124" s="10">
        <f t="shared" si="159"/>
        <v>0</v>
      </c>
    </row>
    <row r="1125" spans="1:26" ht="18" customHeight="1" x14ac:dyDescent="0.25">
      <c r="A1125" s="11">
        <v>86</v>
      </c>
      <c r="B1125" s="52" t="s">
        <v>2874</v>
      </c>
      <c r="C1125" s="53" t="s">
        <v>2875</v>
      </c>
      <c r="D1125" s="13" t="s">
        <v>28</v>
      </c>
      <c r="E1125" s="53" t="s">
        <v>2876</v>
      </c>
      <c r="F1125" s="54" t="s">
        <v>24</v>
      </c>
      <c r="G1125" s="116">
        <v>5500</v>
      </c>
      <c r="H1125" s="52" t="s">
        <v>25</v>
      </c>
      <c r="I1125" s="116" t="s">
        <v>2877</v>
      </c>
      <c r="J1125" s="116">
        <v>59414</v>
      </c>
      <c r="K1125" s="116">
        <v>60728</v>
      </c>
      <c r="L1125" s="124">
        <v>1314</v>
      </c>
      <c r="M1125" s="19">
        <v>2233182</v>
      </c>
      <c r="N1125" s="20">
        <v>0</v>
      </c>
      <c r="O1125" s="20">
        <v>0</v>
      </c>
      <c r="P1125" s="20">
        <v>0</v>
      </c>
      <c r="Q1125" s="20">
        <v>0</v>
      </c>
      <c r="R1125" s="19">
        <f t="shared" si="157"/>
        <v>2233182</v>
      </c>
      <c r="S1125" s="19">
        <v>3000</v>
      </c>
      <c r="T1125" s="19">
        <f t="shared" si="158"/>
        <v>2236182</v>
      </c>
      <c r="U1125" s="105"/>
      <c r="X1125" s="10">
        <f t="shared" si="153"/>
        <v>2233182</v>
      </c>
      <c r="Y1125" s="2">
        <f t="shared" si="154"/>
        <v>0</v>
      </c>
      <c r="Z1125" s="10">
        <f t="shared" si="159"/>
        <v>0</v>
      </c>
    </row>
    <row r="1126" spans="1:26" ht="18" customHeight="1" x14ac:dyDescent="0.25">
      <c r="A1126" s="11">
        <v>87</v>
      </c>
      <c r="B1126" s="52" t="s">
        <v>2878</v>
      </c>
      <c r="C1126" s="53" t="s">
        <v>2879</v>
      </c>
      <c r="D1126" s="13" t="s">
        <v>28</v>
      </c>
      <c r="E1126" s="53" t="s">
        <v>2880</v>
      </c>
      <c r="F1126" s="54" t="s">
        <v>24</v>
      </c>
      <c r="G1126" s="116">
        <v>5500</v>
      </c>
      <c r="H1126" s="52" t="s">
        <v>25</v>
      </c>
      <c r="I1126" s="116" t="s">
        <v>2881</v>
      </c>
      <c r="J1126" s="116">
        <v>22420</v>
      </c>
      <c r="K1126" s="116">
        <v>23610</v>
      </c>
      <c r="L1126" s="124">
        <v>1190</v>
      </c>
      <c r="M1126" s="19">
        <v>2022441</v>
      </c>
      <c r="N1126" s="20">
        <v>0</v>
      </c>
      <c r="O1126" s="20">
        <v>0</v>
      </c>
      <c r="P1126" s="20">
        <v>0</v>
      </c>
      <c r="Q1126" s="20">
        <v>0</v>
      </c>
      <c r="R1126" s="19">
        <f t="shared" si="157"/>
        <v>2022441</v>
      </c>
      <c r="S1126" s="19">
        <v>3000</v>
      </c>
      <c r="T1126" s="19">
        <f t="shared" si="158"/>
        <v>2025441</v>
      </c>
      <c r="U1126" s="105"/>
      <c r="X1126" s="10">
        <f t="shared" si="153"/>
        <v>2022441</v>
      </c>
      <c r="Y1126" s="2">
        <f t="shared" si="154"/>
        <v>0</v>
      </c>
      <c r="Z1126" s="10">
        <f t="shared" si="159"/>
        <v>0</v>
      </c>
    </row>
    <row r="1127" spans="1:26" ht="18" customHeight="1" x14ac:dyDescent="0.25">
      <c r="A1127" s="11">
        <v>88</v>
      </c>
      <c r="B1127" s="52" t="s">
        <v>2882</v>
      </c>
      <c r="C1127" s="53" t="s">
        <v>2883</v>
      </c>
      <c r="D1127" s="13" t="s">
        <v>28</v>
      </c>
      <c r="E1127" s="53" t="s">
        <v>2784</v>
      </c>
      <c r="F1127" s="54" t="s">
        <v>24</v>
      </c>
      <c r="G1127" s="116">
        <v>5500</v>
      </c>
      <c r="H1127" s="52" t="s">
        <v>25</v>
      </c>
      <c r="I1127" s="116" t="s">
        <v>2884</v>
      </c>
      <c r="J1127" s="116">
        <v>92783</v>
      </c>
      <c r="K1127" s="116">
        <v>93717</v>
      </c>
      <c r="L1127" s="124">
        <v>934</v>
      </c>
      <c r="M1127" s="19">
        <v>1587361</v>
      </c>
      <c r="N1127" s="20">
        <v>0</v>
      </c>
      <c r="O1127" s="20">
        <v>0</v>
      </c>
      <c r="P1127" s="20">
        <v>0</v>
      </c>
      <c r="Q1127" s="20">
        <v>0</v>
      </c>
      <c r="R1127" s="19">
        <f t="shared" si="157"/>
        <v>1587361</v>
      </c>
      <c r="S1127" s="19">
        <v>3000</v>
      </c>
      <c r="T1127" s="19">
        <f t="shared" si="158"/>
        <v>1590361</v>
      </c>
      <c r="U1127" s="105"/>
      <c r="X1127" s="10">
        <f t="shared" si="153"/>
        <v>1587361</v>
      </c>
      <c r="Y1127" s="2">
        <f t="shared" si="154"/>
        <v>0</v>
      </c>
      <c r="Z1127" s="10">
        <f t="shared" si="159"/>
        <v>0</v>
      </c>
    </row>
    <row r="1128" spans="1:26" ht="18" customHeight="1" x14ac:dyDescent="0.25">
      <c r="A1128" s="11">
        <v>89</v>
      </c>
      <c r="B1128" s="52" t="s">
        <v>2885</v>
      </c>
      <c r="C1128" s="53" t="s">
        <v>2886</v>
      </c>
      <c r="D1128" s="13" t="s">
        <v>28</v>
      </c>
      <c r="E1128" s="53" t="s">
        <v>2784</v>
      </c>
      <c r="F1128" s="54" t="s">
        <v>24</v>
      </c>
      <c r="G1128" s="116">
        <v>5500</v>
      </c>
      <c r="H1128" s="52" t="s">
        <v>25</v>
      </c>
      <c r="I1128" s="116" t="s">
        <v>2887</v>
      </c>
      <c r="J1128" s="116">
        <v>82829</v>
      </c>
      <c r="K1128" s="116">
        <v>83823</v>
      </c>
      <c r="L1128" s="124">
        <v>994</v>
      </c>
      <c r="M1128" s="19">
        <v>1689333</v>
      </c>
      <c r="N1128" s="20">
        <v>0</v>
      </c>
      <c r="O1128" s="20">
        <v>0</v>
      </c>
      <c r="P1128" s="20">
        <v>0</v>
      </c>
      <c r="Q1128" s="20">
        <v>0</v>
      </c>
      <c r="R1128" s="19">
        <f t="shared" si="157"/>
        <v>1689333</v>
      </c>
      <c r="S1128" s="19">
        <v>3000</v>
      </c>
      <c r="T1128" s="19">
        <f t="shared" si="158"/>
        <v>1692333</v>
      </c>
      <c r="U1128" s="105"/>
      <c r="X1128" s="10">
        <f t="shared" si="153"/>
        <v>1689333</v>
      </c>
      <c r="Y1128" s="2">
        <f t="shared" si="154"/>
        <v>0</v>
      </c>
      <c r="Z1128" s="10">
        <f t="shared" si="159"/>
        <v>0</v>
      </c>
    </row>
    <row r="1129" spans="1:26" ht="18" customHeight="1" x14ac:dyDescent="0.25">
      <c r="A1129" s="11">
        <v>90</v>
      </c>
      <c r="B1129" s="52" t="s">
        <v>2888</v>
      </c>
      <c r="C1129" s="53" t="s">
        <v>2889</v>
      </c>
      <c r="D1129" s="13" t="s">
        <v>28</v>
      </c>
      <c r="E1129" s="53" t="s">
        <v>2890</v>
      </c>
      <c r="F1129" s="54" t="s">
        <v>24</v>
      </c>
      <c r="G1129" s="116">
        <v>4400</v>
      </c>
      <c r="H1129" s="52" t="s">
        <v>25</v>
      </c>
      <c r="I1129" s="116" t="s">
        <v>2891</v>
      </c>
      <c r="J1129" s="116">
        <v>52172</v>
      </c>
      <c r="K1129" s="116">
        <v>52922</v>
      </c>
      <c r="L1129" s="124">
        <v>750</v>
      </c>
      <c r="M1129" s="19">
        <v>1274648</v>
      </c>
      <c r="N1129" s="20">
        <v>0</v>
      </c>
      <c r="O1129" s="20">
        <v>0</v>
      </c>
      <c r="P1129" s="20">
        <v>0</v>
      </c>
      <c r="Q1129" s="20">
        <v>0</v>
      </c>
      <c r="R1129" s="19">
        <f t="shared" si="157"/>
        <v>1274648</v>
      </c>
      <c r="S1129" s="19">
        <v>3000</v>
      </c>
      <c r="T1129" s="19">
        <f t="shared" si="158"/>
        <v>1277648</v>
      </c>
      <c r="U1129" s="105"/>
      <c r="X1129" s="10">
        <f t="shared" si="153"/>
        <v>1274648</v>
      </c>
      <c r="Y1129" s="2">
        <f t="shared" si="154"/>
        <v>0</v>
      </c>
      <c r="Z1129" s="10">
        <f t="shared" si="159"/>
        <v>0</v>
      </c>
    </row>
    <row r="1130" spans="1:26" ht="18" customHeight="1" x14ac:dyDescent="0.25">
      <c r="A1130" s="11">
        <v>91</v>
      </c>
      <c r="B1130" s="52" t="s">
        <v>2892</v>
      </c>
      <c r="C1130" s="53" t="s">
        <v>2893</v>
      </c>
      <c r="D1130" s="13" t="s">
        <v>68</v>
      </c>
      <c r="E1130" s="53" t="s">
        <v>2894</v>
      </c>
      <c r="F1130" s="54" t="s">
        <v>24</v>
      </c>
      <c r="G1130" s="116">
        <v>4400</v>
      </c>
      <c r="H1130" s="52" t="s">
        <v>25</v>
      </c>
      <c r="I1130" s="116" t="s">
        <v>2895</v>
      </c>
      <c r="J1130" s="116">
        <v>80570</v>
      </c>
      <c r="K1130" s="116">
        <v>81548</v>
      </c>
      <c r="L1130" s="124">
        <v>978</v>
      </c>
      <c r="M1130" s="19">
        <v>1662140</v>
      </c>
      <c r="N1130" s="20">
        <v>0</v>
      </c>
      <c r="O1130" s="20">
        <v>0</v>
      </c>
      <c r="P1130" s="20">
        <v>0</v>
      </c>
      <c r="Q1130" s="20">
        <v>0</v>
      </c>
      <c r="R1130" s="19">
        <f t="shared" si="157"/>
        <v>1662140</v>
      </c>
      <c r="S1130" s="19">
        <v>3000</v>
      </c>
      <c r="T1130" s="19">
        <f t="shared" si="158"/>
        <v>1665140</v>
      </c>
      <c r="U1130" s="105"/>
      <c r="X1130" s="10">
        <f t="shared" si="153"/>
        <v>1662140</v>
      </c>
      <c r="Y1130" s="2">
        <f t="shared" si="154"/>
        <v>0</v>
      </c>
      <c r="Z1130" s="10">
        <f t="shared" si="159"/>
        <v>0</v>
      </c>
    </row>
    <row r="1131" spans="1:26" ht="18" customHeight="1" x14ac:dyDescent="0.25">
      <c r="A1131" s="11">
        <v>92</v>
      </c>
      <c r="B1131" s="52" t="s">
        <v>2896</v>
      </c>
      <c r="C1131" s="53" t="s">
        <v>2897</v>
      </c>
      <c r="D1131" s="13" t="s">
        <v>68</v>
      </c>
      <c r="E1131" s="53" t="s">
        <v>2898</v>
      </c>
      <c r="F1131" s="54" t="s">
        <v>24</v>
      </c>
      <c r="G1131" s="116">
        <v>4400</v>
      </c>
      <c r="H1131" s="52" t="s">
        <v>25</v>
      </c>
      <c r="I1131" s="116" t="s">
        <v>2899</v>
      </c>
      <c r="J1131" s="116">
        <v>48412</v>
      </c>
      <c r="K1131" s="116">
        <v>48840</v>
      </c>
      <c r="L1131" s="124">
        <v>428</v>
      </c>
      <c r="M1131" s="19">
        <v>727399</v>
      </c>
      <c r="N1131" s="20">
        <v>0</v>
      </c>
      <c r="O1131" s="20">
        <v>0</v>
      </c>
      <c r="P1131" s="20">
        <v>0</v>
      </c>
      <c r="Q1131" s="20">
        <v>0</v>
      </c>
      <c r="R1131" s="19">
        <f t="shared" si="157"/>
        <v>727399</v>
      </c>
      <c r="S1131" s="19">
        <v>3000</v>
      </c>
      <c r="T1131" s="19">
        <f t="shared" si="158"/>
        <v>730399</v>
      </c>
      <c r="U1131" s="105"/>
      <c r="X1131" s="10">
        <f t="shared" si="153"/>
        <v>727399</v>
      </c>
      <c r="Y1131" s="2">
        <f t="shared" si="154"/>
        <v>0</v>
      </c>
      <c r="Z1131" s="10">
        <f t="shared" si="159"/>
        <v>0</v>
      </c>
    </row>
    <row r="1132" spans="1:26" ht="18" customHeight="1" x14ac:dyDescent="0.25">
      <c r="A1132" s="11">
        <v>93</v>
      </c>
      <c r="B1132" s="52" t="s">
        <v>2900</v>
      </c>
      <c r="C1132" s="53" t="s">
        <v>2901</v>
      </c>
      <c r="D1132" s="13" t="s">
        <v>28</v>
      </c>
      <c r="E1132" s="53" t="s">
        <v>2902</v>
      </c>
      <c r="F1132" s="54" t="s">
        <v>24</v>
      </c>
      <c r="G1132" s="116">
        <v>7700</v>
      </c>
      <c r="H1132" s="52" t="s">
        <v>25</v>
      </c>
      <c r="I1132" s="116" t="s">
        <v>2903</v>
      </c>
      <c r="J1132" s="116">
        <v>16798</v>
      </c>
      <c r="K1132" s="116">
        <v>17142</v>
      </c>
      <c r="L1132" s="124">
        <v>344</v>
      </c>
      <c r="M1132" s="19">
        <v>584638</v>
      </c>
      <c r="N1132" s="20">
        <v>0</v>
      </c>
      <c r="O1132" s="20">
        <v>0</v>
      </c>
      <c r="P1132" s="20">
        <v>0</v>
      </c>
      <c r="Q1132" s="20">
        <v>0</v>
      </c>
      <c r="R1132" s="19">
        <f t="shared" si="157"/>
        <v>584638</v>
      </c>
      <c r="S1132" s="19">
        <v>3000</v>
      </c>
      <c r="T1132" s="19">
        <f t="shared" si="158"/>
        <v>587638</v>
      </c>
      <c r="U1132" s="105"/>
      <c r="X1132" s="10">
        <f t="shared" si="153"/>
        <v>584638</v>
      </c>
      <c r="Y1132" s="2">
        <f t="shared" si="154"/>
        <v>0</v>
      </c>
      <c r="Z1132" s="10">
        <f t="shared" si="159"/>
        <v>0</v>
      </c>
    </row>
    <row r="1133" spans="1:26" ht="18" customHeight="1" x14ac:dyDescent="0.25">
      <c r="A1133" s="11">
        <v>94</v>
      </c>
      <c r="B1133" s="52" t="s">
        <v>2904</v>
      </c>
      <c r="C1133" s="53" t="s">
        <v>2905</v>
      </c>
      <c r="D1133" s="13" t="s">
        <v>22</v>
      </c>
      <c r="E1133" s="53" t="s">
        <v>2906</v>
      </c>
      <c r="F1133" s="54" t="s">
        <v>24</v>
      </c>
      <c r="G1133" s="116">
        <v>5500</v>
      </c>
      <c r="H1133" s="52" t="s">
        <v>25</v>
      </c>
      <c r="I1133" s="116" t="s">
        <v>2907</v>
      </c>
      <c r="J1133" s="116">
        <v>342</v>
      </c>
      <c r="K1133" s="116">
        <v>876</v>
      </c>
      <c r="L1133" s="124">
        <v>534</v>
      </c>
      <c r="M1133" s="19">
        <v>907549</v>
      </c>
      <c r="N1133" s="20">
        <v>0</v>
      </c>
      <c r="O1133" s="20">
        <v>0</v>
      </c>
      <c r="P1133" s="20">
        <v>0</v>
      </c>
      <c r="Q1133" s="20">
        <v>0</v>
      </c>
      <c r="R1133" s="19">
        <f t="shared" si="157"/>
        <v>907549</v>
      </c>
      <c r="S1133" s="19">
        <v>3000</v>
      </c>
      <c r="T1133" s="19">
        <f t="shared" si="158"/>
        <v>910549</v>
      </c>
      <c r="U1133" s="105"/>
      <c r="X1133" s="10">
        <f t="shared" si="153"/>
        <v>907549</v>
      </c>
      <c r="Y1133" s="2">
        <f t="shared" si="154"/>
        <v>0</v>
      </c>
      <c r="Z1133" s="10">
        <f t="shared" si="159"/>
        <v>0</v>
      </c>
    </row>
    <row r="1134" spans="1:26" ht="18" customHeight="1" x14ac:dyDescent="0.25">
      <c r="A1134" s="11">
        <v>95</v>
      </c>
      <c r="B1134" s="52" t="s">
        <v>2908</v>
      </c>
      <c r="C1134" s="53" t="s">
        <v>2909</v>
      </c>
      <c r="D1134" s="13" t="s">
        <v>22</v>
      </c>
      <c r="E1134" s="53" t="s">
        <v>2910</v>
      </c>
      <c r="F1134" s="54" t="s">
        <v>24</v>
      </c>
      <c r="G1134" s="116">
        <v>11000</v>
      </c>
      <c r="H1134" s="52" t="s">
        <v>25</v>
      </c>
      <c r="I1134" s="116" t="s">
        <v>2911</v>
      </c>
      <c r="J1134" s="116">
        <v>36337</v>
      </c>
      <c r="K1134" s="116">
        <v>37907</v>
      </c>
      <c r="L1134" s="124">
        <v>1570</v>
      </c>
      <c r="M1134" s="19">
        <v>2668262</v>
      </c>
      <c r="N1134" s="20">
        <v>0</v>
      </c>
      <c r="O1134" s="20">
        <v>0</v>
      </c>
      <c r="P1134" s="20">
        <v>0</v>
      </c>
      <c r="Q1134" s="20">
        <v>0</v>
      </c>
      <c r="R1134" s="19">
        <f t="shared" si="157"/>
        <v>2668262</v>
      </c>
      <c r="S1134" s="19">
        <v>3000</v>
      </c>
      <c r="T1134" s="19">
        <f t="shared" si="158"/>
        <v>2671262</v>
      </c>
      <c r="U1134" s="105"/>
      <c r="X1134" s="10">
        <f t="shared" si="153"/>
        <v>2668262</v>
      </c>
      <c r="Y1134" s="2">
        <f t="shared" si="154"/>
        <v>0</v>
      </c>
      <c r="Z1134" s="10">
        <f t="shared" si="159"/>
        <v>0</v>
      </c>
    </row>
    <row r="1135" spans="1:26" ht="18" customHeight="1" x14ac:dyDescent="0.25">
      <c r="A1135" s="11">
        <v>96</v>
      </c>
      <c r="B1135" s="52" t="s">
        <v>2912</v>
      </c>
      <c r="C1135" s="53" t="s">
        <v>2913</v>
      </c>
      <c r="D1135" s="13" t="s">
        <v>22</v>
      </c>
      <c r="E1135" s="53" t="s">
        <v>2914</v>
      </c>
      <c r="F1135" s="54" t="s">
        <v>24</v>
      </c>
      <c r="G1135" s="116">
        <v>4400</v>
      </c>
      <c r="H1135" s="52" t="s">
        <v>25</v>
      </c>
      <c r="I1135" s="116" t="s">
        <v>2915</v>
      </c>
      <c r="J1135" s="116">
        <v>17920</v>
      </c>
      <c r="K1135" s="116">
        <v>18615</v>
      </c>
      <c r="L1135" s="124">
        <v>695</v>
      </c>
      <c r="M1135" s="19">
        <v>1181173</v>
      </c>
      <c r="N1135" s="20">
        <v>0</v>
      </c>
      <c r="O1135" s="20">
        <v>0</v>
      </c>
      <c r="P1135" s="20">
        <v>0</v>
      </c>
      <c r="Q1135" s="20">
        <v>0</v>
      </c>
      <c r="R1135" s="19">
        <f t="shared" si="157"/>
        <v>1181173</v>
      </c>
      <c r="S1135" s="19">
        <v>3000</v>
      </c>
      <c r="T1135" s="19">
        <f t="shared" si="158"/>
        <v>1184173</v>
      </c>
      <c r="U1135" s="105"/>
      <c r="X1135" s="10">
        <f t="shared" si="153"/>
        <v>1181173</v>
      </c>
      <c r="Y1135" s="2">
        <f t="shared" si="154"/>
        <v>0</v>
      </c>
      <c r="Z1135" s="10">
        <f t="shared" si="159"/>
        <v>0</v>
      </c>
    </row>
    <row r="1136" spans="1:26" ht="18" customHeight="1" x14ac:dyDescent="0.25">
      <c r="A1136" s="11">
        <v>97</v>
      </c>
      <c r="B1136" s="52" t="s">
        <v>2916</v>
      </c>
      <c r="C1136" s="53" t="s">
        <v>2917</v>
      </c>
      <c r="D1136" s="13" t="s">
        <v>22</v>
      </c>
      <c r="E1136" s="53" t="s">
        <v>2918</v>
      </c>
      <c r="F1136" s="54" t="s">
        <v>24</v>
      </c>
      <c r="G1136" s="116">
        <v>11000</v>
      </c>
      <c r="H1136" s="52" t="s">
        <v>25</v>
      </c>
      <c r="I1136" s="116" t="s">
        <v>2919</v>
      </c>
      <c r="J1136" s="116">
        <v>60572</v>
      </c>
      <c r="K1136" s="116">
        <v>62132</v>
      </c>
      <c r="L1136" s="124">
        <v>1560</v>
      </c>
      <c r="M1136" s="19">
        <v>2651267</v>
      </c>
      <c r="N1136" s="20">
        <v>0</v>
      </c>
      <c r="O1136" s="20">
        <v>0</v>
      </c>
      <c r="P1136" s="20">
        <v>0</v>
      </c>
      <c r="Q1136" s="20">
        <v>0</v>
      </c>
      <c r="R1136" s="19">
        <f t="shared" si="157"/>
        <v>2651267</v>
      </c>
      <c r="S1136" s="19">
        <v>3000</v>
      </c>
      <c r="T1136" s="19">
        <f t="shared" si="158"/>
        <v>2654267</v>
      </c>
      <c r="U1136" s="105"/>
      <c r="X1136" s="10">
        <f t="shared" si="153"/>
        <v>2651267</v>
      </c>
      <c r="Y1136" s="2">
        <f t="shared" si="154"/>
        <v>0</v>
      </c>
      <c r="Z1136" s="10">
        <f t="shared" si="159"/>
        <v>0</v>
      </c>
    </row>
    <row r="1137" spans="1:26" ht="18" customHeight="1" x14ac:dyDescent="0.25">
      <c r="A1137" s="11">
        <v>98</v>
      </c>
      <c r="B1137" s="52" t="s">
        <v>2920</v>
      </c>
      <c r="C1137" s="53" t="s">
        <v>2921</v>
      </c>
      <c r="D1137" s="13" t="s">
        <v>28</v>
      </c>
      <c r="E1137" s="53" t="s">
        <v>2922</v>
      </c>
      <c r="F1137" s="54" t="s">
        <v>24</v>
      </c>
      <c r="G1137" s="116">
        <v>7700</v>
      </c>
      <c r="H1137" s="52" t="s">
        <v>25</v>
      </c>
      <c r="I1137" s="116" t="s">
        <v>2923</v>
      </c>
      <c r="J1137" s="116">
        <v>43126</v>
      </c>
      <c r="K1137" s="116">
        <v>43665</v>
      </c>
      <c r="L1137" s="124">
        <v>539</v>
      </c>
      <c r="M1137" s="19">
        <v>916047</v>
      </c>
      <c r="N1137" s="20">
        <v>0</v>
      </c>
      <c r="O1137" s="20">
        <v>0</v>
      </c>
      <c r="P1137" s="20">
        <v>0</v>
      </c>
      <c r="Q1137" s="20">
        <v>0</v>
      </c>
      <c r="R1137" s="19">
        <f t="shared" si="157"/>
        <v>916047</v>
      </c>
      <c r="S1137" s="19">
        <v>3000</v>
      </c>
      <c r="T1137" s="19">
        <f t="shared" si="158"/>
        <v>919047</v>
      </c>
      <c r="U1137" s="105"/>
      <c r="X1137" s="10">
        <f t="shared" si="153"/>
        <v>916047</v>
      </c>
      <c r="Y1137" s="2">
        <f t="shared" si="154"/>
        <v>0</v>
      </c>
      <c r="Z1137" s="10">
        <f t="shared" si="159"/>
        <v>0</v>
      </c>
    </row>
    <row r="1138" spans="1:26" ht="18" customHeight="1" x14ac:dyDescent="0.25">
      <c r="A1138" s="11">
        <v>99</v>
      </c>
      <c r="B1138" s="52" t="s">
        <v>2924</v>
      </c>
      <c r="C1138" s="53" t="s">
        <v>2925</v>
      </c>
      <c r="D1138" s="13" t="s">
        <v>68</v>
      </c>
      <c r="E1138" s="53" t="s">
        <v>2740</v>
      </c>
      <c r="F1138" s="54" t="s">
        <v>24</v>
      </c>
      <c r="G1138" s="116">
        <v>3500</v>
      </c>
      <c r="H1138" s="52" t="s">
        <v>25</v>
      </c>
      <c r="I1138" s="116" t="s">
        <v>2926</v>
      </c>
      <c r="J1138" s="116">
        <v>41737</v>
      </c>
      <c r="K1138" s="116">
        <v>42102</v>
      </c>
      <c r="L1138" s="124">
        <v>365</v>
      </c>
      <c r="M1138" s="19">
        <v>620328</v>
      </c>
      <c r="N1138" s="20">
        <v>0</v>
      </c>
      <c r="O1138" s="20">
        <v>0</v>
      </c>
      <c r="P1138" s="20">
        <v>0</v>
      </c>
      <c r="Q1138" s="20">
        <v>0</v>
      </c>
      <c r="R1138" s="19">
        <f t="shared" si="157"/>
        <v>620328</v>
      </c>
      <c r="S1138" s="19">
        <v>3000</v>
      </c>
      <c r="T1138" s="19">
        <f t="shared" si="158"/>
        <v>623328</v>
      </c>
      <c r="U1138" s="105"/>
      <c r="X1138" s="10">
        <f t="shared" si="153"/>
        <v>620328</v>
      </c>
      <c r="Y1138" s="2">
        <f t="shared" si="154"/>
        <v>0</v>
      </c>
      <c r="Z1138" s="10">
        <f t="shared" si="159"/>
        <v>0</v>
      </c>
    </row>
    <row r="1139" spans="1:26" ht="18" customHeight="1" x14ac:dyDescent="0.25">
      <c r="A1139" s="11">
        <v>100</v>
      </c>
      <c r="B1139" s="52" t="s">
        <v>2927</v>
      </c>
      <c r="C1139" s="53" t="s">
        <v>2928</v>
      </c>
      <c r="D1139" s="13" t="s">
        <v>28</v>
      </c>
      <c r="E1139" s="53" t="s">
        <v>2929</v>
      </c>
      <c r="F1139" s="54" t="s">
        <v>24</v>
      </c>
      <c r="G1139" s="116">
        <v>4400</v>
      </c>
      <c r="H1139" s="52" t="s">
        <v>25</v>
      </c>
      <c r="I1139" s="116" t="s">
        <v>2930</v>
      </c>
      <c r="J1139" s="116">
        <v>9235</v>
      </c>
      <c r="K1139" s="116">
        <v>9247</v>
      </c>
      <c r="L1139" s="124">
        <v>176</v>
      </c>
      <c r="M1139" s="19">
        <v>299117</v>
      </c>
      <c r="N1139" s="20">
        <v>0</v>
      </c>
      <c r="O1139" s="20">
        <v>0</v>
      </c>
      <c r="P1139" s="20">
        <v>0</v>
      </c>
      <c r="Q1139" s="20">
        <v>0</v>
      </c>
      <c r="R1139" s="19">
        <f t="shared" si="157"/>
        <v>299117</v>
      </c>
      <c r="S1139" s="19">
        <v>3000</v>
      </c>
      <c r="T1139" s="19">
        <f t="shared" si="158"/>
        <v>302117</v>
      </c>
      <c r="U1139" s="105"/>
      <c r="X1139" s="10">
        <f t="shared" si="153"/>
        <v>299117</v>
      </c>
      <c r="Y1139" s="2">
        <f t="shared" si="154"/>
        <v>0</v>
      </c>
      <c r="Z1139" s="10">
        <f t="shared" si="159"/>
        <v>0</v>
      </c>
    </row>
    <row r="1140" spans="1:26" ht="18" customHeight="1" x14ac:dyDescent="0.25">
      <c r="A1140" s="11">
        <v>101</v>
      </c>
      <c r="B1140" s="52" t="s">
        <v>2931</v>
      </c>
      <c r="C1140" s="53" t="s">
        <v>2932</v>
      </c>
      <c r="D1140" s="13" t="s">
        <v>28</v>
      </c>
      <c r="E1140" s="53" t="s">
        <v>2933</v>
      </c>
      <c r="F1140" s="54" t="s">
        <v>24</v>
      </c>
      <c r="G1140" s="116">
        <v>4400</v>
      </c>
      <c r="H1140" s="52" t="s">
        <v>25</v>
      </c>
      <c r="I1140" s="116" t="s">
        <v>694</v>
      </c>
      <c r="J1140" s="116">
        <v>15510</v>
      </c>
      <c r="K1140" s="116">
        <v>15773</v>
      </c>
      <c r="L1140" s="124">
        <v>263</v>
      </c>
      <c r="M1140" s="19">
        <v>446976</v>
      </c>
      <c r="N1140" s="20">
        <v>0</v>
      </c>
      <c r="O1140" s="20">
        <v>0</v>
      </c>
      <c r="P1140" s="20">
        <v>0</v>
      </c>
      <c r="Q1140" s="20">
        <v>0</v>
      </c>
      <c r="R1140" s="19">
        <f t="shared" si="157"/>
        <v>446976</v>
      </c>
      <c r="S1140" s="19">
        <v>3000</v>
      </c>
      <c r="T1140" s="19">
        <f t="shared" si="158"/>
        <v>449976</v>
      </c>
      <c r="U1140" s="105"/>
      <c r="X1140" s="10">
        <f t="shared" si="153"/>
        <v>446976</v>
      </c>
      <c r="Y1140" s="2">
        <f t="shared" si="154"/>
        <v>0</v>
      </c>
      <c r="Z1140" s="10">
        <f t="shared" si="159"/>
        <v>0</v>
      </c>
    </row>
    <row r="1141" spans="1:26" ht="18" customHeight="1" x14ac:dyDescent="0.25">
      <c r="A1141" s="11">
        <v>102</v>
      </c>
      <c r="B1141" s="52" t="s">
        <v>2934</v>
      </c>
      <c r="C1141" s="53" t="s">
        <v>2935</v>
      </c>
      <c r="D1141" s="13" t="s">
        <v>28</v>
      </c>
      <c r="E1141" s="53" t="s">
        <v>2933</v>
      </c>
      <c r="F1141" s="54" t="s">
        <v>24</v>
      </c>
      <c r="G1141" s="116">
        <v>4400</v>
      </c>
      <c r="H1141" s="52" t="s">
        <v>25</v>
      </c>
      <c r="I1141" s="116" t="s">
        <v>2936</v>
      </c>
      <c r="J1141" s="116">
        <v>14804</v>
      </c>
      <c r="K1141" s="116">
        <v>15063</v>
      </c>
      <c r="L1141" s="124">
        <v>259</v>
      </c>
      <c r="M1141" s="19">
        <v>440178</v>
      </c>
      <c r="N1141" s="20">
        <v>0</v>
      </c>
      <c r="O1141" s="20">
        <v>0</v>
      </c>
      <c r="P1141" s="20">
        <v>0</v>
      </c>
      <c r="Q1141" s="20">
        <v>0</v>
      </c>
      <c r="R1141" s="19">
        <f t="shared" si="157"/>
        <v>440178</v>
      </c>
      <c r="S1141" s="19">
        <v>3000</v>
      </c>
      <c r="T1141" s="19">
        <f t="shared" si="158"/>
        <v>443178</v>
      </c>
      <c r="U1141" s="105"/>
      <c r="X1141" s="10">
        <f t="shared" si="153"/>
        <v>440178</v>
      </c>
      <c r="Y1141" s="2">
        <f t="shared" si="154"/>
        <v>0</v>
      </c>
      <c r="Z1141" s="10">
        <f t="shared" si="159"/>
        <v>0</v>
      </c>
    </row>
    <row r="1142" spans="1:26" ht="18" customHeight="1" x14ac:dyDescent="0.25">
      <c r="A1142" s="11">
        <v>103</v>
      </c>
      <c r="B1142" s="52" t="s">
        <v>2937</v>
      </c>
      <c r="C1142" s="53" t="s">
        <v>2938</v>
      </c>
      <c r="D1142" s="13" t="s">
        <v>28</v>
      </c>
      <c r="E1142" s="53" t="s">
        <v>2579</v>
      </c>
      <c r="F1142" s="54" t="s">
        <v>24</v>
      </c>
      <c r="G1142" s="116">
        <v>5500</v>
      </c>
      <c r="H1142" s="52" t="s">
        <v>25</v>
      </c>
      <c r="I1142" s="116" t="s">
        <v>2939</v>
      </c>
      <c r="J1142" s="116">
        <v>88704</v>
      </c>
      <c r="K1142" s="116">
        <v>89293</v>
      </c>
      <c r="L1142" s="124">
        <v>589</v>
      </c>
      <c r="M1142" s="19">
        <v>1001023</v>
      </c>
      <c r="N1142" s="20">
        <v>0</v>
      </c>
      <c r="O1142" s="20">
        <v>0</v>
      </c>
      <c r="P1142" s="20">
        <v>0</v>
      </c>
      <c r="Q1142" s="20">
        <v>0</v>
      </c>
      <c r="R1142" s="19">
        <f t="shared" si="157"/>
        <v>1001023</v>
      </c>
      <c r="S1142" s="19">
        <v>3000</v>
      </c>
      <c r="T1142" s="19">
        <f t="shared" si="158"/>
        <v>1004023</v>
      </c>
      <c r="U1142" s="105"/>
      <c r="X1142" s="10">
        <f t="shared" si="153"/>
        <v>1001023</v>
      </c>
      <c r="Y1142" s="2">
        <f t="shared" si="154"/>
        <v>0</v>
      </c>
      <c r="Z1142" s="10">
        <f t="shared" si="159"/>
        <v>0</v>
      </c>
    </row>
    <row r="1143" spans="1:26" ht="18" customHeight="1" x14ac:dyDescent="0.25">
      <c r="A1143" s="11">
        <v>104</v>
      </c>
      <c r="B1143" s="52" t="s">
        <v>2940</v>
      </c>
      <c r="C1143" s="53" t="s">
        <v>2941</v>
      </c>
      <c r="D1143" s="13" t="s">
        <v>68</v>
      </c>
      <c r="E1143" s="53" t="s">
        <v>2902</v>
      </c>
      <c r="F1143" s="54" t="s">
        <v>24</v>
      </c>
      <c r="G1143" s="116">
        <v>4400</v>
      </c>
      <c r="H1143" s="52" t="s">
        <v>25</v>
      </c>
      <c r="I1143" s="116" t="s">
        <v>2942</v>
      </c>
      <c r="J1143" s="116">
        <v>2977</v>
      </c>
      <c r="K1143" s="116">
        <v>3027</v>
      </c>
      <c r="L1143" s="124">
        <v>176</v>
      </c>
      <c r="M1143" s="19">
        <v>299117</v>
      </c>
      <c r="N1143" s="20">
        <v>0</v>
      </c>
      <c r="O1143" s="20">
        <v>0</v>
      </c>
      <c r="P1143" s="20">
        <v>0</v>
      </c>
      <c r="Q1143" s="20">
        <v>0</v>
      </c>
      <c r="R1143" s="19">
        <f t="shared" si="157"/>
        <v>299117</v>
      </c>
      <c r="S1143" s="19">
        <v>3000</v>
      </c>
      <c r="T1143" s="19">
        <f t="shared" si="158"/>
        <v>302117</v>
      </c>
      <c r="U1143" s="105"/>
      <c r="X1143" s="10">
        <f t="shared" si="153"/>
        <v>299117</v>
      </c>
      <c r="Y1143" s="2">
        <f t="shared" si="154"/>
        <v>0</v>
      </c>
      <c r="Z1143" s="10">
        <f t="shared" si="159"/>
        <v>0</v>
      </c>
    </row>
    <row r="1144" spans="1:26" ht="18" customHeight="1" x14ac:dyDescent="0.25">
      <c r="A1144" s="11">
        <v>105</v>
      </c>
      <c r="B1144" s="52" t="s">
        <v>2943</v>
      </c>
      <c r="C1144" s="53" t="s">
        <v>2944</v>
      </c>
      <c r="D1144" s="13" t="s">
        <v>28</v>
      </c>
      <c r="E1144" s="53" t="s">
        <v>2945</v>
      </c>
      <c r="F1144" s="54" t="s">
        <v>24</v>
      </c>
      <c r="G1144" s="116">
        <v>4400</v>
      </c>
      <c r="H1144" s="52" t="s">
        <v>25</v>
      </c>
      <c r="I1144" s="116" t="s">
        <v>2946</v>
      </c>
      <c r="J1144" s="116">
        <v>1753</v>
      </c>
      <c r="K1144" s="116">
        <v>1785</v>
      </c>
      <c r="L1144" s="124">
        <v>176</v>
      </c>
      <c r="M1144" s="19">
        <v>299117</v>
      </c>
      <c r="N1144" s="20">
        <v>0</v>
      </c>
      <c r="O1144" s="20">
        <v>0</v>
      </c>
      <c r="P1144" s="20">
        <v>0</v>
      </c>
      <c r="Q1144" s="20">
        <v>0</v>
      </c>
      <c r="R1144" s="19">
        <f t="shared" si="157"/>
        <v>299117</v>
      </c>
      <c r="S1144" s="19">
        <v>3000</v>
      </c>
      <c r="T1144" s="19">
        <f t="shared" si="158"/>
        <v>302117</v>
      </c>
      <c r="U1144" s="105"/>
      <c r="X1144" s="10">
        <f t="shared" si="153"/>
        <v>299117</v>
      </c>
      <c r="Y1144" s="2">
        <f t="shared" si="154"/>
        <v>0</v>
      </c>
      <c r="Z1144" s="10">
        <f t="shared" si="159"/>
        <v>0</v>
      </c>
    </row>
    <row r="1145" spans="1:26" ht="18" customHeight="1" x14ac:dyDescent="0.25">
      <c r="A1145" s="11">
        <v>106</v>
      </c>
      <c r="B1145" s="52" t="s">
        <v>2947</v>
      </c>
      <c r="C1145" s="53" t="s">
        <v>2948</v>
      </c>
      <c r="D1145" s="13" t="s">
        <v>28</v>
      </c>
      <c r="E1145" s="53" t="s">
        <v>2668</v>
      </c>
      <c r="F1145" s="54" t="s">
        <v>24</v>
      </c>
      <c r="G1145" s="116">
        <v>2200</v>
      </c>
      <c r="H1145" s="52" t="s">
        <v>25</v>
      </c>
      <c r="I1145" s="116" t="s">
        <v>2949</v>
      </c>
      <c r="J1145" s="116">
        <v>28081</v>
      </c>
      <c r="K1145" s="116">
        <v>29379</v>
      </c>
      <c r="L1145" s="124">
        <v>1298</v>
      </c>
      <c r="M1145" s="19">
        <v>2205990</v>
      </c>
      <c r="N1145" s="20">
        <v>0</v>
      </c>
      <c r="O1145" s="20">
        <v>0</v>
      </c>
      <c r="P1145" s="20">
        <v>0</v>
      </c>
      <c r="Q1145" s="20">
        <v>0</v>
      </c>
      <c r="R1145" s="19">
        <f t="shared" si="157"/>
        <v>2205990</v>
      </c>
      <c r="S1145" s="19">
        <v>3000</v>
      </c>
      <c r="T1145" s="19">
        <f t="shared" si="158"/>
        <v>2208990</v>
      </c>
      <c r="U1145" s="105"/>
      <c r="X1145" s="10">
        <f t="shared" si="153"/>
        <v>2205990</v>
      </c>
      <c r="Y1145" s="2">
        <f t="shared" si="154"/>
        <v>0</v>
      </c>
      <c r="Z1145" s="10">
        <f t="shared" si="159"/>
        <v>0</v>
      </c>
    </row>
    <row r="1146" spans="1:26" ht="18" customHeight="1" x14ac:dyDescent="0.25">
      <c r="A1146" s="11">
        <v>107</v>
      </c>
      <c r="B1146" s="52" t="s">
        <v>2950</v>
      </c>
      <c r="C1146" s="53" t="s">
        <v>2951</v>
      </c>
      <c r="D1146" s="13" t="s">
        <v>28</v>
      </c>
      <c r="E1146" s="53" t="s">
        <v>2952</v>
      </c>
      <c r="F1146" s="54" t="s">
        <v>24</v>
      </c>
      <c r="G1146" s="116">
        <v>4400</v>
      </c>
      <c r="H1146" s="52" t="s">
        <v>25</v>
      </c>
      <c r="I1146" s="116" t="s">
        <v>2953</v>
      </c>
      <c r="J1146" s="116">
        <v>29300</v>
      </c>
      <c r="K1146" s="116">
        <v>30758</v>
      </c>
      <c r="L1146" s="124">
        <v>1458</v>
      </c>
      <c r="M1146" s="19">
        <v>2477915</v>
      </c>
      <c r="N1146" s="20">
        <v>0</v>
      </c>
      <c r="O1146" s="20">
        <v>0</v>
      </c>
      <c r="P1146" s="20">
        <v>0</v>
      </c>
      <c r="Q1146" s="20">
        <v>0</v>
      </c>
      <c r="R1146" s="19">
        <f t="shared" si="157"/>
        <v>2477915</v>
      </c>
      <c r="S1146" s="19">
        <v>3000</v>
      </c>
      <c r="T1146" s="19">
        <f t="shared" si="158"/>
        <v>2480915</v>
      </c>
      <c r="U1146" s="105"/>
      <c r="X1146" s="10">
        <f t="shared" si="153"/>
        <v>2477915</v>
      </c>
      <c r="Y1146" s="2">
        <f t="shared" si="154"/>
        <v>0</v>
      </c>
      <c r="Z1146" s="10">
        <f t="shared" si="159"/>
        <v>0</v>
      </c>
    </row>
    <row r="1147" spans="1:26" ht="18" customHeight="1" x14ac:dyDescent="0.25">
      <c r="A1147" s="11">
        <v>108</v>
      </c>
      <c r="B1147" s="52" t="s">
        <v>2954</v>
      </c>
      <c r="C1147" s="53" t="s">
        <v>2955</v>
      </c>
      <c r="D1147" s="13" t="s">
        <v>28</v>
      </c>
      <c r="E1147" s="53" t="s">
        <v>2952</v>
      </c>
      <c r="F1147" s="54" t="s">
        <v>24</v>
      </c>
      <c r="G1147" s="116">
        <v>4400</v>
      </c>
      <c r="H1147" s="52" t="s">
        <v>25</v>
      </c>
      <c r="I1147" s="116" t="s">
        <v>2956</v>
      </c>
      <c r="J1147" s="116">
        <v>2409</v>
      </c>
      <c r="K1147" s="116">
        <v>3771</v>
      </c>
      <c r="L1147" s="124">
        <v>1362</v>
      </c>
      <c r="M1147" s="19">
        <v>2314760</v>
      </c>
      <c r="N1147" s="20">
        <v>0</v>
      </c>
      <c r="O1147" s="20">
        <v>0</v>
      </c>
      <c r="P1147" s="20">
        <v>0</v>
      </c>
      <c r="Q1147" s="20">
        <v>0</v>
      </c>
      <c r="R1147" s="19">
        <f t="shared" si="157"/>
        <v>2314760</v>
      </c>
      <c r="S1147" s="19">
        <v>3000</v>
      </c>
      <c r="T1147" s="19">
        <f t="shared" si="158"/>
        <v>2317760</v>
      </c>
      <c r="U1147" s="105"/>
      <c r="X1147" s="10">
        <f t="shared" si="153"/>
        <v>2314760</v>
      </c>
      <c r="Y1147" s="2">
        <f t="shared" si="154"/>
        <v>0</v>
      </c>
      <c r="Z1147" s="10">
        <f t="shared" si="159"/>
        <v>0</v>
      </c>
    </row>
    <row r="1148" spans="1:26" ht="18" customHeight="1" x14ac:dyDescent="0.25">
      <c r="A1148" s="11">
        <v>109</v>
      </c>
      <c r="B1148" s="52" t="s">
        <v>2957</v>
      </c>
      <c r="C1148" s="53" t="s">
        <v>2958</v>
      </c>
      <c r="D1148" s="13" t="s">
        <v>28</v>
      </c>
      <c r="E1148" s="53" t="s">
        <v>2959</v>
      </c>
      <c r="F1148" s="54" t="s">
        <v>24</v>
      </c>
      <c r="G1148" s="116">
        <v>4400</v>
      </c>
      <c r="H1148" s="52" t="s">
        <v>25</v>
      </c>
      <c r="I1148" s="116" t="s">
        <v>2960</v>
      </c>
      <c r="J1148" s="116">
        <v>12859</v>
      </c>
      <c r="K1148" s="116">
        <v>13998</v>
      </c>
      <c r="L1148" s="124">
        <v>1139</v>
      </c>
      <c r="M1148" s="19">
        <v>1935765</v>
      </c>
      <c r="N1148" s="20">
        <v>0</v>
      </c>
      <c r="O1148" s="20">
        <v>0</v>
      </c>
      <c r="P1148" s="20">
        <v>0</v>
      </c>
      <c r="Q1148" s="20">
        <v>0</v>
      </c>
      <c r="R1148" s="19">
        <f t="shared" si="157"/>
        <v>1935765</v>
      </c>
      <c r="S1148" s="19">
        <v>3000</v>
      </c>
      <c r="T1148" s="19">
        <f t="shared" si="158"/>
        <v>1938765</v>
      </c>
      <c r="U1148" s="105"/>
      <c r="X1148" s="10">
        <f t="shared" si="153"/>
        <v>1935765</v>
      </c>
      <c r="Y1148" s="2">
        <f t="shared" si="154"/>
        <v>0</v>
      </c>
      <c r="Z1148" s="10">
        <f t="shared" si="159"/>
        <v>0</v>
      </c>
    </row>
    <row r="1149" spans="1:26" ht="18" customHeight="1" x14ac:dyDescent="0.25">
      <c r="A1149" s="11">
        <v>110</v>
      </c>
      <c r="B1149" s="52" t="s">
        <v>2961</v>
      </c>
      <c r="C1149" s="53" t="s">
        <v>2962</v>
      </c>
      <c r="D1149" s="13" t="s">
        <v>28</v>
      </c>
      <c r="E1149" s="53" t="s">
        <v>2963</v>
      </c>
      <c r="F1149" s="54" t="s">
        <v>24</v>
      </c>
      <c r="G1149" s="116">
        <v>4400</v>
      </c>
      <c r="H1149" s="52" t="s">
        <v>25</v>
      </c>
      <c r="I1149" s="116" t="s">
        <v>2964</v>
      </c>
      <c r="J1149" s="116">
        <v>23608</v>
      </c>
      <c r="K1149" s="116">
        <v>24585</v>
      </c>
      <c r="L1149" s="124">
        <v>977</v>
      </c>
      <c r="M1149" s="19">
        <v>1660441</v>
      </c>
      <c r="N1149" s="20">
        <v>0</v>
      </c>
      <c r="O1149" s="20">
        <v>0</v>
      </c>
      <c r="P1149" s="20">
        <v>0</v>
      </c>
      <c r="Q1149" s="20">
        <v>0</v>
      </c>
      <c r="R1149" s="19">
        <f t="shared" si="157"/>
        <v>1660441</v>
      </c>
      <c r="S1149" s="19">
        <v>3000</v>
      </c>
      <c r="T1149" s="19">
        <f t="shared" si="158"/>
        <v>1663441</v>
      </c>
      <c r="U1149" s="105"/>
      <c r="X1149" s="10">
        <f t="shared" si="153"/>
        <v>1660441</v>
      </c>
      <c r="Y1149" s="2">
        <f t="shared" si="154"/>
        <v>0</v>
      </c>
      <c r="Z1149" s="10">
        <f t="shared" si="159"/>
        <v>0</v>
      </c>
    </row>
    <row r="1150" spans="1:26" ht="18" customHeight="1" x14ac:dyDescent="0.25">
      <c r="A1150" s="11">
        <v>111</v>
      </c>
      <c r="B1150" s="52" t="s">
        <v>2965</v>
      </c>
      <c r="C1150" s="53" t="s">
        <v>2966</v>
      </c>
      <c r="D1150" s="13" t="s">
        <v>28</v>
      </c>
      <c r="E1150" s="53" t="s">
        <v>88</v>
      </c>
      <c r="F1150" s="54" t="s">
        <v>24</v>
      </c>
      <c r="G1150" s="116">
        <v>4400</v>
      </c>
      <c r="H1150" s="52" t="s">
        <v>25</v>
      </c>
      <c r="I1150" s="116" t="s">
        <v>2967</v>
      </c>
      <c r="J1150" s="116">
        <v>75592</v>
      </c>
      <c r="K1150" s="116">
        <v>76530</v>
      </c>
      <c r="L1150" s="124">
        <v>938</v>
      </c>
      <c r="M1150" s="19">
        <v>1594159</v>
      </c>
      <c r="N1150" s="20">
        <v>0</v>
      </c>
      <c r="O1150" s="20">
        <v>0</v>
      </c>
      <c r="P1150" s="20">
        <v>0</v>
      </c>
      <c r="Q1150" s="20">
        <v>0</v>
      </c>
      <c r="R1150" s="19">
        <f t="shared" si="157"/>
        <v>1594159</v>
      </c>
      <c r="S1150" s="19">
        <v>3000</v>
      </c>
      <c r="T1150" s="19">
        <f t="shared" si="158"/>
        <v>1597159</v>
      </c>
      <c r="U1150" s="105"/>
      <c r="X1150" s="10">
        <f t="shared" ref="X1150:X1215" si="160">M1150+N1150+O1150+P1150</f>
        <v>1594159</v>
      </c>
      <c r="Y1150" s="2">
        <f t="shared" ref="Y1150:Y1215" si="161">IF(X1150&gt;5000000,10000,IF(V1150&lt;5000000,0,IF(V1150=5000000,10000)))</f>
        <v>0</v>
      </c>
      <c r="Z1150" s="10">
        <f t="shared" si="159"/>
        <v>0</v>
      </c>
    </row>
    <row r="1151" spans="1:26" ht="18" customHeight="1" x14ac:dyDescent="0.25">
      <c r="A1151" s="11">
        <v>112</v>
      </c>
      <c r="B1151" s="52" t="s">
        <v>2968</v>
      </c>
      <c r="C1151" s="53" t="s">
        <v>2969</v>
      </c>
      <c r="D1151" s="13" t="s">
        <v>28</v>
      </c>
      <c r="E1151" s="53" t="s">
        <v>88</v>
      </c>
      <c r="F1151" s="54" t="s">
        <v>24</v>
      </c>
      <c r="G1151" s="116">
        <v>4400</v>
      </c>
      <c r="H1151" s="52" t="s">
        <v>25</v>
      </c>
      <c r="I1151" s="116" t="s">
        <v>659</v>
      </c>
      <c r="J1151" s="116">
        <v>82531</v>
      </c>
      <c r="K1151" s="116">
        <v>83624</v>
      </c>
      <c r="L1151" s="124">
        <v>1093</v>
      </c>
      <c r="M1151" s="19">
        <v>1857586</v>
      </c>
      <c r="N1151" s="20">
        <v>0</v>
      </c>
      <c r="O1151" s="20">
        <v>0</v>
      </c>
      <c r="P1151" s="20">
        <v>0</v>
      </c>
      <c r="Q1151" s="20">
        <v>0</v>
      </c>
      <c r="R1151" s="19">
        <f t="shared" si="157"/>
        <v>1857586</v>
      </c>
      <c r="S1151" s="19">
        <v>3000</v>
      </c>
      <c r="T1151" s="19">
        <f t="shared" si="158"/>
        <v>1860586</v>
      </c>
      <c r="U1151" s="105"/>
      <c r="X1151" s="10">
        <f t="shared" si="160"/>
        <v>1857586</v>
      </c>
      <c r="Y1151" s="2">
        <f t="shared" si="161"/>
        <v>0</v>
      </c>
      <c r="Z1151" s="10">
        <f t="shared" si="159"/>
        <v>0</v>
      </c>
    </row>
    <row r="1152" spans="1:26" ht="18" customHeight="1" x14ac:dyDescent="0.25">
      <c r="A1152" s="11">
        <v>113</v>
      </c>
      <c r="B1152" s="52" t="s">
        <v>2970</v>
      </c>
      <c r="C1152" s="53" t="s">
        <v>2971</v>
      </c>
      <c r="D1152" s="13" t="s">
        <v>28</v>
      </c>
      <c r="E1152" s="53" t="s">
        <v>2972</v>
      </c>
      <c r="F1152" s="54" t="s">
        <v>24</v>
      </c>
      <c r="G1152" s="116">
        <v>4400</v>
      </c>
      <c r="H1152" s="52" t="s">
        <v>25</v>
      </c>
      <c r="I1152" s="116" t="s">
        <v>2973</v>
      </c>
      <c r="J1152" s="116">
        <v>91</v>
      </c>
      <c r="K1152" s="116">
        <v>91</v>
      </c>
      <c r="L1152" s="124">
        <v>176</v>
      </c>
      <c r="M1152" s="19">
        <v>299117</v>
      </c>
      <c r="N1152" s="20">
        <v>0</v>
      </c>
      <c r="O1152" s="20">
        <v>0</v>
      </c>
      <c r="P1152" s="20">
        <v>0</v>
      </c>
      <c r="Q1152" s="20">
        <v>0</v>
      </c>
      <c r="R1152" s="19">
        <f t="shared" si="157"/>
        <v>299117</v>
      </c>
      <c r="S1152" s="19">
        <v>3000</v>
      </c>
      <c r="T1152" s="19">
        <f t="shared" si="158"/>
        <v>302117</v>
      </c>
      <c r="U1152" s="105"/>
      <c r="X1152" s="10">
        <f t="shared" si="160"/>
        <v>299117</v>
      </c>
      <c r="Y1152" s="2">
        <f t="shared" si="161"/>
        <v>0</v>
      </c>
      <c r="Z1152" s="10">
        <f t="shared" si="159"/>
        <v>0</v>
      </c>
    </row>
    <row r="1153" spans="1:26" ht="18" customHeight="1" x14ac:dyDescent="0.25">
      <c r="A1153" s="11">
        <v>114</v>
      </c>
      <c r="B1153" s="52" t="s">
        <v>2974</v>
      </c>
      <c r="C1153" s="53" t="s">
        <v>2975</v>
      </c>
      <c r="D1153" s="13" t="s">
        <v>28</v>
      </c>
      <c r="E1153" s="53" t="s">
        <v>2976</v>
      </c>
      <c r="F1153" s="54" t="s">
        <v>24</v>
      </c>
      <c r="G1153" s="116">
        <v>4400</v>
      </c>
      <c r="H1153" s="52" t="s">
        <v>25</v>
      </c>
      <c r="I1153" s="116" t="s">
        <v>2977</v>
      </c>
      <c r="J1153" s="116">
        <v>43144</v>
      </c>
      <c r="K1153" s="116">
        <v>43524</v>
      </c>
      <c r="L1153" s="124">
        <v>380</v>
      </c>
      <c r="M1153" s="19">
        <v>645821</v>
      </c>
      <c r="N1153" s="20">
        <v>0</v>
      </c>
      <c r="O1153" s="20">
        <v>0</v>
      </c>
      <c r="P1153" s="20">
        <v>0</v>
      </c>
      <c r="Q1153" s="20">
        <v>0</v>
      </c>
      <c r="R1153" s="19">
        <f t="shared" si="157"/>
        <v>645821</v>
      </c>
      <c r="S1153" s="19">
        <v>3000</v>
      </c>
      <c r="T1153" s="19">
        <f t="shared" si="158"/>
        <v>648821</v>
      </c>
      <c r="U1153" s="105"/>
      <c r="X1153" s="10">
        <f t="shared" si="160"/>
        <v>645821</v>
      </c>
      <c r="Y1153" s="2">
        <f t="shared" si="161"/>
        <v>0</v>
      </c>
      <c r="Z1153" s="10">
        <f t="shared" si="159"/>
        <v>0</v>
      </c>
    </row>
    <row r="1154" spans="1:26" ht="18" customHeight="1" x14ac:dyDescent="0.25">
      <c r="A1154" s="11">
        <v>115</v>
      </c>
      <c r="B1154" s="52" t="s">
        <v>2978</v>
      </c>
      <c r="C1154" s="53" t="s">
        <v>2979</v>
      </c>
      <c r="D1154" s="13" t="s">
        <v>28</v>
      </c>
      <c r="E1154" s="53" t="s">
        <v>2980</v>
      </c>
      <c r="F1154" s="54" t="s">
        <v>24</v>
      </c>
      <c r="G1154" s="116">
        <v>4400</v>
      </c>
      <c r="H1154" s="52" t="s">
        <v>25</v>
      </c>
      <c r="I1154" s="116" t="s">
        <v>2981</v>
      </c>
      <c r="J1154" s="116">
        <v>24516</v>
      </c>
      <c r="K1154" s="116">
        <v>26059</v>
      </c>
      <c r="L1154" s="124">
        <v>1543</v>
      </c>
      <c r="M1154" s="19">
        <v>2622375</v>
      </c>
      <c r="N1154" s="20">
        <v>0</v>
      </c>
      <c r="O1154" s="20">
        <v>0</v>
      </c>
      <c r="P1154" s="20">
        <v>0</v>
      </c>
      <c r="Q1154" s="20">
        <v>0</v>
      </c>
      <c r="R1154" s="19">
        <f t="shared" si="157"/>
        <v>2622375</v>
      </c>
      <c r="S1154" s="19">
        <v>3000</v>
      </c>
      <c r="T1154" s="19">
        <f t="shared" si="158"/>
        <v>2625375</v>
      </c>
      <c r="U1154" s="105"/>
      <c r="X1154" s="10">
        <f t="shared" si="160"/>
        <v>2622375</v>
      </c>
      <c r="Y1154" s="2">
        <f t="shared" si="161"/>
        <v>0</v>
      </c>
      <c r="Z1154" s="10">
        <f t="shared" si="159"/>
        <v>0</v>
      </c>
    </row>
    <row r="1155" spans="1:26" ht="18" customHeight="1" x14ac:dyDescent="0.25">
      <c r="A1155" s="11">
        <v>116</v>
      </c>
      <c r="B1155" s="52" t="s">
        <v>2982</v>
      </c>
      <c r="C1155" s="53" t="s">
        <v>2983</v>
      </c>
      <c r="D1155" s="13" t="s">
        <v>28</v>
      </c>
      <c r="E1155" s="53" t="s">
        <v>2984</v>
      </c>
      <c r="F1155" s="54" t="s">
        <v>24</v>
      </c>
      <c r="G1155" s="116">
        <v>4400</v>
      </c>
      <c r="H1155" s="52" t="s">
        <v>25</v>
      </c>
      <c r="I1155" s="116" t="s">
        <v>2985</v>
      </c>
      <c r="J1155" s="116">
        <v>12754</v>
      </c>
      <c r="K1155" s="116">
        <v>13295</v>
      </c>
      <c r="L1155" s="124">
        <v>541</v>
      </c>
      <c r="M1155" s="19">
        <v>919446</v>
      </c>
      <c r="N1155" s="20">
        <v>0</v>
      </c>
      <c r="O1155" s="20">
        <v>0</v>
      </c>
      <c r="P1155" s="20">
        <v>0</v>
      </c>
      <c r="Q1155" s="20">
        <v>0</v>
      </c>
      <c r="R1155" s="19">
        <f t="shared" si="157"/>
        <v>919446</v>
      </c>
      <c r="S1155" s="19">
        <v>3000</v>
      </c>
      <c r="T1155" s="19">
        <f t="shared" si="158"/>
        <v>922446</v>
      </c>
      <c r="U1155" s="105"/>
      <c r="X1155" s="10">
        <f t="shared" si="160"/>
        <v>919446</v>
      </c>
      <c r="Y1155" s="2">
        <f t="shared" si="161"/>
        <v>0</v>
      </c>
      <c r="Z1155" s="10">
        <f t="shared" si="159"/>
        <v>0</v>
      </c>
    </row>
    <row r="1156" spans="1:26" ht="18" customHeight="1" x14ac:dyDescent="0.25">
      <c r="A1156" s="11">
        <v>117</v>
      </c>
      <c r="B1156" s="52" t="s">
        <v>2986</v>
      </c>
      <c r="C1156" s="53" t="s">
        <v>2987</v>
      </c>
      <c r="D1156" s="13" t="s">
        <v>28</v>
      </c>
      <c r="E1156" s="53" t="s">
        <v>2988</v>
      </c>
      <c r="F1156" s="54" t="s">
        <v>24</v>
      </c>
      <c r="G1156" s="116">
        <v>4400</v>
      </c>
      <c r="H1156" s="52" t="s">
        <v>25</v>
      </c>
      <c r="I1156" s="116" t="s">
        <v>2989</v>
      </c>
      <c r="J1156" s="116">
        <v>19964</v>
      </c>
      <c r="K1156" s="116">
        <v>20109</v>
      </c>
      <c r="L1156" s="124">
        <v>176</v>
      </c>
      <c r="M1156" s="19">
        <v>299117</v>
      </c>
      <c r="N1156" s="20">
        <v>0</v>
      </c>
      <c r="O1156" s="20">
        <v>0</v>
      </c>
      <c r="P1156" s="20">
        <v>0</v>
      </c>
      <c r="Q1156" s="20">
        <v>0</v>
      </c>
      <c r="R1156" s="19">
        <f t="shared" si="157"/>
        <v>299117</v>
      </c>
      <c r="S1156" s="19">
        <v>3000</v>
      </c>
      <c r="T1156" s="19">
        <f t="shared" si="158"/>
        <v>302117</v>
      </c>
      <c r="U1156" s="105"/>
      <c r="X1156" s="10">
        <f t="shared" si="160"/>
        <v>299117</v>
      </c>
      <c r="Y1156" s="2">
        <f t="shared" si="161"/>
        <v>0</v>
      </c>
      <c r="Z1156" s="10">
        <f t="shared" si="159"/>
        <v>0</v>
      </c>
    </row>
    <row r="1157" spans="1:26" ht="18" customHeight="1" x14ac:dyDescent="0.25">
      <c r="A1157" s="11">
        <v>118</v>
      </c>
      <c r="B1157" s="52" t="s">
        <v>2990</v>
      </c>
      <c r="C1157" s="53" t="s">
        <v>2991</v>
      </c>
      <c r="D1157" s="13" t="s">
        <v>28</v>
      </c>
      <c r="E1157" s="53" t="s">
        <v>2992</v>
      </c>
      <c r="F1157" s="54" t="s">
        <v>24</v>
      </c>
      <c r="G1157" s="116">
        <v>4400</v>
      </c>
      <c r="H1157" s="52" t="s">
        <v>25</v>
      </c>
      <c r="I1157" s="116" t="s">
        <v>2993</v>
      </c>
      <c r="J1157" s="116">
        <v>208</v>
      </c>
      <c r="K1157" s="116">
        <v>306</v>
      </c>
      <c r="L1157" s="124">
        <v>176</v>
      </c>
      <c r="M1157" s="19">
        <v>299117</v>
      </c>
      <c r="N1157" s="20">
        <v>0</v>
      </c>
      <c r="O1157" s="20">
        <v>0</v>
      </c>
      <c r="P1157" s="20">
        <v>0</v>
      </c>
      <c r="Q1157" s="20">
        <v>0</v>
      </c>
      <c r="R1157" s="19">
        <f t="shared" si="157"/>
        <v>299117</v>
      </c>
      <c r="S1157" s="19">
        <v>3000</v>
      </c>
      <c r="T1157" s="19">
        <f t="shared" si="158"/>
        <v>302117</v>
      </c>
      <c r="U1157" s="105"/>
      <c r="X1157" s="10">
        <f t="shared" si="160"/>
        <v>299117</v>
      </c>
      <c r="Y1157" s="2">
        <f t="shared" si="161"/>
        <v>0</v>
      </c>
      <c r="Z1157" s="10">
        <f t="shared" si="159"/>
        <v>0</v>
      </c>
    </row>
    <row r="1158" spans="1:26" ht="18" customHeight="1" x14ac:dyDescent="0.25">
      <c r="A1158" s="11">
        <v>119</v>
      </c>
      <c r="B1158" s="52" t="s">
        <v>2994</v>
      </c>
      <c r="C1158" s="53" t="s">
        <v>2995</v>
      </c>
      <c r="D1158" s="13" t="s">
        <v>28</v>
      </c>
      <c r="E1158" s="53" t="s">
        <v>2761</v>
      </c>
      <c r="F1158" s="54" t="s">
        <v>24</v>
      </c>
      <c r="G1158" s="116">
        <v>5500</v>
      </c>
      <c r="H1158" s="52" t="s">
        <v>25</v>
      </c>
      <c r="I1158" s="116" t="s">
        <v>2996</v>
      </c>
      <c r="J1158" s="116">
        <v>14054</v>
      </c>
      <c r="K1158" s="116">
        <v>14054</v>
      </c>
      <c r="L1158" s="124">
        <v>220</v>
      </c>
      <c r="M1158" s="19">
        <v>373897</v>
      </c>
      <c r="N1158" s="20">
        <v>0</v>
      </c>
      <c r="O1158" s="20">
        <v>0</v>
      </c>
      <c r="P1158" s="20">
        <v>0</v>
      </c>
      <c r="Q1158" s="20">
        <v>0</v>
      </c>
      <c r="R1158" s="19">
        <f t="shared" si="157"/>
        <v>373897</v>
      </c>
      <c r="S1158" s="19">
        <v>3000</v>
      </c>
      <c r="T1158" s="19">
        <f t="shared" si="158"/>
        <v>376897</v>
      </c>
      <c r="U1158" s="105"/>
      <c r="X1158" s="10">
        <f t="shared" si="160"/>
        <v>373897</v>
      </c>
      <c r="Y1158" s="2">
        <f t="shared" si="161"/>
        <v>0</v>
      </c>
      <c r="Z1158" s="10">
        <f t="shared" si="159"/>
        <v>0</v>
      </c>
    </row>
    <row r="1159" spans="1:26" ht="18" customHeight="1" x14ac:dyDescent="0.25">
      <c r="A1159" s="11">
        <v>120</v>
      </c>
      <c r="B1159" s="52" t="s">
        <v>2997</v>
      </c>
      <c r="C1159" s="53" t="s">
        <v>2998</v>
      </c>
      <c r="D1159" s="13" t="s">
        <v>68</v>
      </c>
      <c r="E1159" s="53" t="s">
        <v>2999</v>
      </c>
      <c r="F1159" s="54" t="s">
        <v>24</v>
      </c>
      <c r="G1159" s="116">
        <v>4400</v>
      </c>
      <c r="H1159" s="52" t="s">
        <v>25</v>
      </c>
      <c r="I1159" s="116" t="s">
        <v>3000</v>
      </c>
      <c r="J1159" s="116">
        <v>86651</v>
      </c>
      <c r="K1159" s="116">
        <v>88236</v>
      </c>
      <c r="L1159" s="124">
        <v>1585</v>
      </c>
      <c r="M1159" s="19">
        <v>2693755</v>
      </c>
      <c r="N1159" s="20">
        <v>0</v>
      </c>
      <c r="O1159" s="20">
        <v>0</v>
      </c>
      <c r="P1159" s="20">
        <v>0</v>
      </c>
      <c r="Q1159" s="20">
        <v>0</v>
      </c>
      <c r="R1159" s="19">
        <f t="shared" si="157"/>
        <v>2693755</v>
      </c>
      <c r="S1159" s="19">
        <v>3000</v>
      </c>
      <c r="T1159" s="19">
        <f t="shared" si="158"/>
        <v>2696755</v>
      </c>
      <c r="U1159" s="105"/>
      <c r="X1159" s="10">
        <f t="shared" si="160"/>
        <v>2693755</v>
      </c>
      <c r="Y1159" s="2">
        <f t="shared" si="161"/>
        <v>0</v>
      </c>
      <c r="Z1159" s="10">
        <f t="shared" si="159"/>
        <v>0</v>
      </c>
    </row>
    <row r="1160" spans="1:26" ht="18" customHeight="1" x14ac:dyDescent="0.25">
      <c r="A1160" s="11"/>
      <c r="B1160" s="67"/>
      <c r="C1160" s="14"/>
      <c r="D1160" s="13"/>
      <c r="E1160" s="14"/>
      <c r="F1160" s="15"/>
      <c r="G1160" s="118"/>
      <c r="H1160" s="118"/>
      <c r="I1160" s="15" t="s">
        <v>0</v>
      </c>
      <c r="J1160" s="15"/>
      <c r="K1160" s="15"/>
      <c r="L1160" s="124"/>
      <c r="M1160" s="19"/>
      <c r="N1160" s="20"/>
      <c r="O1160" s="20"/>
      <c r="P1160" s="20"/>
      <c r="Q1160" s="20"/>
      <c r="R1160" s="19"/>
      <c r="S1160" s="19"/>
      <c r="T1160" s="19"/>
      <c r="U1160" s="105"/>
      <c r="X1160" s="10">
        <f t="shared" si="160"/>
        <v>0</v>
      </c>
      <c r="Y1160" s="2">
        <f t="shared" si="161"/>
        <v>0</v>
      </c>
      <c r="Z1160" s="10"/>
    </row>
    <row r="1161" spans="1:26" ht="33.75" customHeight="1" x14ac:dyDescent="0.25">
      <c r="A1161" s="51"/>
      <c r="B1161" s="112"/>
      <c r="C1161" s="34"/>
      <c r="D1161" s="14"/>
      <c r="E1161" s="14" t="s">
        <v>139</v>
      </c>
      <c r="F1161" s="15"/>
      <c r="G1161" s="36">
        <f>SUM(G1119:G1160)</f>
        <v>697980</v>
      </c>
      <c r="H1161" s="36">
        <f t="shared" ref="H1161:R1161" si="162">SUM(H1119:H1160)</f>
        <v>0</v>
      </c>
      <c r="I1161" s="36">
        <f t="shared" si="162"/>
        <v>0</v>
      </c>
      <c r="J1161" s="36"/>
      <c r="K1161" s="36"/>
      <c r="L1161" s="36">
        <f t="shared" si="162"/>
        <v>181663</v>
      </c>
      <c r="M1161" s="37">
        <f t="shared" si="162"/>
        <v>308741718</v>
      </c>
      <c r="N1161" s="38">
        <f t="shared" si="162"/>
        <v>0</v>
      </c>
      <c r="O1161" s="38">
        <f t="shared" si="162"/>
        <v>0</v>
      </c>
      <c r="P1161" s="38">
        <f t="shared" si="162"/>
        <v>0</v>
      </c>
      <c r="Q1161" s="38">
        <f t="shared" si="162"/>
        <v>100000</v>
      </c>
      <c r="R1161" s="37">
        <f t="shared" si="162"/>
        <v>308841718</v>
      </c>
      <c r="S1161" s="37">
        <f>SUM(S1119:S1160)</f>
        <v>360000</v>
      </c>
      <c r="T1161" s="37">
        <f>SUM(T1119:T1160)</f>
        <v>309201718</v>
      </c>
      <c r="U1161" s="147"/>
      <c r="W1161" s="99"/>
      <c r="X1161" s="10">
        <f t="shared" si="160"/>
        <v>308741718</v>
      </c>
      <c r="Y1161" s="2">
        <f t="shared" si="161"/>
        <v>10000</v>
      </c>
      <c r="Z1161" s="10"/>
    </row>
    <row r="1162" spans="1:26" ht="18" customHeight="1" x14ac:dyDescent="0.25">
      <c r="A1162" s="25"/>
      <c r="B1162" s="115"/>
      <c r="E1162" s="4"/>
      <c r="G1162" s="39"/>
      <c r="H1162" s="39"/>
      <c r="L1162" s="31"/>
      <c r="X1162" s="10">
        <f t="shared" si="160"/>
        <v>0</v>
      </c>
      <c r="Y1162" s="2">
        <f t="shared" si="161"/>
        <v>0</v>
      </c>
      <c r="Z1162" s="10"/>
    </row>
    <row r="1163" spans="1:26" ht="18" customHeight="1" x14ac:dyDescent="0.25">
      <c r="B1163" s="88"/>
      <c r="L1163" s="31"/>
      <c r="X1163" s="10">
        <f t="shared" si="160"/>
        <v>0</v>
      </c>
      <c r="Y1163" s="2">
        <f t="shared" si="161"/>
        <v>0</v>
      </c>
      <c r="Z1163" s="10"/>
    </row>
    <row r="1164" spans="1:26" s="84" customFormat="1" ht="39" customHeight="1" x14ac:dyDescent="0.25">
      <c r="A1164" s="9" t="s">
        <v>4</v>
      </c>
      <c r="B1164" s="21" t="s">
        <v>5</v>
      </c>
      <c r="C1164" s="21" t="s">
        <v>6</v>
      </c>
      <c r="D1164" s="12"/>
      <c r="E1164" s="9" t="s">
        <v>7</v>
      </c>
      <c r="F1164" s="21" t="s">
        <v>8</v>
      </c>
      <c r="G1164" s="21" t="s">
        <v>9</v>
      </c>
      <c r="H1164" s="21" t="s">
        <v>10</v>
      </c>
      <c r="I1164" s="21" t="s">
        <v>11</v>
      </c>
      <c r="J1164" s="21" t="s">
        <v>12</v>
      </c>
      <c r="K1164" s="21" t="s">
        <v>13</v>
      </c>
      <c r="L1164" s="21" t="s">
        <v>14</v>
      </c>
      <c r="M1164" s="143" t="s">
        <v>15</v>
      </c>
      <c r="N1164" s="144" t="s">
        <v>16</v>
      </c>
      <c r="O1164" s="144" t="s">
        <v>17</v>
      </c>
      <c r="P1164" s="144" t="s">
        <v>18</v>
      </c>
      <c r="Q1164" s="144" t="s">
        <v>19</v>
      </c>
      <c r="R1164" s="143" t="s">
        <v>20</v>
      </c>
      <c r="S1164" s="143" t="s">
        <v>3471</v>
      </c>
      <c r="T1164" s="143" t="s">
        <v>3472</v>
      </c>
      <c r="U1164" s="145"/>
      <c r="V1164" s="145"/>
      <c r="W1164" s="145"/>
      <c r="X1164" s="145"/>
    </row>
    <row r="1165" spans="1:26" ht="18" customHeight="1" x14ac:dyDescent="0.25">
      <c r="A1165" s="11"/>
      <c r="B1165" s="67"/>
      <c r="C1165" s="14"/>
      <c r="D1165" s="13"/>
      <c r="E1165" s="14"/>
      <c r="F1165" s="15"/>
      <c r="G1165" s="118"/>
      <c r="H1165" s="118"/>
      <c r="I1165" s="15" t="s">
        <v>0</v>
      </c>
      <c r="J1165" s="15"/>
      <c r="K1165" s="15"/>
      <c r="L1165" s="124"/>
      <c r="M1165" s="19"/>
      <c r="N1165" s="20"/>
      <c r="O1165" s="20"/>
      <c r="P1165" s="20"/>
      <c r="Q1165" s="20"/>
      <c r="R1165" s="19"/>
      <c r="S1165" s="19"/>
      <c r="T1165" s="19"/>
      <c r="U1165" s="105"/>
      <c r="X1165" s="10">
        <f>M1165+N1165+O1165+P1165</f>
        <v>0</v>
      </c>
      <c r="Y1165" s="2">
        <f>IF(X1165&gt;5000000,10000,IF(V1165&lt;5000000,0,IF(V1165=5000000,10000)))</f>
        <v>0</v>
      </c>
      <c r="Z1165" s="10"/>
    </row>
    <row r="1166" spans="1:26" ht="18" customHeight="1" x14ac:dyDescent="0.25">
      <c r="A1166" s="11"/>
      <c r="B1166" s="107"/>
      <c r="C1166" s="13"/>
      <c r="D1166" s="13"/>
      <c r="E1166" s="35" t="s">
        <v>141</v>
      </c>
      <c r="F1166" s="15"/>
      <c r="G1166" s="61">
        <f>G1161</f>
        <v>697980</v>
      </c>
      <c r="H1166" s="61">
        <f t="shared" ref="H1166:R1166" si="163">H1161</f>
        <v>0</v>
      </c>
      <c r="I1166" s="61">
        <f t="shared" si="163"/>
        <v>0</v>
      </c>
      <c r="J1166" s="61"/>
      <c r="K1166" s="61"/>
      <c r="L1166" s="61">
        <f t="shared" si="163"/>
        <v>181663</v>
      </c>
      <c r="M1166" s="37">
        <f t="shared" si="163"/>
        <v>308741718</v>
      </c>
      <c r="N1166" s="38">
        <f t="shared" si="163"/>
        <v>0</v>
      </c>
      <c r="O1166" s="38">
        <f t="shared" si="163"/>
        <v>0</v>
      </c>
      <c r="P1166" s="38">
        <f t="shared" si="163"/>
        <v>0</v>
      </c>
      <c r="Q1166" s="38">
        <f t="shared" si="163"/>
        <v>100000</v>
      </c>
      <c r="R1166" s="37">
        <f t="shared" si="163"/>
        <v>308841718</v>
      </c>
      <c r="S1166" s="37">
        <f>S1161</f>
        <v>360000</v>
      </c>
      <c r="T1166" s="37">
        <f>T1161</f>
        <v>309201718</v>
      </c>
      <c r="U1166" s="147"/>
      <c r="X1166" s="10">
        <f t="shared" si="160"/>
        <v>308741718</v>
      </c>
      <c r="Y1166" s="2">
        <f t="shared" si="161"/>
        <v>10000</v>
      </c>
      <c r="Z1166" s="10"/>
    </row>
    <row r="1167" spans="1:26" ht="18" customHeight="1" x14ac:dyDescent="0.25">
      <c r="A1167" s="11">
        <v>121</v>
      </c>
      <c r="B1167" s="52" t="s">
        <v>3001</v>
      </c>
      <c r="C1167" s="53" t="s">
        <v>3002</v>
      </c>
      <c r="D1167" s="13" t="s">
        <v>22</v>
      </c>
      <c r="E1167" s="53" t="s">
        <v>3003</v>
      </c>
      <c r="F1167" s="54" t="s">
        <v>24</v>
      </c>
      <c r="G1167" s="116">
        <v>5500</v>
      </c>
      <c r="H1167" s="52" t="s">
        <v>25</v>
      </c>
      <c r="I1167" s="56" t="s">
        <v>3004</v>
      </c>
      <c r="J1167" s="56">
        <v>96974</v>
      </c>
      <c r="K1167" s="56">
        <v>98342</v>
      </c>
      <c r="L1167" s="18">
        <v>1368</v>
      </c>
      <c r="M1167" s="19">
        <v>2324957</v>
      </c>
      <c r="N1167" s="20">
        <v>0</v>
      </c>
      <c r="O1167" s="20">
        <v>0</v>
      </c>
      <c r="P1167" s="20">
        <v>0</v>
      </c>
      <c r="Q1167" s="20">
        <v>0</v>
      </c>
      <c r="R1167" s="19">
        <f t="shared" ref="R1167:R1206" si="164">M1167+N1167+O1167+P1167+Q1167</f>
        <v>2324957</v>
      </c>
      <c r="S1167" s="19">
        <v>3000</v>
      </c>
      <c r="T1167" s="19">
        <f t="shared" ref="T1167:T1206" si="165">R1167+S1167</f>
        <v>2327957</v>
      </c>
      <c r="U1167" s="105"/>
      <c r="X1167" s="10">
        <f t="shared" si="160"/>
        <v>2324957</v>
      </c>
      <c r="Y1167" s="2">
        <f t="shared" si="161"/>
        <v>0</v>
      </c>
      <c r="Z1167" s="10">
        <f t="shared" ref="Z1167:Z1206" si="166">Q1167-Y1167</f>
        <v>0</v>
      </c>
    </row>
    <row r="1168" spans="1:26" ht="18" customHeight="1" x14ac:dyDescent="0.25">
      <c r="A1168" s="11">
        <v>122</v>
      </c>
      <c r="B1168" s="52" t="s">
        <v>3005</v>
      </c>
      <c r="C1168" s="53" t="s">
        <v>3006</v>
      </c>
      <c r="D1168" s="13" t="s">
        <v>22</v>
      </c>
      <c r="E1168" s="53" t="s">
        <v>3003</v>
      </c>
      <c r="F1168" s="54" t="s">
        <v>24</v>
      </c>
      <c r="G1168" s="116">
        <v>5500</v>
      </c>
      <c r="H1168" s="52" t="s">
        <v>25</v>
      </c>
      <c r="I1168" s="56" t="s">
        <v>3007</v>
      </c>
      <c r="J1168" s="56">
        <v>25598</v>
      </c>
      <c r="K1168" s="56">
        <v>26446</v>
      </c>
      <c r="L1168" s="18">
        <v>848</v>
      </c>
      <c r="M1168" s="19">
        <v>1441201</v>
      </c>
      <c r="N1168" s="20">
        <v>0</v>
      </c>
      <c r="O1168" s="20">
        <v>0</v>
      </c>
      <c r="P1168" s="20">
        <v>0</v>
      </c>
      <c r="Q1168" s="20">
        <v>0</v>
      </c>
      <c r="R1168" s="19">
        <f t="shared" si="164"/>
        <v>1441201</v>
      </c>
      <c r="S1168" s="19">
        <v>3000</v>
      </c>
      <c r="T1168" s="19">
        <f t="shared" si="165"/>
        <v>1444201</v>
      </c>
      <c r="U1168" s="105"/>
      <c r="X1168" s="10">
        <f t="shared" si="160"/>
        <v>1441201</v>
      </c>
      <c r="Y1168" s="2">
        <f t="shared" si="161"/>
        <v>0</v>
      </c>
      <c r="Z1168" s="10">
        <f t="shared" si="166"/>
        <v>0</v>
      </c>
    </row>
    <row r="1169" spans="1:26" ht="18" customHeight="1" x14ac:dyDescent="0.25">
      <c r="A1169" s="11">
        <v>123</v>
      </c>
      <c r="B1169" s="52" t="s">
        <v>3008</v>
      </c>
      <c r="C1169" s="53" t="s">
        <v>3009</v>
      </c>
      <c r="D1169" s="13" t="s">
        <v>22</v>
      </c>
      <c r="E1169" s="53" t="s">
        <v>2761</v>
      </c>
      <c r="F1169" s="54" t="s">
        <v>24</v>
      </c>
      <c r="G1169" s="116">
        <v>4400</v>
      </c>
      <c r="H1169" s="52" t="s">
        <v>25</v>
      </c>
      <c r="I1169" s="56" t="s">
        <v>3010</v>
      </c>
      <c r="J1169" s="56">
        <v>7781</v>
      </c>
      <c r="K1169" s="56">
        <v>8028</v>
      </c>
      <c r="L1169" s="18">
        <v>247</v>
      </c>
      <c r="M1169" s="19">
        <v>419784</v>
      </c>
      <c r="N1169" s="20">
        <v>0</v>
      </c>
      <c r="O1169" s="20">
        <v>0</v>
      </c>
      <c r="P1169" s="20">
        <v>0</v>
      </c>
      <c r="Q1169" s="20">
        <v>0</v>
      </c>
      <c r="R1169" s="19">
        <f t="shared" si="164"/>
        <v>419784</v>
      </c>
      <c r="S1169" s="19">
        <v>3000</v>
      </c>
      <c r="T1169" s="19">
        <f t="shared" si="165"/>
        <v>422784</v>
      </c>
      <c r="U1169" s="105"/>
      <c r="X1169" s="10">
        <f t="shared" si="160"/>
        <v>419784</v>
      </c>
      <c r="Y1169" s="2">
        <f t="shared" si="161"/>
        <v>0</v>
      </c>
      <c r="Z1169" s="10">
        <f t="shared" si="166"/>
        <v>0</v>
      </c>
    </row>
    <row r="1170" spans="1:26" ht="18" customHeight="1" x14ac:dyDescent="0.25">
      <c r="A1170" s="11">
        <v>124</v>
      </c>
      <c r="B1170" s="52" t="s">
        <v>3011</v>
      </c>
      <c r="C1170" s="53" t="s">
        <v>3012</v>
      </c>
      <c r="D1170" s="13" t="s">
        <v>22</v>
      </c>
      <c r="E1170" s="53" t="s">
        <v>3013</v>
      </c>
      <c r="F1170" s="54" t="s">
        <v>24</v>
      </c>
      <c r="G1170" s="116">
        <v>4400</v>
      </c>
      <c r="H1170" s="52" t="s">
        <v>25</v>
      </c>
      <c r="I1170" s="56" t="s">
        <v>682</v>
      </c>
      <c r="J1170" s="56">
        <v>5335</v>
      </c>
      <c r="K1170" s="56">
        <v>6204</v>
      </c>
      <c r="L1170" s="18">
        <v>869</v>
      </c>
      <c r="M1170" s="19">
        <v>1476892</v>
      </c>
      <c r="N1170" s="20">
        <v>0</v>
      </c>
      <c r="O1170" s="20">
        <v>0</v>
      </c>
      <c r="P1170" s="20">
        <v>0</v>
      </c>
      <c r="Q1170" s="20">
        <v>0</v>
      </c>
      <c r="R1170" s="19">
        <f t="shared" si="164"/>
        <v>1476892</v>
      </c>
      <c r="S1170" s="19">
        <v>3000</v>
      </c>
      <c r="T1170" s="19">
        <f t="shared" si="165"/>
        <v>1479892</v>
      </c>
      <c r="U1170" s="105"/>
      <c r="X1170" s="10">
        <f t="shared" si="160"/>
        <v>1476892</v>
      </c>
      <c r="Y1170" s="2">
        <f t="shared" si="161"/>
        <v>0</v>
      </c>
      <c r="Z1170" s="10">
        <f t="shared" si="166"/>
        <v>0</v>
      </c>
    </row>
    <row r="1171" spans="1:26" ht="18" customHeight="1" x14ac:dyDescent="0.25">
      <c r="A1171" s="11">
        <v>125</v>
      </c>
      <c r="B1171" s="52" t="s">
        <v>3014</v>
      </c>
      <c r="C1171" s="53" t="s">
        <v>3015</v>
      </c>
      <c r="D1171" s="13" t="s">
        <v>22</v>
      </c>
      <c r="E1171" s="53" t="s">
        <v>3016</v>
      </c>
      <c r="F1171" s="54" t="s">
        <v>24</v>
      </c>
      <c r="G1171" s="116">
        <v>4400</v>
      </c>
      <c r="H1171" s="52" t="s">
        <v>25</v>
      </c>
      <c r="I1171" s="56" t="s">
        <v>3017</v>
      </c>
      <c r="J1171" s="56">
        <v>55849</v>
      </c>
      <c r="K1171" s="56">
        <v>56500</v>
      </c>
      <c r="L1171" s="18">
        <v>651</v>
      </c>
      <c r="M1171" s="19">
        <v>1106394</v>
      </c>
      <c r="N1171" s="20">
        <v>0</v>
      </c>
      <c r="O1171" s="20">
        <v>0</v>
      </c>
      <c r="P1171" s="20">
        <v>0</v>
      </c>
      <c r="Q1171" s="20">
        <v>0</v>
      </c>
      <c r="R1171" s="19">
        <f t="shared" si="164"/>
        <v>1106394</v>
      </c>
      <c r="S1171" s="19">
        <v>3000</v>
      </c>
      <c r="T1171" s="19">
        <f t="shared" si="165"/>
        <v>1109394</v>
      </c>
      <c r="U1171" s="105"/>
      <c r="X1171" s="10">
        <f t="shared" si="160"/>
        <v>1106394</v>
      </c>
      <c r="Y1171" s="2">
        <f t="shared" si="161"/>
        <v>0</v>
      </c>
      <c r="Z1171" s="10">
        <f t="shared" si="166"/>
        <v>0</v>
      </c>
    </row>
    <row r="1172" spans="1:26" ht="18" customHeight="1" x14ac:dyDescent="0.25">
      <c r="A1172" s="11">
        <v>126</v>
      </c>
      <c r="B1172" s="52" t="s">
        <v>3018</v>
      </c>
      <c r="C1172" s="53" t="s">
        <v>3019</v>
      </c>
      <c r="D1172" s="13" t="s">
        <v>22</v>
      </c>
      <c r="E1172" s="53" t="s">
        <v>3020</v>
      </c>
      <c r="F1172" s="54" t="s">
        <v>24</v>
      </c>
      <c r="G1172" s="116">
        <v>4400</v>
      </c>
      <c r="H1172" s="52" t="s">
        <v>25</v>
      </c>
      <c r="I1172" s="56" t="s">
        <v>3021</v>
      </c>
      <c r="J1172" s="56">
        <v>19160</v>
      </c>
      <c r="K1172" s="56">
        <v>19615</v>
      </c>
      <c r="L1172" s="18">
        <v>455</v>
      </c>
      <c r="M1172" s="19">
        <v>773286</v>
      </c>
      <c r="N1172" s="20">
        <v>0</v>
      </c>
      <c r="O1172" s="20">
        <v>0</v>
      </c>
      <c r="P1172" s="20">
        <v>0</v>
      </c>
      <c r="Q1172" s="20">
        <v>0</v>
      </c>
      <c r="R1172" s="19">
        <f t="shared" si="164"/>
        <v>773286</v>
      </c>
      <c r="S1172" s="19">
        <v>3000</v>
      </c>
      <c r="T1172" s="19">
        <f t="shared" si="165"/>
        <v>776286</v>
      </c>
      <c r="U1172" s="105"/>
      <c r="X1172" s="10">
        <f t="shared" si="160"/>
        <v>773286</v>
      </c>
      <c r="Y1172" s="2">
        <f t="shared" si="161"/>
        <v>0</v>
      </c>
      <c r="Z1172" s="10">
        <f t="shared" si="166"/>
        <v>0</v>
      </c>
    </row>
    <row r="1173" spans="1:26" ht="18" customHeight="1" x14ac:dyDescent="0.25">
      <c r="A1173" s="11">
        <v>127</v>
      </c>
      <c r="B1173" s="52" t="s">
        <v>3022</v>
      </c>
      <c r="C1173" s="53" t="s">
        <v>3023</v>
      </c>
      <c r="D1173" s="13" t="s">
        <v>22</v>
      </c>
      <c r="E1173" s="53" t="s">
        <v>2829</v>
      </c>
      <c r="F1173" s="54" t="s">
        <v>24</v>
      </c>
      <c r="G1173" s="116">
        <v>4400</v>
      </c>
      <c r="H1173" s="52" t="s">
        <v>25</v>
      </c>
      <c r="I1173" s="56" t="s">
        <v>3024</v>
      </c>
      <c r="J1173" s="56">
        <v>13662</v>
      </c>
      <c r="K1173" s="56">
        <v>14469</v>
      </c>
      <c r="L1173" s="18">
        <v>807</v>
      </c>
      <c r="M1173" s="19">
        <v>1371521</v>
      </c>
      <c r="N1173" s="20">
        <v>0</v>
      </c>
      <c r="O1173" s="20">
        <v>0</v>
      </c>
      <c r="P1173" s="20">
        <v>0</v>
      </c>
      <c r="Q1173" s="20">
        <v>0</v>
      </c>
      <c r="R1173" s="19">
        <f t="shared" si="164"/>
        <v>1371521</v>
      </c>
      <c r="S1173" s="19">
        <v>3000</v>
      </c>
      <c r="T1173" s="19">
        <f t="shared" si="165"/>
        <v>1374521</v>
      </c>
      <c r="U1173" s="105"/>
      <c r="X1173" s="10">
        <f t="shared" si="160"/>
        <v>1371521</v>
      </c>
      <c r="Y1173" s="2">
        <f t="shared" si="161"/>
        <v>0</v>
      </c>
      <c r="Z1173" s="10">
        <f t="shared" si="166"/>
        <v>0</v>
      </c>
    </row>
    <row r="1174" spans="1:26" ht="18" customHeight="1" x14ac:dyDescent="0.25">
      <c r="A1174" s="11">
        <v>128</v>
      </c>
      <c r="B1174" s="52" t="s">
        <v>3025</v>
      </c>
      <c r="C1174" s="53" t="s">
        <v>3026</v>
      </c>
      <c r="D1174" s="13" t="s">
        <v>28</v>
      </c>
      <c r="E1174" s="53" t="s">
        <v>3027</v>
      </c>
      <c r="F1174" s="54" t="s">
        <v>24</v>
      </c>
      <c r="G1174" s="116">
        <v>4400</v>
      </c>
      <c r="H1174" s="52" t="s">
        <v>25</v>
      </c>
      <c r="I1174" s="56" t="s">
        <v>3028</v>
      </c>
      <c r="J1174" s="56">
        <v>40344</v>
      </c>
      <c r="K1174" s="56">
        <v>40724</v>
      </c>
      <c r="L1174" s="18">
        <v>380</v>
      </c>
      <c r="M1174" s="19">
        <v>645821</v>
      </c>
      <c r="N1174" s="20">
        <v>0</v>
      </c>
      <c r="O1174" s="20">
        <v>0</v>
      </c>
      <c r="P1174" s="20">
        <v>0</v>
      </c>
      <c r="Q1174" s="20">
        <v>0</v>
      </c>
      <c r="R1174" s="19">
        <f t="shared" si="164"/>
        <v>645821</v>
      </c>
      <c r="S1174" s="19">
        <v>3000</v>
      </c>
      <c r="T1174" s="19">
        <f t="shared" si="165"/>
        <v>648821</v>
      </c>
      <c r="U1174" s="105"/>
      <c r="X1174" s="10">
        <f t="shared" si="160"/>
        <v>645821</v>
      </c>
      <c r="Y1174" s="2">
        <f t="shared" si="161"/>
        <v>0</v>
      </c>
      <c r="Z1174" s="10">
        <f t="shared" si="166"/>
        <v>0</v>
      </c>
    </row>
    <row r="1175" spans="1:26" ht="18" customHeight="1" x14ac:dyDescent="0.25">
      <c r="A1175" s="11">
        <v>129</v>
      </c>
      <c r="B1175" s="52" t="s">
        <v>3029</v>
      </c>
      <c r="C1175" s="53" t="s">
        <v>3030</v>
      </c>
      <c r="D1175" s="13" t="s">
        <v>28</v>
      </c>
      <c r="E1175" s="53" t="s">
        <v>2821</v>
      </c>
      <c r="F1175" s="54" t="s">
        <v>24</v>
      </c>
      <c r="G1175" s="116">
        <v>7700</v>
      </c>
      <c r="H1175" s="52" t="s">
        <v>25</v>
      </c>
      <c r="I1175" s="56" t="s">
        <v>3031</v>
      </c>
      <c r="J1175" s="56">
        <v>33860</v>
      </c>
      <c r="K1175" s="56">
        <v>35966</v>
      </c>
      <c r="L1175" s="18">
        <v>2106</v>
      </c>
      <c r="M1175" s="19">
        <v>3579210</v>
      </c>
      <c r="N1175" s="20">
        <v>0</v>
      </c>
      <c r="O1175" s="20">
        <v>0</v>
      </c>
      <c r="P1175" s="20">
        <v>0</v>
      </c>
      <c r="Q1175" s="20">
        <v>0</v>
      </c>
      <c r="R1175" s="19">
        <f t="shared" si="164"/>
        <v>3579210</v>
      </c>
      <c r="S1175" s="19">
        <v>3000</v>
      </c>
      <c r="T1175" s="19">
        <f t="shared" si="165"/>
        <v>3582210</v>
      </c>
      <c r="U1175" s="105"/>
      <c r="X1175" s="10">
        <f t="shared" si="160"/>
        <v>3579210</v>
      </c>
      <c r="Y1175" s="2">
        <f t="shared" si="161"/>
        <v>0</v>
      </c>
      <c r="Z1175" s="10">
        <f t="shared" si="166"/>
        <v>0</v>
      </c>
    </row>
    <row r="1176" spans="1:26" ht="18" customHeight="1" x14ac:dyDescent="0.25">
      <c r="A1176" s="11">
        <v>130</v>
      </c>
      <c r="B1176" s="52" t="s">
        <v>3032</v>
      </c>
      <c r="C1176" s="53" t="s">
        <v>3033</v>
      </c>
      <c r="D1176" s="13" t="s">
        <v>28</v>
      </c>
      <c r="E1176" s="53" t="s">
        <v>3034</v>
      </c>
      <c r="F1176" s="54" t="s">
        <v>24</v>
      </c>
      <c r="G1176" s="116">
        <v>2200</v>
      </c>
      <c r="H1176" s="52" t="s">
        <v>25</v>
      </c>
      <c r="I1176" s="56" t="s">
        <v>3035</v>
      </c>
      <c r="J1176" s="56">
        <v>40549</v>
      </c>
      <c r="K1176" s="56">
        <v>41164</v>
      </c>
      <c r="L1176" s="18">
        <v>615</v>
      </c>
      <c r="M1176" s="19">
        <v>1045211</v>
      </c>
      <c r="N1176" s="20">
        <v>0</v>
      </c>
      <c r="O1176" s="20">
        <v>0</v>
      </c>
      <c r="P1176" s="20">
        <v>0</v>
      </c>
      <c r="Q1176" s="20">
        <v>0</v>
      </c>
      <c r="R1176" s="19">
        <f t="shared" si="164"/>
        <v>1045211</v>
      </c>
      <c r="S1176" s="19">
        <v>3000</v>
      </c>
      <c r="T1176" s="19">
        <f t="shared" si="165"/>
        <v>1048211</v>
      </c>
      <c r="U1176" s="105"/>
      <c r="X1176" s="10">
        <f t="shared" si="160"/>
        <v>1045211</v>
      </c>
      <c r="Y1176" s="2">
        <f t="shared" si="161"/>
        <v>0</v>
      </c>
      <c r="Z1176" s="10">
        <f t="shared" si="166"/>
        <v>0</v>
      </c>
    </row>
    <row r="1177" spans="1:26" ht="18" customHeight="1" x14ac:dyDescent="0.25">
      <c r="A1177" s="11">
        <v>131</v>
      </c>
      <c r="B1177" s="52" t="s">
        <v>3036</v>
      </c>
      <c r="C1177" s="53" t="s">
        <v>3037</v>
      </c>
      <c r="D1177" s="13" t="s">
        <v>28</v>
      </c>
      <c r="E1177" s="53" t="s">
        <v>654</v>
      </c>
      <c r="F1177" s="54" t="s">
        <v>24</v>
      </c>
      <c r="G1177" s="116">
        <v>5500</v>
      </c>
      <c r="H1177" s="52" t="s">
        <v>25</v>
      </c>
      <c r="I1177" s="56" t="s">
        <v>3038</v>
      </c>
      <c r="J1177" s="56">
        <v>11620</v>
      </c>
      <c r="K1177" s="56">
        <v>14380</v>
      </c>
      <c r="L1177" s="18">
        <v>2760</v>
      </c>
      <c r="M1177" s="19">
        <v>4690703</v>
      </c>
      <c r="N1177" s="20">
        <v>0</v>
      </c>
      <c r="O1177" s="20">
        <v>0</v>
      </c>
      <c r="P1177" s="20">
        <v>0</v>
      </c>
      <c r="Q1177" s="20">
        <v>0</v>
      </c>
      <c r="R1177" s="19">
        <f t="shared" si="164"/>
        <v>4690703</v>
      </c>
      <c r="S1177" s="19">
        <v>3000</v>
      </c>
      <c r="T1177" s="19">
        <f t="shared" si="165"/>
        <v>4693703</v>
      </c>
      <c r="U1177" s="105"/>
      <c r="X1177" s="10">
        <f t="shared" si="160"/>
        <v>4690703</v>
      </c>
      <c r="Y1177" s="2">
        <f t="shared" si="161"/>
        <v>0</v>
      </c>
      <c r="Z1177" s="10">
        <f t="shared" si="166"/>
        <v>0</v>
      </c>
    </row>
    <row r="1178" spans="1:26" ht="18" customHeight="1" x14ac:dyDescent="0.25">
      <c r="A1178" s="11">
        <v>132</v>
      </c>
      <c r="B1178" s="52" t="s">
        <v>3039</v>
      </c>
      <c r="C1178" s="53" t="s">
        <v>3040</v>
      </c>
      <c r="D1178" s="13" t="s">
        <v>28</v>
      </c>
      <c r="E1178" s="53" t="s">
        <v>2952</v>
      </c>
      <c r="F1178" s="54" t="s">
        <v>24</v>
      </c>
      <c r="G1178" s="116">
        <v>4400</v>
      </c>
      <c r="H1178" s="52" t="s">
        <v>25</v>
      </c>
      <c r="I1178" s="56" t="s">
        <v>3041</v>
      </c>
      <c r="J1178" s="56">
        <v>53011</v>
      </c>
      <c r="K1178" s="56">
        <v>53644</v>
      </c>
      <c r="L1178" s="18">
        <v>633</v>
      </c>
      <c r="M1178" s="19">
        <v>1075802</v>
      </c>
      <c r="N1178" s="20">
        <v>0</v>
      </c>
      <c r="O1178" s="20">
        <v>0</v>
      </c>
      <c r="P1178" s="20">
        <v>0</v>
      </c>
      <c r="Q1178" s="20">
        <v>0</v>
      </c>
      <c r="R1178" s="19">
        <f t="shared" si="164"/>
        <v>1075802</v>
      </c>
      <c r="S1178" s="19">
        <v>3000</v>
      </c>
      <c r="T1178" s="19">
        <f t="shared" si="165"/>
        <v>1078802</v>
      </c>
      <c r="U1178" s="105"/>
      <c r="X1178" s="10">
        <f t="shared" si="160"/>
        <v>1075802</v>
      </c>
      <c r="Y1178" s="2">
        <f t="shared" si="161"/>
        <v>0</v>
      </c>
      <c r="Z1178" s="10">
        <f t="shared" si="166"/>
        <v>0</v>
      </c>
    </row>
    <row r="1179" spans="1:26" ht="18" customHeight="1" x14ac:dyDescent="0.25">
      <c r="A1179" s="11">
        <v>133</v>
      </c>
      <c r="B1179" s="52" t="s">
        <v>3042</v>
      </c>
      <c r="C1179" s="53" t="s">
        <v>3043</v>
      </c>
      <c r="D1179" s="13" t="s">
        <v>28</v>
      </c>
      <c r="E1179" s="53" t="s">
        <v>3016</v>
      </c>
      <c r="F1179" s="54" t="s">
        <v>24</v>
      </c>
      <c r="G1179" s="116">
        <v>7700</v>
      </c>
      <c r="H1179" s="52" t="s">
        <v>25</v>
      </c>
      <c r="I1179" s="56" t="s">
        <v>3044</v>
      </c>
      <c r="J1179" s="56">
        <v>90095</v>
      </c>
      <c r="K1179" s="56">
        <v>91038</v>
      </c>
      <c r="L1179" s="18">
        <v>943</v>
      </c>
      <c r="M1179" s="19">
        <v>1602657</v>
      </c>
      <c r="N1179" s="20">
        <v>0</v>
      </c>
      <c r="O1179" s="20">
        <v>0</v>
      </c>
      <c r="P1179" s="20">
        <v>0</v>
      </c>
      <c r="Q1179" s="20">
        <v>0</v>
      </c>
      <c r="R1179" s="19">
        <f t="shared" si="164"/>
        <v>1602657</v>
      </c>
      <c r="S1179" s="19">
        <v>3000</v>
      </c>
      <c r="T1179" s="19">
        <f t="shared" si="165"/>
        <v>1605657</v>
      </c>
      <c r="U1179" s="105"/>
      <c r="X1179" s="10">
        <f t="shared" si="160"/>
        <v>1602657</v>
      </c>
      <c r="Y1179" s="2">
        <f t="shared" si="161"/>
        <v>0</v>
      </c>
      <c r="Z1179" s="10">
        <f t="shared" si="166"/>
        <v>0</v>
      </c>
    </row>
    <row r="1180" spans="1:26" ht="18" customHeight="1" x14ac:dyDescent="0.25">
      <c r="A1180" s="11">
        <v>134</v>
      </c>
      <c r="B1180" s="52" t="s">
        <v>3045</v>
      </c>
      <c r="C1180" s="53" t="s">
        <v>3046</v>
      </c>
      <c r="D1180" s="13" t="s">
        <v>28</v>
      </c>
      <c r="E1180" s="53" t="s">
        <v>3047</v>
      </c>
      <c r="F1180" s="54" t="s">
        <v>24</v>
      </c>
      <c r="G1180" s="116">
        <v>4400</v>
      </c>
      <c r="H1180" s="52" t="s">
        <v>25</v>
      </c>
      <c r="I1180" s="56" t="s">
        <v>3048</v>
      </c>
      <c r="J1180" s="56">
        <v>58292</v>
      </c>
      <c r="K1180" s="56">
        <v>59086</v>
      </c>
      <c r="L1180" s="18">
        <v>794</v>
      </c>
      <c r="M1180" s="19">
        <v>1349427</v>
      </c>
      <c r="N1180" s="20">
        <v>0</v>
      </c>
      <c r="O1180" s="20">
        <v>0</v>
      </c>
      <c r="P1180" s="20">
        <v>0</v>
      </c>
      <c r="Q1180" s="20">
        <v>0</v>
      </c>
      <c r="R1180" s="19">
        <f t="shared" si="164"/>
        <v>1349427</v>
      </c>
      <c r="S1180" s="19">
        <v>3000</v>
      </c>
      <c r="T1180" s="19">
        <f t="shared" si="165"/>
        <v>1352427</v>
      </c>
      <c r="U1180" s="105"/>
      <c r="X1180" s="10">
        <f t="shared" si="160"/>
        <v>1349427</v>
      </c>
      <c r="Y1180" s="2">
        <f t="shared" si="161"/>
        <v>0</v>
      </c>
      <c r="Z1180" s="10">
        <f t="shared" si="166"/>
        <v>0</v>
      </c>
    </row>
    <row r="1181" spans="1:26" ht="18" customHeight="1" x14ac:dyDescent="0.25">
      <c r="A1181" s="11">
        <v>135</v>
      </c>
      <c r="B1181" s="52" t="s">
        <v>3049</v>
      </c>
      <c r="C1181" s="53" t="s">
        <v>3050</v>
      </c>
      <c r="D1181" s="13" t="s">
        <v>28</v>
      </c>
      <c r="E1181" s="53" t="s">
        <v>3051</v>
      </c>
      <c r="F1181" s="54" t="s">
        <v>24</v>
      </c>
      <c r="G1181" s="116">
        <v>4400</v>
      </c>
      <c r="H1181" s="52" t="s">
        <v>25</v>
      </c>
      <c r="I1181" s="56" t="s">
        <v>687</v>
      </c>
      <c r="J1181" s="56">
        <v>32323</v>
      </c>
      <c r="K1181" s="56">
        <v>33665</v>
      </c>
      <c r="L1181" s="18">
        <v>1342</v>
      </c>
      <c r="M1181" s="19">
        <v>2280769</v>
      </c>
      <c r="N1181" s="20">
        <v>0</v>
      </c>
      <c r="O1181" s="20">
        <v>0</v>
      </c>
      <c r="P1181" s="20">
        <v>0</v>
      </c>
      <c r="Q1181" s="20">
        <v>0</v>
      </c>
      <c r="R1181" s="19">
        <f t="shared" si="164"/>
        <v>2280769</v>
      </c>
      <c r="S1181" s="19">
        <v>3000</v>
      </c>
      <c r="T1181" s="19">
        <f t="shared" si="165"/>
        <v>2283769</v>
      </c>
      <c r="U1181" s="105"/>
      <c r="X1181" s="10">
        <f t="shared" si="160"/>
        <v>2280769</v>
      </c>
      <c r="Y1181" s="2">
        <f t="shared" si="161"/>
        <v>0</v>
      </c>
      <c r="Z1181" s="10">
        <f t="shared" si="166"/>
        <v>0</v>
      </c>
    </row>
    <row r="1182" spans="1:26" ht="18" customHeight="1" x14ac:dyDescent="0.25">
      <c r="A1182" s="11">
        <v>136</v>
      </c>
      <c r="B1182" s="52" t="s">
        <v>3052</v>
      </c>
      <c r="C1182" s="53" t="s">
        <v>3053</v>
      </c>
      <c r="D1182" s="13" t="s">
        <v>28</v>
      </c>
      <c r="E1182" s="53" t="s">
        <v>2933</v>
      </c>
      <c r="F1182" s="54" t="s">
        <v>24</v>
      </c>
      <c r="G1182" s="116">
        <v>4400</v>
      </c>
      <c r="H1182" s="52" t="s">
        <v>25</v>
      </c>
      <c r="I1182" s="56" t="s">
        <v>3054</v>
      </c>
      <c r="J1182" s="56">
        <v>48561</v>
      </c>
      <c r="K1182" s="56">
        <v>48917</v>
      </c>
      <c r="L1182" s="18">
        <v>356</v>
      </c>
      <c r="M1182" s="19">
        <v>605033</v>
      </c>
      <c r="N1182" s="20">
        <v>0</v>
      </c>
      <c r="O1182" s="20">
        <v>0</v>
      </c>
      <c r="P1182" s="20">
        <v>0</v>
      </c>
      <c r="Q1182" s="20">
        <v>0</v>
      </c>
      <c r="R1182" s="19">
        <f t="shared" si="164"/>
        <v>605033</v>
      </c>
      <c r="S1182" s="19">
        <v>3000</v>
      </c>
      <c r="T1182" s="19">
        <f t="shared" si="165"/>
        <v>608033</v>
      </c>
      <c r="U1182" s="105"/>
      <c r="X1182" s="10">
        <f t="shared" si="160"/>
        <v>605033</v>
      </c>
      <c r="Y1182" s="2">
        <f t="shared" si="161"/>
        <v>0</v>
      </c>
      <c r="Z1182" s="10">
        <f t="shared" si="166"/>
        <v>0</v>
      </c>
    </row>
    <row r="1183" spans="1:26" ht="18" customHeight="1" x14ac:dyDescent="0.25">
      <c r="A1183" s="11">
        <v>137</v>
      </c>
      <c r="B1183" s="52" t="s">
        <v>3055</v>
      </c>
      <c r="C1183" s="53" t="s">
        <v>3056</v>
      </c>
      <c r="D1183" s="13" t="s">
        <v>28</v>
      </c>
      <c r="E1183" s="53" t="s">
        <v>3057</v>
      </c>
      <c r="F1183" s="54" t="s">
        <v>24</v>
      </c>
      <c r="G1183" s="116">
        <v>4400</v>
      </c>
      <c r="H1183" s="52" t="s">
        <v>25</v>
      </c>
      <c r="I1183" s="56" t="s">
        <v>3058</v>
      </c>
      <c r="J1183" s="56">
        <v>28423</v>
      </c>
      <c r="K1183" s="56">
        <v>29859</v>
      </c>
      <c r="L1183" s="18">
        <v>1436</v>
      </c>
      <c r="M1183" s="19">
        <v>2440525</v>
      </c>
      <c r="N1183" s="20">
        <v>0</v>
      </c>
      <c r="O1183" s="20">
        <v>0</v>
      </c>
      <c r="P1183" s="20">
        <v>0</v>
      </c>
      <c r="Q1183" s="20">
        <v>0</v>
      </c>
      <c r="R1183" s="19">
        <f t="shared" si="164"/>
        <v>2440525</v>
      </c>
      <c r="S1183" s="19">
        <v>3000</v>
      </c>
      <c r="T1183" s="19">
        <f t="shared" si="165"/>
        <v>2443525</v>
      </c>
      <c r="U1183" s="105"/>
      <c r="X1183" s="10">
        <f t="shared" si="160"/>
        <v>2440525</v>
      </c>
      <c r="Y1183" s="2">
        <f t="shared" si="161"/>
        <v>0</v>
      </c>
      <c r="Z1183" s="10">
        <f t="shared" si="166"/>
        <v>0</v>
      </c>
    </row>
    <row r="1184" spans="1:26" ht="18" customHeight="1" x14ac:dyDescent="0.25">
      <c r="A1184" s="11">
        <v>138</v>
      </c>
      <c r="B1184" s="52" t="s">
        <v>3059</v>
      </c>
      <c r="C1184" s="53" t="s">
        <v>3060</v>
      </c>
      <c r="D1184" s="13" t="s">
        <v>28</v>
      </c>
      <c r="E1184" s="53" t="s">
        <v>3061</v>
      </c>
      <c r="F1184" s="54" t="s">
        <v>24</v>
      </c>
      <c r="G1184" s="116">
        <v>5500</v>
      </c>
      <c r="H1184" s="52" t="s">
        <v>25</v>
      </c>
      <c r="I1184" s="56" t="s">
        <v>3062</v>
      </c>
      <c r="J1184" s="56">
        <v>4700</v>
      </c>
      <c r="K1184" s="56">
        <v>5259</v>
      </c>
      <c r="L1184" s="18">
        <v>559</v>
      </c>
      <c r="M1184" s="19">
        <v>950037</v>
      </c>
      <c r="N1184" s="20">
        <v>0</v>
      </c>
      <c r="O1184" s="20">
        <v>0</v>
      </c>
      <c r="P1184" s="20">
        <v>0</v>
      </c>
      <c r="Q1184" s="20">
        <v>0</v>
      </c>
      <c r="R1184" s="19">
        <f t="shared" si="164"/>
        <v>950037</v>
      </c>
      <c r="S1184" s="19">
        <v>3000</v>
      </c>
      <c r="T1184" s="19">
        <f t="shared" si="165"/>
        <v>953037</v>
      </c>
      <c r="U1184" s="105"/>
      <c r="X1184" s="10">
        <f t="shared" si="160"/>
        <v>950037</v>
      </c>
      <c r="Y1184" s="2">
        <f t="shared" si="161"/>
        <v>0</v>
      </c>
      <c r="Z1184" s="10">
        <f t="shared" si="166"/>
        <v>0</v>
      </c>
    </row>
    <row r="1185" spans="1:26" ht="18" customHeight="1" x14ac:dyDescent="0.25">
      <c r="A1185" s="11">
        <v>139</v>
      </c>
      <c r="B1185" s="52" t="s">
        <v>3063</v>
      </c>
      <c r="C1185" s="53" t="s">
        <v>3064</v>
      </c>
      <c r="D1185" s="13" t="s">
        <v>28</v>
      </c>
      <c r="E1185" s="53" t="s">
        <v>3061</v>
      </c>
      <c r="F1185" s="54" t="s">
        <v>24</v>
      </c>
      <c r="G1185" s="116">
        <v>5500</v>
      </c>
      <c r="H1185" s="52" t="s">
        <v>25</v>
      </c>
      <c r="I1185" s="56" t="s">
        <v>3065</v>
      </c>
      <c r="J1185" s="56">
        <v>85246</v>
      </c>
      <c r="K1185" s="56">
        <v>85978</v>
      </c>
      <c r="L1185" s="18">
        <v>732</v>
      </c>
      <c r="M1185" s="19">
        <v>1244056</v>
      </c>
      <c r="N1185" s="20">
        <v>0</v>
      </c>
      <c r="O1185" s="20">
        <v>0</v>
      </c>
      <c r="P1185" s="20">
        <v>0</v>
      </c>
      <c r="Q1185" s="20">
        <v>0</v>
      </c>
      <c r="R1185" s="19">
        <f t="shared" si="164"/>
        <v>1244056</v>
      </c>
      <c r="S1185" s="19">
        <v>3000</v>
      </c>
      <c r="T1185" s="19">
        <f t="shared" si="165"/>
        <v>1247056</v>
      </c>
      <c r="U1185" s="105"/>
      <c r="X1185" s="10">
        <f t="shared" si="160"/>
        <v>1244056</v>
      </c>
      <c r="Y1185" s="2">
        <f t="shared" si="161"/>
        <v>0</v>
      </c>
      <c r="Z1185" s="10">
        <f t="shared" si="166"/>
        <v>0</v>
      </c>
    </row>
    <row r="1186" spans="1:26" ht="18" customHeight="1" x14ac:dyDescent="0.25">
      <c r="A1186" s="11">
        <v>140</v>
      </c>
      <c r="B1186" s="52" t="s">
        <v>3066</v>
      </c>
      <c r="C1186" s="53" t="s">
        <v>3067</v>
      </c>
      <c r="D1186" s="13" t="s">
        <v>28</v>
      </c>
      <c r="E1186" s="53" t="s">
        <v>579</v>
      </c>
      <c r="F1186" s="54" t="s">
        <v>24</v>
      </c>
      <c r="G1186" s="116">
        <v>5500</v>
      </c>
      <c r="H1186" s="52" t="s">
        <v>25</v>
      </c>
      <c r="I1186" s="56" t="s">
        <v>3068</v>
      </c>
      <c r="J1186" s="56">
        <v>1</v>
      </c>
      <c r="K1186" s="56">
        <v>1</v>
      </c>
      <c r="L1186" s="18">
        <v>220</v>
      </c>
      <c r="M1186" s="19">
        <v>373897</v>
      </c>
      <c r="N1186" s="20">
        <v>0</v>
      </c>
      <c r="O1186" s="20">
        <v>0</v>
      </c>
      <c r="P1186" s="20">
        <v>0</v>
      </c>
      <c r="Q1186" s="20">
        <v>0</v>
      </c>
      <c r="R1186" s="19">
        <f t="shared" si="164"/>
        <v>373897</v>
      </c>
      <c r="S1186" s="19">
        <v>3000</v>
      </c>
      <c r="T1186" s="19">
        <f t="shared" si="165"/>
        <v>376897</v>
      </c>
      <c r="U1186" s="105"/>
      <c r="X1186" s="10">
        <f t="shared" si="160"/>
        <v>373897</v>
      </c>
      <c r="Y1186" s="2">
        <f t="shared" si="161"/>
        <v>0</v>
      </c>
      <c r="Z1186" s="10">
        <f t="shared" si="166"/>
        <v>0</v>
      </c>
    </row>
    <row r="1187" spans="1:26" ht="18" customHeight="1" x14ac:dyDescent="0.25">
      <c r="A1187" s="11">
        <v>141</v>
      </c>
      <c r="B1187" s="52" t="s">
        <v>3069</v>
      </c>
      <c r="C1187" s="53" t="s">
        <v>3070</v>
      </c>
      <c r="D1187" s="13" t="s">
        <v>28</v>
      </c>
      <c r="E1187" s="53" t="s">
        <v>3071</v>
      </c>
      <c r="F1187" s="54" t="s">
        <v>24</v>
      </c>
      <c r="G1187" s="116">
        <v>7700</v>
      </c>
      <c r="H1187" s="52" t="s">
        <v>25</v>
      </c>
      <c r="I1187" s="56" t="s">
        <v>3072</v>
      </c>
      <c r="J1187" s="56">
        <v>35957</v>
      </c>
      <c r="K1187" s="56">
        <v>38584</v>
      </c>
      <c r="L1187" s="18">
        <v>2627</v>
      </c>
      <c r="M1187" s="19">
        <v>4464665</v>
      </c>
      <c r="N1187" s="20">
        <v>0</v>
      </c>
      <c r="O1187" s="20">
        <v>0</v>
      </c>
      <c r="P1187" s="20">
        <v>0</v>
      </c>
      <c r="Q1187" s="20">
        <v>0</v>
      </c>
      <c r="R1187" s="19">
        <f t="shared" si="164"/>
        <v>4464665</v>
      </c>
      <c r="S1187" s="19">
        <v>3000</v>
      </c>
      <c r="T1187" s="19">
        <f t="shared" si="165"/>
        <v>4467665</v>
      </c>
      <c r="U1187" s="105"/>
      <c r="X1187" s="10">
        <f t="shared" si="160"/>
        <v>4464665</v>
      </c>
      <c r="Y1187" s="2">
        <f t="shared" si="161"/>
        <v>0</v>
      </c>
      <c r="Z1187" s="10">
        <f t="shared" si="166"/>
        <v>0</v>
      </c>
    </row>
    <row r="1188" spans="1:26" ht="18" customHeight="1" x14ac:dyDescent="0.25">
      <c r="A1188" s="11">
        <v>142</v>
      </c>
      <c r="B1188" s="52" t="s">
        <v>3073</v>
      </c>
      <c r="C1188" s="53" t="s">
        <v>3074</v>
      </c>
      <c r="D1188" s="13" t="s">
        <v>28</v>
      </c>
      <c r="E1188" s="53" t="s">
        <v>2598</v>
      </c>
      <c r="F1188" s="54" t="s">
        <v>24</v>
      </c>
      <c r="G1188" s="116">
        <v>5500</v>
      </c>
      <c r="H1188" s="52" t="s">
        <v>25</v>
      </c>
      <c r="I1188" s="56" t="s">
        <v>3075</v>
      </c>
      <c r="J1188" s="56">
        <v>23446</v>
      </c>
      <c r="K1188" s="56">
        <v>23626</v>
      </c>
      <c r="L1188" s="18">
        <v>220</v>
      </c>
      <c r="M1188" s="19">
        <v>373897</v>
      </c>
      <c r="N1188" s="20">
        <v>0</v>
      </c>
      <c r="O1188" s="20">
        <v>0</v>
      </c>
      <c r="P1188" s="20">
        <v>0</v>
      </c>
      <c r="Q1188" s="20">
        <v>0</v>
      </c>
      <c r="R1188" s="19">
        <f t="shared" si="164"/>
        <v>373897</v>
      </c>
      <c r="S1188" s="19">
        <v>3000</v>
      </c>
      <c r="T1188" s="19">
        <f t="shared" si="165"/>
        <v>376897</v>
      </c>
      <c r="U1188" s="105"/>
      <c r="X1188" s="10">
        <f t="shared" si="160"/>
        <v>373897</v>
      </c>
      <c r="Y1188" s="2">
        <f t="shared" si="161"/>
        <v>0</v>
      </c>
      <c r="Z1188" s="10">
        <f t="shared" si="166"/>
        <v>0</v>
      </c>
    </row>
    <row r="1189" spans="1:26" ht="18" customHeight="1" x14ac:dyDescent="0.25">
      <c r="A1189" s="11">
        <v>143</v>
      </c>
      <c r="B1189" s="52" t="s">
        <v>3076</v>
      </c>
      <c r="C1189" s="53" t="s">
        <v>3077</v>
      </c>
      <c r="D1189" s="13" t="s">
        <v>28</v>
      </c>
      <c r="E1189" s="53" t="s">
        <v>3078</v>
      </c>
      <c r="F1189" s="54" t="s">
        <v>24</v>
      </c>
      <c r="G1189" s="116">
        <v>5500</v>
      </c>
      <c r="H1189" s="52" t="s">
        <v>25</v>
      </c>
      <c r="I1189" s="56" t="s">
        <v>3079</v>
      </c>
      <c r="J1189" s="56">
        <v>11527</v>
      </c>
      <c r="K1189" s="56">
        <v>12592</v>
      </c>
      <c r="L1189" s="18">
        <v>1065</v>
      </c>
      <c r="M1189" s="19">
        <v>1809999</v>
      </c>
      <c r="N1189" s="20">
        <v>0</v>
      </c>
      <c r="O1189" s="20">
        <v>0</v>
      </c>
      <c r="P1189" s="20">
        <v>0</v>
      </c>
      <c r="Q1189" s="20">
        <v>0</v>
      </c>
      <c r="R1189" s="19">
        <f t="shared" si="164"/>
        <v>1809999</v>
      </c>
      <c r="S1189" s="19">
        <v>3000</v>
      </c>
      <c r="T1189" s="19">
        <f t="shared" si="165"/>
        <v>1812999</v>
      </c>
      <c r="U1189" s="105"/>
      <c r="X1189" s="10">
        <f t="shared" si="160"/>
        <v>1809999</v>
      </c>
      <c r="Y1189" s="2">
        <f t="shared" si="161"/>
        <v>0</v>
      </c>
      <c r="Z1189" s="10">
        <f t="shared" si="166"/>
        <v>0</v>
      </c>
    </row>
    <row r="1190" spans="1:26" ht="18" customHeight="1" x14ac:dyDescent="0.25">
      <c r="A1190" s="11">
        <v>144</v>
      </c>
      <c r="B1190" s="52" t="s">
        <v>3080</v>
      </c>
      <c r="C1190" s="53" t="s">
        <v>3081</v>
      </c>
      <c r="D1190" s="13" t="s">
        <v>28</v>
      </c>
      <c r="E1190" s="53" t="s">
        <v>579</v>
      </c>
      <c r="F1190" s="54" t="s">
        <v>24</v>
      </c>
      <c r="G1190" s="116">
        <v>2200</v>
      </c>
      <c r="H1190" s="52" t="s">
        <v>25</v>
      </c>
      <c r="I1190" s="56" t="s">
        <v>709</v>
      </c>
      <c r="J1190" s="56">
        <v>2685</v>
      </c>
      <c r="K1190" s="56">
        <v>2760</v>
      </c>
      <c r="L1190" s="18">
        <v>88</v>
      </c>
      <c r="M1190" s="19">
        <v>149559</v>
      </c>
      <c r="N1190" s="20">
        <v>0</v>
      </c>
      <c r="O1190" s="20">
        <v>0</v>
      </c>
      <c r="P1190" s="20">
        <v>0</v>
      </c>
      <c r="Q1190" s="20">
        <v>0</v>
      </c>
      <c r="R1190" s="19">
        <f t="shared" si="164"/>
        <v>149559</v>
      </c>
      <c r="S1190" s="19">
        <v>3000</v>
      </c>
      <c r="T1190" s="19">
        <f t="shared" si="165"/>
        <v>152559</v>
      </c>
      <c r="U1190" s="105"/>
      <c r="X1190" s="10">
        <f t="shared" si="160"/>
        <v>149559</v>
      </c>
      <c r="Y1190" s="2">
        <f t="shared" si="161"/>
        <v>0</v>
      </c>
      <c r="Z1190" s="10">
        <f t="shared" si="166"/>
        <v>0</v>
      </c>
    </row>
    <row r="1191" spans="1:26" ht="18" customHeight="1" x14ac:dyDescent="0.25">
      <c r="A1191" s="11">
        <v>145</v>
      </c>
      <c r="B1191" s="52" t="s">
        <v>3082</v>
      </c>
      <c r="C1191" s="53" t="s">
        <v>3083</v>
      </c>
      <c r="D1191" s="13" t="s">
        <v>28</v>
      </c>
      <c r="E1191" s="53" t="s">
        <v>3084</v>
      </c>
      <c r="F1191" s="54" t="s">
        <v>24</v>
      </c>
      <c r="G1191" s="116">
        <v>4400</v>
      </c>
      <c r="H1191" s="52" t="s">
        <v>25</v>
      </c>
      <c r="I1191" s="56" t="s">
        <v>3085</v>
      </c>
      <c r="J1191" s="56">
        <v>11585</v>
      </c>
      <c r="K1191" s="56">
        <v>12453</v>
      </c>
      <c r="L1191" s="18">
        <v>868</v>
      </c>
      <c r="M1191" s="19">
        <v>1475192</v>
      </c>
      <c r="N1191" s="20">
        <v>0</v>
      </c>
      <c r="O1191" s="20">
        <v>0</v>
      </c>
      <c r="P1191" s="20">
        <v>0</v>
      </c>
      <c r="Q1191" s="20">
        <v>0</v>
      </c>
      <c r="R1191" s="19">
        <f t="shared" si="164"/>
        <v>1475192</v>
      </c>
      <c r="S1191" s="19">
        <v>3000</v>
      </c>
      <c r="T1191" s="19">
        <f t="shared" si="165"/>
        <v>1478192</v>
      </c>
      <c r="U1191" s="105"/>
      <c r="X1191" s="10">
        <f t="shared" si="160"/>
        <v>1475192</v>
      </c>
      <c r="Y1191" s="2">
        <f t="shared" si="161"/>
        <v>0</v>
      </c>
      <c r="Z1191" s="10">
        <f t="shared" si="166"/>
        <v>0</v>
      </c>
    </row>
    <row r="1192" spans="1:26" ht="18" customHeight="1" x14ac:dyDescent="0.25">
      <c r="A1192" s="11">
        <v>146</v>
      </c>
      <c r="B1192" s="52" t="s">
        <v>3086</v>
      </c>
      <c r="C1192" s="53" t="s">
        <v>3087</v>
      </c>
      <c r="D1192" s="13" t="s">
        <v>28</v>
      </c>
      <c r="E1192" s="53" t="s">
        <v>3088</v>
      </c>
      <c r="F1192" s="54" t="s">
        <v>24</v>
      </c>
      <c r="G1192" s="116">
        <v>4400</v>
      </c>
      <c r="H1192" s="52" t="s">
        <v>25</v>
      </c>
      <c r="I1192" s="56" t="s">
        <v>3089</v>
      </c>
      <c r="J1192" s="56">
        <v>26876</v>
      </c>
      <c r="K1192" s="56">
        <v>26964</v>
      </c>
      <c r="L1192" s="18">
        <v>176</v>
      </c>
      <c r="M1192" s="19">
        <v>299117</v>
      </c>
      <c r="N1192" s="20">
        <v>0</v>
      </c>
      <c r="O1192" s="20">
        <v>0</v>
      </c>
      <c r="P1192" s="20">
        <v>0</v>
      </c>
      <c r="Q1192" s="20">
        <v>0</v>
      </c>
      <c r="R1192" s="19">
        <f t="shared" si="164"/>
        <v>299117</v>
      </c>
      <c r="S1192" s="19">
        <v>3000</v>
      </c>
      <c r="T1192" s="19">
        <f t="shared" si="165"/>
        <v>302117</v>
      </c>
      <c r="U1192" s="105"/>
      <c r="X1192" s="10">
        <f t="shared" si="160"/>
        <v>299117</v>
      </c>
      <c r="Y1192" s="2">
        <f t="shared" si="161"/>
        <v>0</v>
      </c>
      <c r="Z1192" s="10">
        <f t="shared" si="166"/>
        <v>0</v>
      </c>
    </row>
    <row r="1193" spans="1:26" ht="18" customHeight="1" x14ac:dyDescent="0.25">
      <c r="A1193" s="11">
        <v>147</v>
      </c>
      <c r="B1193" s="52" t="s">
        <v>3090</v>
      </c>
      <c r="C1193" s="53" t="s">
        <v>3091</v>
      </c>
      <c r="D1193" s="13" t="s">
        <v>28</v>
      </c>
      <c r="E1193" s="53" t="s">
        <v>3092</v>
      </c>
      <c r="F1193" s="54" t="s">
        <v>24</v>
      </c>
      <c r="G1193" s="116">
        <v>4400</v>
      </c>
      <c r="H1193" s="52" t="s">
        <v>25</v>
      </c>
      <c r="I1193" s="56" t="s">
        <v>3093</v>
      </c>
      <c r="J1193" s="56">
        <v>27304</v>
      </c>
      <c r="K1193" s="56">
        <v>27956</v>
      </c>
      <c r="L1193" s="18">
        <v>652</v>
      </c>
      <c r="M1193" s="19">
        <v>1108094</v>
      </c>
      <c r="N1193" s="20">
        <v>0</v>
      </c>
      <c r="O1193" s="20">
        <v>0</v>
      </c>
      <c r="P1193" s="20">
        <v>0</v>
      </c>
      <c r="Q1193" s="20">
        <v>0</v>
      </c>
      <c r="R1193" s="19">
        <f t="shared" si="164"/>
        <v>1108094</v>
      </c>
      <c r="S1193" s="19">
        <v>3000</v>
      </c>
      <c r="T1193" s="19">
        <f t="shared" si="165"/>
        <v>1111094</v>
      </c>
      <c r="U1193" s="105"/>
      <c r="X1193" s="10">
        <f t="shared" si="160"/>
        <v>1108094</v>
      </c>
      <c r="Y1193" s="2">
        <f t="shared" si="161"/>
        <v>0</v>
      </c>
      <c r="Z1193" s="10">
        <f t="shared" si="166"/>
        <v>0</v>
      </c>
    </row>
    <row r="1194" spans="1:26" ht="18" customHeight="1" x14ac:dyDescent="0.25">
      <c r="A1194" s="11">
        <v>148</v>
      </c>
      <c r="B1194" s="52" t="s">
        <v>3094</v>
      </c>
      <c r="C1194" s="53" t="s">
        <v>3095</v>
      </c>
      <c r="D1194" s="13" t="s">
        <v>28</v>
      </c>
      <c r="E1194" s="53" t="s">
        <v>3096</v>
      </c>
      <c r="F1194" s="54" t="s">
        <v>24</v>
      </c>
      <c r="G1194" s="116">
        <v>3500</v>
      </c>
      <c r="H1194" s="52" t="s">
        <v>25</v>
      </c>
      <c r="I1194" s="56" t="s">
        <v>3097</v>
      </c>
      <c r="J1194" s="56">
        <v>84507</v>
      </c>
      <c r="K1194" s="56">
        <v>85697</v>
      </c>
      <c r="L1194" s="18">
        <v>1190</v>
      </c>
      <c r="M1194" s="19">
        <v>2022441</v>
      </c>
      <c r="N1194" s="20">
        <v>0</v>
      </c>
      <c r="O1194" s="20">
        <v>0</v>
      </c>
      <c r="P1194" s="20">
        <v>0</v>
      </c>
      <c r="Q1194" s="20">
        <v>0</v>
      </c>
      <c r="R1194" s="19">
        <f t="shared" si="164"/>
        <v>2022441</v>
      </c>
      <c r="S1194" s="19">
        <v>3000</v>
      </c>
      <c r="T1194" s="19">
        <f t="shared" si="165"/>
        <v>2025441</v>
      </c>
      <c r="U1194" s="105"/>
      <c r="X1194" s="10">
        <f t="shared" si="160"/>
        <v>2022441</v>
      </c>
      <c r="Y1194" s="2">
        <f t="shared" si="161"/>
        <v>0</v>
      </c>
      <c r="Z1194" s="10">
        <f t="shared" si="166"/>
        <v>0</v>
      </c>
    </row>
    <row r="1195" spans="1:26" ht="18" customHeight="1" x14ac:dyDescent="0.25">
      <c r="A1195" s="11">
        <v>149</v>
      </c>
      <c r="B1195" s="52" t="s">
        <v>3098</v>
      </c>
      <c r="C1195" s="53" t="s">
        <v>3099</v>
      </c>
      <c r="D1195" s="13" t="s">
        <v>28</v>
      </c>
      <c r="E1195" s="53" t="s">
        <v>3100</v>
      </c>
      <c r="F1195" s="54" t="s">
        <v>24</v>
      </c>
      <c r="G1195" s="116">
        <v>280</v>
      </c>
      <c r="H1195" s="52" t="s">
        <v>25</v>
      </c>
      <c r="I1195" s="56" t="s">
        <v>3101</v>
      </c>
      <c r="J1195" s="56">
        <v>200</v>
      </c>
      <c r="K1195" s="56">
        <v>200</v>
      </c>
      <c r="L1195" s="18">
        <v>105</v>
      </c>
      <c r="M1195" s="19">
        <v>178451</v>
      </c>
      <c r="N1195" s="20">
        <v>0</v>
      </c>
      <c r="O1195" s="20">
        <v>0</v>
      </c>
      <c r="P1195" s="20">
        <v>0</v>
      </c>
      <c r="Q1195" s="20">
        <v>0</v>
      </c>
      <c r="R1195" s="19">
        <f t="shared" si="164"/>
        <v>178451</v>
      </c>
      <c r="S1195" s="19">
        <v>3000</v>
      </c>
      <c r="T1195" s="19">
        <f t="shared" si="165"/>
        <v>181451</v>
      </c>
      <c r="U1195" s="105"/>
      <c r="X1195" s="10">
        <f t="shared" si="160"/>
        <v>178451</v>
      </c>
      <c r="Y1195" s="2">
        <f t="shared" si="161"/>
        <v>0</v>
      </c>
      <c r="Z1195" s="10">
        <f t="shared" si="166"/>
        <v>0</v>
      </c>
    </row>
    <row r="1196" spans="1:26" ht="18" customHeight="1" x14ac:dyDescent="0.25">
      <c r="A1196" s="11">
        <v>150</v>
      </c>
      <c r="B1196" s="52" t="s">
        <v>3102</v>
      </c>
      <c r="C1196" s="53" t="s">
        <v>3103</v>
      </c>
      <c r="D1196" s="13" t="s">
        <v>28</v>
      </c>
      <c r="E1196" s="53" t="s">
        <v>3104</v>
      </c>
      <c r="F1196" s="54" t="s">
        <v>24</v>
      </c>
      <c r="G1196" s="116">
        <v>3690</v>
      </c>
      <c r="H1196" s="52" t="s">
        <v>25</v>
      </c>
      <c r="I1196" s="56" t="s">
        <v>3105</v>
      </c>
      <c r="J1196" s="56">
        <v>0</v>
      </c>
      <c r="K1196" s="56">
        <v>0</v>
      </c>
      <c r="L1196" s="18">
        <v>1384</v>
      </c>
      <c r="M1196" s="19">
        <v>2352150</v>
      </c>
      <c r="N1196" s="20">
        <v>0</v>
      </c>
      <c r="O1196" s="20">
        <v>0</v>
      </c>
      <c r="P1196" s="20">
        <v>0</v>
      </c>
      <c r="Q1196" s="20">
        <v>0</v>
      </c>
      <c r="R1196" s="19">
        <f t="shared" si="164"/>
        <v>2352150</v>
      </c>
      <c r="S1196" s="19">
        <v>3000</v>
      </c>
      <c r="T1196" s="19">
        <f t="shared" si="165"/>
        <v>2355150</v>
      </c>
      <c r="U1196" s="105"/>
      <c r="X1196" s="10">
        <f t="shared" si="160"/>
        <v>2352150</v>
      </c>
      <c r="Y1196" s="2">
        <f t="shared" si="161"/>
        <v>0</v>
      </c>
      <c r="Z1196" s="10">
        <f t="shared" si="166"/>
        <v>0</v>
      </c>
    </row>
    <row r="1197" spans="1:26" ht="18" customHeight="1" x14ac:dyDescent="0.25">
      <c r="A1197" s="11">
        <v>151</v>
      </c>
      <c r="B1197" s="52" t="s">
        <v>3106</v>
      </c>
      <c r="C1197" s="53" t="s">
        <v>3107</v>
      </c>
      <c r="D1197" s="13" t="s">
        <v>28</v>
      </c>
      <c r="E1197" s="53" t="s">
        <v>3108</v>
      </c>
      <c r="F1197" s="54" t="s">
        <v>24</v>
      </c>
      <c r="G1197" s="116">
        <v>640</v>
      </c>
      <c r="H1197" s="52" t="s">
        <v>25</v>
      </c>
      <c r="I1197" s="56" t="s">
        <v>3109</v>
      </c>
      <c r="J1197" s="56">
        <v>457</v>
      </c>
      <c r="K1197" s="56">
        <v>457</v>
      </c>
      <c r="L1197" s="18">
        <v>240</v>
      </c>
      <c r="M1197" s="19">
        <v>407887</v>
      </c>
      <c r="N1197" s="20">
        <v>0</v>
      </c>
      <c r="O1197" s="20">
        <v>0</v>
      </c>
      <c r="P1197" s="20">
        <v>0</v>
      </c>
      <c r="Q1197" s="20">
        <v>0</v>
      </c>
      <c r="R1197" s="19">
        <f t="shared" si="164"/>
        <v>407887</v>
      </c>
      <c r="S1197" s="19">
        <v>3000</v>
      </c>
      <c r="T1197" s="19">
        <f t="shared" si="165"/>
        <v>410887</v>
      </c>
      <c r="U1197" s="105"/>
      <c r="X1197" s="10">
        <f t="shared" si="160"/>
        <v>407887</v>
      </c>
      <c r="Y1197" s="2">
        <f t="shared" si="161"/>
        <v>0</v>
      </c>
      <c r="Z1197" s="10">
        <f t="shared" si="166"/>
        <v>0</v>
      </c>
    </row>
    <row r="1198" spans="1:26" ht="18" customHeight="1" x14ac:dyDescent="0.25">
      <c r="A1198" s="11">
        <v>152</v>
      </c>
      <c r="B1198" s="52" t="s">
        <v>3110</v>
      </c>
      <c r="C1198" s="53" t="s">
        <v>3111</v>
      </c>
      <c r="D1198" s="13" t="s">
        <v>28</v>
      </c>
      <c r="E1198" s="53" t="s">
        <v>2721</v>
      </c>
      <c r="F1198" s="54" t="s">
        <v>24</v>
      </c>
      <c r="G1198" s="116">
        <v>1940</v>
      </c>
      <c r="H1198" s="52" t="s">
        <v>25</v>
      </c>
      <c r="I1198" s="56" t="s">
        <v>3112</v>
      </c>
      <c r="J1198" s="56">
        <v>0</v>
      </c>
      <c r="K1198" s="56">
        <v>0</v>
      </c>
      <c r="L1198" s="18">
        <v>728</v>
      </c>
      <c r="M1198" s="19">
        <v>1237258</v>
      </c>
      <c r="N1198" s="20">
        <v>0</v>
      </c>
      <c r="O1198" s="20">
        <v>0</v>
      </c>
      <c r="P1198" s="20">
        <v>0</v>
      </c>
      <c r="Q1198" s="20">
        <v>0</v>
      </c>
      <c r="R1198" s="19">
        <f t="shared" si="164"/>
        <v>1237258</v>
      </c>
      <c r="S1198" s="19">
        <v>3000</v>
      </c>
      <c r="T1198" s="19">
        <f t="shared" si="165"/>
        <v>1240258</v>
      </c>
      <c r="U1198" s="105"/>
      <c r="X1198" s="10">
        <f t="shared" si="160"/>
        <v>1237258</v>
      </c>
      <c r="Y1198" s="2">
        <f t="shared" si="161"/>
        <v>0</v>
      </c>
      <c r="Z1198" s="10">
        <f t="shared" si="166"/>
        <v>0</v>
      </c>
    </row>
    <row r="1199" spans="1:26" ht="18" customHeight="1" x14ac:dyDescent="0.25">
      <c r="A1199" s="11">
        <v>153</v>
      </c>
      <c r="B1199" s="52" t="s">
        <v>3113</v>
      </c>
      <c r="C1199" s="53" t="s">
        <v>3114</v>
      </c>
      <c r="D1199" s="13" t="s">
        <v>28</v>
      </c>
      <c r="E1199" s="53" t="s">
        <v>3115</v>
      </c>
      <c r="F1199" s="54" t="s">
        <v>24</v>
      </c>
      <c r="G1199" s="116">
        <v>1780</v>
      </c>
      <c r="H1199" s="52" t="s">
        <v>25</v>
      </c>
      <c r="I1199" s="56" t="s">
        <v>3116</v>
      </c>
      <c r="J1199" s="56">
        <v>40146</v>
      </c>
      <c r="K1199" s="56">
        <v>40146</v>
      </c>
      <c r="L1199" s="18">
        <v>668</v>
      </c>
      <c r="M1199" s="19">
        <v>1135286</v>
      </c>
      <c r="N1199" s="20">
        <v>0</v>
      </c>
      <c r="O1199" s="20">
        <v>0</v>
      </c>
      <c r="P1199" s="20">
        <v>0</v>
      </c>
      <c r="Q1199" s="20">
        <v>0</v>
      </c>
      <c r="R1199" s="19">
        <f t="shared" si="164"/>
        <v>1135286</v>
      </c>
      <c r="S1199" s="19">
        <v>3000</v>
      </c>
      <c r="T1199" s="19">
        <f t="shared" si="165"/>
        <v>1138286</v>
      </c>
      <c r="U1199" s="105"/>
      <c r="X1199" s="10">
        <f t="shared" si="160"/>
        <v>1135286</v>
      </c>
      <c r="Y1199" s="2">
        <f t="shared" si="161"/>
        <v>0</v>
      </c>
      <c r="Z1199" s="10">
        <f t="shared" si="166"/>
        <v>0</v>
      </c>
    </row>
    <row r="1200" spans="1:26" ht="18" customHeight="1" x14ac:dyDescent="0.25">
      <c r="A1200" s="11">
        <v>154</v>
      </c>
      <c r="B1200" s="52" t="s">
        <v>3117</v>
      </c>
      <c r="C1200" s="53" t="s">
        <v>3118</v>
      </c>
      <c r="D1200" s="13" t="s">
        <v>28</v>
      </c>
      <c r="E1200" s="53" t="s">
        <v>3119</v>
      </c>
      <c r="F1200" s="54" t="s">
        <v>24</v>
      </c>
      <c r="G1200" s="116">
        <v>1820</v>
      </c>
      <c r="H1200" s="52" t="s">
        <v>25</v>
      </c>
      <c r="I1200" s="56" t="s">
        <v>3120</v>
      </c>
      <c r="J1200" s="56">
        <v>1356</v>
      </c>
      <c r="K1200" s="56">
        <v>1356</v>
      </c>
      <c r="L1200" s="18">
        <v>683</v>
      </c>
      <c r="M1200" s="19">
        <v>1160779</v>
      </c>
      <c r="N1200" s="20">
        <v>0</v>
      </c>
      <c r="O1200" s="20">
        <v>0</v>
      </c>
      <c r="P1200" s="20">
        <v>0</v>
      </c>
      <c r="Q1200" s="20">
        <v>0</v>
      </c>
      <c r="R1200" s="19">
        <f t="shared" si="164"/>
        <v>1160779</v>
      </c>
      <c r="S1200" s="19">
        <v>3000</v>
      </c>
      <c r="T1200" s="19">
        <f t="shared" si="165"/>
        <v>1163779</v>
      </c>
      <c r="U1200" s="105"/>
      <c r="X1200" s="10">
        <f t="shared" si="160"/>
        <v>1160779</v>
      </c>
      <c r="Y1200" s="2">
        <f t="shared" si="161"/>
        <v>0</v>
      </c>
      <c r="Z1200" s="10">
        <f t="shared" si="166"/>
        <v>0</v>
      </c>
    </row>
    <row r="1201" spans="1:26" ht="18" customHeight="1" x14ac:dyDescent="0.25">
      <c r="A1201" s="11">
        <v>155</v>
      </c>
      <c r="B1201" s="52" t="s">
        <v>3121</v>
      </c>
      <c r="C1201" s="53" t="s">
        <v>3122</v>
      </c>
      <c r="D1201" s="13" t="s">
        <v>28</v>
      </c>
      <c r="E1201" s="53" t="s">
        <v>3123</v>
      </c>
      <c r="F1201" s="54" t="s">
        <v>24</v>
      </c>
      <c r="G1201" s="116">
        <v>1140</v>
      </c>
      <c r="H1201" s="52" t="s">
        <v>25</v>
      </c>
      <c r="I1201" s="56" t="s">
        <v>3124</v>
      </c>
      <c r="J1201" s="56">
        <v>2188</v>
      </c>
      <c r="K1201" s="56">
        <v>2188</v>
      </c>
      <c r="L1201" s="18">
        <v>428</v>
      </c>
      <c r="M1201" s="19">
        <v>727399</v>
      </c>
      <c r="N1201" s="20">
        <v>0</v>
      </c>
      <c r="O1201" s="20">
        <v>0</v>
      </c>
      <c r="P1201" s="20">
        <v>0</v>
      </c>
      <c r="Q1201" s="20">
        <v>0</v>
      </c>
      <c r="R1201" s="19">
        <f t="shared" si="164"/>
        <v>727399</v>
      </c>
      <c r="S1201" s="19">
        <v>3000</v>
      </c>
      <c r="T1201" s="19">
        <f t="shared" si="165"/>
        <v>730399</v>
      </c>
      <c r="U1201" s="105"/>
      <c r="X1201" s="10">
        <f t="shared" si="160"/>
        <v>727399</v>
      </c>
      <c r="Y1201" s="2">
        <f t="shared" si="161"/>
        <v>0</v>
      </c>
      <c r="Z1201" s="10">
        <f t="shared" si="166"/>
        <v>0</v>
      </c>
    </row>
    <row r="1202" spans="1:26" ht="18" customHeight="1" x14ac:dyDescent="0.25">
      <c r="A1202" s="11">
        <v>156</v>
      </c>
      <c r="B1202" s="52" t="s">
        <v>3125</v>
      </c>
      <c r="C1202" s="53" t="s">
        <v>3126</v>
      </c>
      <c r="D1202" s="13" t="s">
        <v>28</v>
      </c>
      <c r="E1202" s="53" t="s">
        <v>2890</v>
      </c>
      <c r="F1202" s="54" t="s">
        <v>24</v>
      </c>
      <c r="G1202" s="116">
        <v>2450</v>
      </c>
      <c r="H1202" s="52" t="s">
        <v>25</v>
      </c>
      <c r="I1202" s="56" t="s">
        <v>3127</v>
      </c>
      <c r="J1202" s="56">
        <v>2219</v>
      </c>
      <c r="K1202" s="56">
        <v>2219</v>
      </c>
      <c r="L1202" s="18">
        <v>919</v>
      </c>
      <c r="M1202" s="19">
        <v>1561868</v>
      </c>
      <c r="N1202" s="20">
        <v>0</v>
      </c>
      <c r="O1202" s="20">
        <v>0</v>
      </c>
      <c r="P1202" s="20">
        <v>0</v>
      </c>
      <c r="Q1202" s="20">
        <v>0</v>
      </c>
      <c r="R1202" s="19">
        <f t="shared" si="164"/>
        <v>1561868</v>
      </c>
      <c r="S1202" s="19">
        <v>3000</v>
      </c>
      <c r="T1202" s="19">
        <f t="shared" si="165"/>
        <v>1564868</v>
      </c>
      <c r="U1202" s="105"/>
      <c r="X1202" s="10">
        <f t="shared" si="160"/>
        <v>1561868</v>
      </c>
      <c r="Y1202" s="2">
        <f t="shared" si="161"/>
        <v>0</v>
      </c>
      <c r="Z1202" s="10">
        <f t="shared" si="166"/>
        <v>0</v>
      </c>
    </row>
    <row r="1203" spans="1:26" ht="18" customHeight="1" x14ac:dyDescent="0.25">
      <c r="A1203" s="11">
        <v>157</v>
      </c>
      <c r="B1203" s="52" t="s">
        <v>3128</v>
      </c>
      <c r="C1203" s="53" t="s">
        <v>3129</v>
      </c>
      <c r="D1203" s="13" t="s">
        <v>28</v>
      </c>
      <c r="E1203" s="53" t="s">
        <v>3130</v>
      </c>
      <c r="F1203" s="54" t="s">
        <v>24</v>
      </c>
      <c r="G1203" s="116">
        <v>4590</v>
      </c>
      <c r="H1203" s="52" t="s">
        <v>25</v>
      </c>
      <c r="I1203" s="56" t="s">
        <v>3131</v>
      </c>
      <c r="J1203" s="56">
        <v>3275</v>
      </c>
      <c r="K1203" s="56">
        <v>3275</v>
      </c>
      <c r="L1203" s="18">
        <v>1721</v>
      </c>
      <c r="M1203" s="19">
        <v>2924891</v>
      </c>
      <c r="N1203" s="20">
        <v>0</v>
      </c>
      <c r="O1203" s="20">
        <v>0</v>
      </c>
      <c r="P1203" s="20">
        <v>0</v>
      </c>
      <c r="Q1203" s="20">
        <v>0</v>
      </c>
      <c r="R1203" s="19">
        <f t="shared" si="164"/>
        <v>2924891</v>
      </c>
      <c r="S1203" s="19">
        <v>3000</v>
      </c>
      <c r="T1203" s="19">
        <f t="shared" si="165"/>
        <v>2927891</v>
      </c>
      <c r="U1203" s="105"/>
      <c r="X1203" s="10">
        <f t="shared" si="160"/>
        <v>2924891</v>
      </c>
      <c r="Y1203" s="2">
        <f t="shared" si="161"/>
        <v>0</v>
      </c>
      <c r="Z1203" s="10">
        <f t="shared" si="166"/>
        <v>0</v>
      </c>
    </row>
    <row r="1204" spans="1:26" ht="18" customHeight="1" x14ac:dyDescent="0.25">
      <c r="A1204" s="11">
        <v>158</v>
      </c>
      <c r="B1204" s="52" t="s">
        <v>3132</v>
      </c>
      <c r="C1204" s="53" t="s">
        <v>3133</v>
      </c>
      <c r="D1204" s="13" t="s">
        <v>28</v>
      </c>
      <c r="E1204" s="53" t="s">
        <v>2890</v>
      </c>
      <c r="F1204" s="54" t="s">
        <v>24</v>
      </c>
      <c r="G1204" s="116">
        <v>3190</v>
      </c>
      <c r="H1204" s="52" t="s">
        <v>25</v>
      </c>
      <c r="I1204" s="56" t="s">
        <v>3134</v>
      </c>
      <c r="J1204" s="56">
        <v>0</v>
      </c>
      <c r="K1204" s="56">
        <v>0</v>
      </c>
      <c r="L1204" s="18">
        <v>1196</v>
      </c>
      <c r="M1204" s="19">
        <v>2032638</v>
      </c>
      <c r="N1204" s="20">
        <v>0</v>
      </c>
      <c r="O1204" s="20">
        <v>0</v>
      </c>
      <c r="P1204" s="20">
        <v>0</v>
      </c>
      <c r="Q1204" s="20">
        <v>0</v>
      </c>
      <c r="R1204" s="19">
        <f t="shared" si="164"/>
        <v>2032638</v>
      </c>
      <c r="S1204" s="19">
        <v>3000</v>
      </c>
      <c r="T1204" s="19">
        <f t="shared" si="165"/>
        <v>2035638</v>
      </c>
      <c r="U1204" s="105"/>
      <c r="X1204" s="10">
        <f t="shared" si="160"/>
        <v>2032638</v>
      </c>
      <c r="Y1204" s="2">
        <f t="shared" si="161"/>
        <v>0</v>
      </c>
      <c r="Z1204" s="10">
        <f t="shared" si="166"/>
        <v>0</v>
      </c>
    </row>
    <row r="1205" spans="1:26" ht="18" customHeight="1" x14ac:dyDescent="0.25">
      <c r="A1205" s="14">
        <v>159</v>
      </c>
      <c r="B1205" s="52" t="s">
        <v>3135</v>
      </c>
      <c r="C1205" s="53" t="s">
        <v>3136</v>
      </c>
      <c r="D1205" s="14" t="s">
        <v>28</v>
      </c>
      <c r="E1205" s="53" t="s">
        <v>3137</v>
      </c>
      <c r="F1205" s="54" t="s">
        <v>24</v>
      </c>
      <c r="G1205" s="116">
        <v>5440</v>
      </c>
      <c r="H1205" s="52" t="s">
        <v>25</v>
      </c>
      <c r="I1205" s="56" t="s">
        <v>3138</v>
      </c>
      <c r="J1205" s="56">
        <v>59</v>
      </c>
      <c r="K1205" s="56">
        <v>59</v>
      </c>
      <c r="L1205" s="18">
        <v>2040</v>
      </c>
      <c r="M1205" s="19">
        <v>3467041</v>
      </c>
      <c r="N1205" s="20">
        <v>0</v>
      </c>
      <c r="O1205" s="20">
        <v>0</v>
      </c>
      <c r="P1205" s="20">
        <v>0</v>
      </c>
      <c r="Q1205" s="20">
        <v>0</v>
      </c>
      <c r="R1205" s="19">
        <f t="shared" si="164"/>
        <v>3467041</v>
      </c>
      <c r="S1205" s="19">
        <v>3000</v>
      </c>
      <c r="T1205" s="19">
        <f t="shared" si="165"/>
        <v>3470041</v>
      </c>
      <c r="U1205" s="105"/>
      <c r="X1205" s="10">
        <f t="shared" si="160"/>
        <v>3467041</v>
      </c>
      <c r="Y1205" s="2">
        <f t="shared" si="161"/>
        <v>0</v>
      </c>
      <c r="Z1205" s="10">
        <f t="shared" si="166"/>
        <v>0</v>
      </c>
    </row>
    <row r="1206" spans="1:26" ht="18" customHeight="1" x14ac:dyDescent="0.25">
      <c r="A1206" s="14">
        <v>160</v>
      </c>
      <c r="B1206" s="52" t="s">
        <v>3139</v>
      </c>
      <c r="C1206" s="53" t="s">
        <v>3140</v>
      </c>
      <c r="D1206" s="14" t="s">
        <v>28</v>
      </c>
      <c r="E1206" s="53" t="s">
        <v>3141</v>
      </c>
      <c r="F1206" s="54" t="s">
        <v>24</v>
      </c>
      <c r="G1206" s="116">
        <v>3440</v>
      </c>
      <c r="H1206" s="52" t="s">
        <v>25</v>
      </c>
      <c r="I1206" s="56" t="s">
        <v>683</v>
      </c>
      <c r="J1206" s="56">
        <v>7873</v>
      </c>
      <c r="K1206" s="56">
        <v>7873</v>
      </c>
      <c r="L1206" s="18">
        <v>1290</v>
      </c>
      <c r="M1206" s="19">
        <v>2192394</v>
      </c>
      <c r="N1206" s="20">
        <v>0</v>
      </c>
      <c r="O1206" s="20">
        <v>0</v>
      </c>
      <c r="P1206" s="20">
        <v>0</v>
      </c>
      <c r="Q1206" s="20">
        <v>0</v>
      </c>
      <c r="R1206" s="19">
        <f t="shared" si="164"/>
        <v>2192394</v>
      </c>
      <c r="S1206" s="19">
        <v>3000</v>
      </c>
      <c r="T1206" s="19">
        <f t="shared" si="165"/>
        <v>2195394</v>
      </c>
      <c r="U1206" s="105"/>
      <c r="X1206" s="10">
        <f t="shared" si="160"/>
        <v>2192394</v>
      </c>
      <c r="Y1206" s="2">
        <f t="shared" si="161"/>
        <v>0</v>
      </c>
      <c r="Z1206" s="10">
        <f t="shared" si="166"/>
        <v>0</v>
      </c>
    </row>
    <row r="1207" spans="1:26" ht="18" customHeight="1" x14ac:dyDescent="0.25">
      <c r="A1207" s="11"/>
      <c r="B1207" s="67"/>
      <c r="C1207" s="14"/>
      <c r="D1207" s="13"/>
      <c r="E1207" s="14"/>
      <c r="F1207" s="15"/>
      <c r="G1207" s="118"/>
      <c r="H1207" s="18"/>
      <c r="I1207" s="15"/>
      <c r="J1207" s="15"/>
      <c r="K1207" s="15"/>
      <c r="L1207" s="18"/>
      <c r="M1207" s="19"/>
      <c r="N1207" s="20"/>
      <c r="O1207" s="20"/>
      <c r="P1207" s="20"/>
      <c r="Q1207" s="20"/>
      <c r="R1207" s="19"/>
      <c r="S1207" s="19"/>
      <c r="T1207" s="19"/>
      <c r="U1207" s="105"/>
      <c r="X1207" s="10">
        <f t="shared" si="160"/>
        <v>0</v>
      </c>
      <c r="Y1207" s="2">
        <f t="shared" si="161"/>
        <v>0</v>
      </c>
      <c r="Z1207" s="10"/>
    </row>
    <row r="1208" spans="1:26" ht="33.75" customHeight="1" x14ac:dyDescent="0.25">
      <c r="A1208" s="51"/>
      <c r="B1208" s="112"/>
      <c r="C1208" s="34"/>
      <c r="D1208" s="14"/>
      <c r="E1208" s="14" t="s">
        <v>139</v>
      </c>
      <c r="F1208" s="15"/>
      <c r="G1208" s="36">
        <f>SUM(G1166:G1207)</f>
        <v>864980</v>
      </c>
      <c r="H1208" s="36">
        <f t="shared" ref="H1208:R1208" si="167">SUM(H1166:H1207)</f>
        <v>0</v>
      </c>
      <c r="I1208" s="36">
        <f t="shared" si="167"/>
        <v>0</v>
      </c>
      <c r="J1208" s="36"/>
      <c r="K1208" s="36"/>
      <c r="L1208" s="36">
        <f t="shared" si="167"/>
        <v>218072</v>
      </c>
      <c r="M1208" s="37">
        <f t="shared" si="167"/>
        <v>370619907</v>
      </c>
      <c r="N1208" s="38">
        <f t="shared" si="167"/>
        <v>0</v>
      </c>
      <c r="O1208" s="38">
        <f t="shared" si="167"/>
        <v>0</v>
      </c>
      <c r="P1208" s="38">
        <f t="shared" si="167"/>
        <v>0</v>
      </c>
      <c r="Q1208" s="38">
        <f t="shared" si="167"/>
        <v>100000</v>
      </c>
      <c r="R1208" s="37">
        <f t="shared" si="167"/>
        <v>370719907</v>
      </c>
      <c r="S1208" s="37">
        <f>SUM(S1166:S1207)</f>
        <v>480000</v>
      </c>
      <c r="T1208" s="37">
        <f>SUM(T1166:T1207)</f>
        <v>371199907</v>
      </c>
      <c r="U1208" s="147"/>
      <c r="W1208" s="10"/>
      <c r="X1208" s="10">
        <f t="shared" si="160"/>
        <v>370619907</v>
      </c>
      <c r="Y1208" s="2">
        <f t="shared" si="161"/>
        <v>10000</v>
      </c>
      <c r="Z1208" s="10"/>
    </row>
    <row r="1209" spans="1:26" ht="18" customHeight="1" x14ac:dyDescent="0.25">
      <c r="A1209" s="25"/>
      <c r="B1209" s="115"/>
      <c r="C1209" s="99"/>
      <c r="E1209" s="4"/>
      <c r="G1209" s="39"/>
      <c r="H1209" s="39"/>
      <c r="L1209" s="31"/>
      <c r="X1209" s="10">
        <f t="shared" si="160"/>
        <v>0</v>
      </c>
      <c r="Y1209" s="2">
        <f t="shared" si="161"/>
        <v>0</v>
      </c>
      <c r="Z1209" s="10"/>
    </row>
    <row r="1210" spans="1:26" ht="18" customHeight="1" x14ac:dyDescent="0.25">
      <c r="A1210" s="25"/>
      <c r="B1210" s="115"/>
      <c r="E1210" s="4"/>
      <c r="G1210" s="39"/>
      <c r="H1210" s="39"/>
      <c r="L1210" s="31"/>
      <c r="X1210" s="10">
        <f t="shared" si="160"/>
        <v>0</v>
      </c>
      <c r="Y1210" s="2">
        <f t="shared" si="161"/>
        <v>0</v>
      </c>
      <c r="Z1210" s="10"/>
    </row>
    <row r="1211" spans="1:26" ht="18" customHeight="1" x14ac:dyDescent="0.25">
      <c r="B1211" s="88"/>
      <c r="L1211" s="31"/>
      <c r="X1211" s="10">
        <f t="shared" si="160"/>
        <v>0</v>
      </c>
      <c r="Y1211" s="2">
        <f t="shared" si="161"/>
        <v>0</v>
      </c>
      <c r="Z1211" s="10"/>
    </row>
    <row r="1212" spans="1:26" s="84" customFormat="1" ht="39" customHeight="1" x14ac:dyDescent="0.25">
      <c r="A1212" s="9" t="s">
        <v>4</v>
      </c>
      <c r="B1212" s="21" t="s">
        <v>5</v>
      </c>
      <c r="C1212" s="21" t="s">
        <v>6</v>
      </c>
      <c r="D1212" s="12"/>
      <c r="E1212" s="9" t="s">
        <v>7</v>
      </c>
      <c r="F1212" s="21" t="s">
        <v>8</v>
      </c>
      <c r="G1212" s="21" t="s">
        <v>9</v>
      </c>
      <c r="H1212" s="21" t="s">
        <v>10</v>
      </c>
      <c r="I1212" s="21" t="s">
        <v>11</v>
      </c>
      <c r="J1212" s="21" t="s">
        <v>12</v>
      </c>
      <c r="K1212" s="21" t="s">
        <v>13</v>
      </c>
      <c r="L1212" s="21" t="s">
        <v>14</v>
      </c>
      <c r="M1212" s="143" t="s">
        <v>15</v>
      </c>
      <c r="N1212" s="144" t="s">
        <v>16</v>
      </c>
      <c r="O1212" s="144" t="s">
        <v>17</v>
      </c>
      <c r="P1212" s="144" t="s">
        <v>18</v>
      </c>
      <c r="Q1212" s="144" t="s">
        <v>19</v>
      </c>
      <c r="R1212" s="143" t="s">
        <v>20</v>
      </c>
      <c r="S1212" s="143" t="s">
        <v>3471</v>
      </c>
      <c r="T1212" s="143" t="s">
        <v>3472</v>
      </c>
      <c r="U1212" s="145"/>
      <c r="V1212" s="145"/>
      <c r="W1212" s="145"/>
      <c r="X1212" s="145"/>
    </row>
    <row r="1213" spans="1:26" ht="18" customHeight="1" x14ac:dyDescent="0.25">
      <c r="A1213" s="11"/>
      <c r="B1213" s="67"/>
      <c r="C1213" s="14"/>
      <c r="D1213" s="13"/>
      <c r="E1213" s="14"/>
      <c r="F1213" s="15"/>
      <c r="G1213" s="118"/>
      <c r="H1213" s="18"/>
      <c r="I1213" s="15"/>
      <c r="J1213" s="15"/>
      <c r="K1213" s="15"/>
      <c r="L1213" s="18"/>
      <c r="M1213" s="19"/>
      <c r="N1213" s="20"/>
      <c r="O1213" s="20"/>
      <c r="P1213" s="20"/>
      <c r="Q1213" s="20"/>
      <c r="R1213" s="19"/>
      <c r="S1213" s="19"/>
      <c r="T1213" s="19"/>
      <c r="U1213" s="105"/>
      <c r="X1213" s="10">
        <f>M1213+N1213+O1213+P1213</f>
        <v>0</v>
      </c>
      <c r="Y1213" s="2">
        <f>IF(X1213&gt;5000000,10000,IF(V1213&lt;5000000,0,IF(V1213=5000000,10000)))</f>
        <v>0</v>
      </c>
      <c r="Z1213" s="10"/>
    </row>
    <row r="1214" spans="1:26" ht="18" customHeight="1" x14ac:dyDescent="0.25">
      <c r="A1214" s="11"/>
      <c r="B1214" s="107"/>
      <c r="C1214" s="13"/>
      <c r="D1214" s="13"/>
      <c r="E1214" s="35" t="s">
        <v>141</v>
      </c>
      <c r="F1214" s="15"/>
      <c r="G1214" s="61">
        <f>G1208</f>
        <v>864980</v>
      </c>
      <c r="H1214" s="61">
        <f t="shared" ref="H1214:R1214" si="168">H1208</f>
        <v>0</v>
      </c>
      <c r="I1214" s="61">
        <f t="shared" si="168"/>
        <v>0</v>
      </c>
      <c r="J1214" s="61"/>
      <c r="K1214" s="61"/>
      <c r="L1214" s="61">
        <f t="shared" si="168"/>
        <v>218072</v>
      </c>
      <c r="M1214" s="37">
        <f t="shared" si="168"/>
        <v>370619907</v>
      </c>
      <c r="N1214" s="38">
        <f t="shared" si="168"/>
        <v>0</v>
      </c>
      <c r="O1214" s="38">
        <f t="shared" si="168"/>
        <v>0</v>
      </c>
      <c r="P1214" s="38">
        <f t="shared" si="168"/>
        <v>0</v>
      </c>
      <c r="Q1214" s="38">
        <f t="shared" si="168"/>
        <v>100000</v>
      </c>
      <c r="R1214" s="37">
        <f t="shared" si="168"/>
        <v>370719907</v>
      </c>
      <c r="S1214" s="37">
        <f>S1208</f>
        <v>480000</v>
      </c>
      <c r="T1214" s="37">
        <f>T1208</f>
        <v>371199907</v>
      </c>
      <c r="U1214" s="147"/>
      <c r="X1214" s="10">
        <f t="shared" si="160"/>
        <v>370619907</v>
      </c>
      <c r="Y1214" s="2">
        <f t="shared" si="161"/>
        <v>10000</v>
      </c>
      <c r="Z1214" s="10"/>
    </row>
    <row r="1215" spans="1:26" ht="18" customHeight="1" x14ac:dyDescent="0.25">
      <c r="A1215" s="14">
        <v>161</v>
      </c>
      <c r="B1215" s="67" t="s">
        <v>3142</v>
      </c>
      <c r="C1215" s="14" t="s">
        <v>3143</v>
      </c>
      <c r="D1215" s="14" t="s">
        <v>28</v>
      </c>
      <c r="E1215" s="53" t="s">
        <v>3144</v>
      </c>
      <c r="F1215" s="54" t="s">
        <v>24</v>
      </c>
      <c r="G1215" s="116">
        <v>3450</v>
      </c>
      <c r="H1215" s="46" t="s">
        <v>25</v>
      </c>
      <c r="I1215" s="116" t="s">
        <v>3145</v>
      </c>
      <c r="J1215" s="116">
        <v>2463</v>
      </c>
      <c r="K1215" s="116">
        <v>2463</v>
      </c>
      <c r="L1215" s="18">
        <v>1294</v>
      </c>
      <c r="M1215" s="19">
        <v>2199192</v>
      </c>
      <c r="N1215" s="20">
        <v>0</v>
      </c>
      <c r="O1215" s="20">
        <v>0</v>
      </c>
      <c r="P1215" s="20">
        <v>0</v>
      </c>
      <c r="Q1215" s="20">
        <v>0</v>
      </c>
      <c r="R1215" s="19">
        <f t="shared" ref="R1215:R1254" si="169">M1215+N1215+O1215+P1215+Q1215</f>
        <v>2199192</v>
      </c>
      <c r="S1215" s="19">
        <v>3000</v>
      </c>
      <c r="T1215" s="19">
        <f t="shared" ref="T1215:T1254" si="170">R1215+S1215</f>
        <v>2202192</v>
      </c>
      <c r="U1215" s="105"/>
      <c r="X1215" s="10">
        <f t="shared" si="160"/>
        <v>2199192</v>
      </c>
      <c r="Y1215" s="2">
        <f t="shared" si="161"/>
        <v>0</v>
      </c>
      <c r="Z1215" s="10">
        <f t="shared" ref="Z1215:Z1254" si="171">Q1215-Y1215</f>
        <v>0</v>
      </c>
    </row>
    <row r="1216" spans="1:26" ht="18" customHeight="1" x14ac:dyDescent="0.25">
      <c r="A1216" s="14">
        <v>162</v>
      </c>
      <c r="B1216" s="67" t="s">
        <v>3146</v>
      </c>
      <c r="C1216" s="14" t="s">
        <v>3147</v>
      </c>
      <c r="D1216" s="14" t="s">
        <v>28</v>
      </c>
      <c r="E1216" s="53" t="s">
        <v>3148</v>
      </c>
      <c r="F1216" s="54" t="s">
        <v>24</v>
      </c>
      <c r="G1216" s="116">
        <v>2155</v>
      </c>
      <c r="H1216" s="46" t="s">
        <v>25</v>
      </c>
      <c r="I1216" s="116" t="s">
        <v>3149</v>
      </c>
      <c r="J1216" s="116">
        <v>0</v>
      </c>
      <c r="K1216" s="116">
        <v>0</v>
      </c>
      <c r="L1216" s="18">
        <v>808</v>
      </c>
      <c r="M1216" s="19">
        <v>1373220</v>
      </c>
      <c r="N1216" s="20">
        <v>0</v>
      </c>
      <c r="O1216" s="20">
        <v>0</v>
      </c>
      <c r="P1216" s="20">
        <v>0</v>
      </c>
      <c r="Q1216" s="20">
        <v>0</v>
      </c>
      <c r="R1216" s="19">
        <f t="shared" si="169"/>
        <v>1373220</v>
      </c>
      <c r="S1216" s="19">
        <v>3000</v>
      </c>
      <c r="T1216" s="19">
        <f t="shared" si="170"/>
        <v>1376220</v>
      </c>
      <c r="U1216" s="105"/>
      <c r="X1216" s="10">
        <f t="shared" ref="X1216:X1280" si="172">M1216+N1216+O1216+P1216</f>
        <v>1373220</v>
      </c>
      <c r="Y1216" s="2">
        <f t="shared" ref="Y1216:Y1280" si="173">IF(X1216&gt;5000000,10000,IF(V1216&lt;5000000,0,IF(V1216=5000000,10000)))</f>
        <v>0</v>
      </c>
      <c r="Z1216" s="10">
        <f t="shared" si="171"/>
        <v>0</v>
      </c>
    </row>
    <row r="1217" spans="1:26" ht="18" customHeight="1" x14ac:dyDescent="0.25">
      <c r="A1217" s="14">
        <v>163</v>
      </c>
      <c r="B1217" s="67" t="s">
        <v>3150</v>
      </c>
      <c r="C1217" s="14" t="s">
        <v>3151</v>
      </c>
      <c r="D1217" s="14" t="s">
        <v>28</v>
      </c>
      <c r="E1217" s="53" t="s">
        <v>3152</v>
      </c>
      <c r="F1217" s="54" t="s">
        <v>24</v>
      </c>
      <c r="G1217" s="116">
        <v>4400</v>
      </c>
      <c r="H1217" s="46" t="s">
        <v>25</v>
      </c>
      <c r="I1217" s="116" t="s">
        <v>651</v>
      </c>
      <c r="J1217" s="116">
        <v>18025</v>
      </c>
      <c r="K1217" s="116">
        <v>18547</v>
      </c>
      <c r="L1217" s="18">
        <v>522</v>
      </c>
      <c r="M1217" s="19">
        <v>887155</v>
      </c>
      <c r="N1217" s="20">
        <v>0</v>
      </c>
      <c r="O1217" s="20">
        <v>0</v>
      </c>
      <c r="P1217" s="20">
        <v>0</v>
      </c>
      <c r="Q1217" s="20">
        <v>0</v>
      </c>
      <c r="R1217" s="19">
        <f t="shared" si="169"/>
        <v>887155</v>
      </c>
      <c r="S1217" s="19">
        <v>3000</v>
      </c>
      <c r="T1217" s="19">
        <f t="shared" si="170"/>
        <v>890155</v>
      </c>
      <c r="U1217" s="105"/>
      <c r="X1217" s="10">
        <f t="shared" si="172"/>
        <v>887155</v>
      </c>
      <c r="Y1217" s="2">
        <f t="shared" si="173"/>
        <v>0</v>
      </c>
      <c r="Z1217" s="10">
        <f t="shared" si="171"/>
        <v>0</v>
      </c>
    </row>
    <row r="1218" spans="1:26" ht="18" customHeight="1" x14ac:dyDescent="0.25">
      <c r="A1218" s="14">
        <v>164</v>
      </c>
      <c r="B1218" s="67" t="s">
        <v>3153</v>
      </c>
      <c r="C1218" s="14" t="s">
        <v>3154</v>
      </c>
      <c r="D1218" s="14" t="s">
        <v>28</v>
      </c>
      <c r="E1218" s="53" t="s">
        <v>2728</v>
      </c>
      <c r="F1218" s="54" t="s">
        <v>24</v>
      </c>
      <c r="G1218" s="116">
        <v>3500</v>
      </c>
      <c r="H1218" s="46" t="s">
        <v>25</v>
      </c>
      <c r="I1218" s="116" t="s">
        <v>3155</v>
      </c>
      <c r="J1218" s="116">
        <v>38196</v>
      </c>
      <c r="K1218" s="116">
        <v>39181</v>
      </c>
      <c r="L1218" s="18">
        <v>985</v>
      </c>
      <c r="M1218" s="19">
        <v>1674037</v>
      </c>
      <c r="N1218" s="20">
        <v>0</v>
      </c>
      <c r="O1218" s="20">
        <v>0</v>
      </c>
      <c r="P1218" s="20">
        <v>0</v>
      </c>
      <c r="Q1218" s="20">
        <v>0</v>
      </c>
      <c r="R1218" s="19">
        <f t="shared" si="169"/>
        <v>1674037</v>
      </c>
      <c r="S1218" s="19">
        <v>3000</v>
      </c>
      <c r="T1218" s="19">
        <f t="shared" si="170"/>
        <v>1677037</v>
      </c>
      <c r="U1218" s="105"/>
      <c r="X1218" s="10">
        <f t="shared" si="172"/>
        <v>1674037</v>
      </c>
      <c r="Y1218" s="2">
        <f t="shared" si="173"/>
        <v>0</v>
      </c>
      <c r="Z1218" s="10">
        <f t="shared" si="171"/>
        <v>0</v>
      </c>
    </row>
    <row r="1219" spans="1:26" ht="18" customHeight="1" x14ac:dyDescent="0.25">
      <c r="A1219" s="14">
        <v>165</v>
      </c>
      <c r="B1219" s="67" t="s">
        <v>3156</v>
      </c>
      <c r="C1219" s="14" t="s">
        <v>3157</v>
      </c>
      <c r="D1219" s="14" t="s">
        <v>28</v>
      </c>
      <c r="E1219" s="53" t="s">
        <v>2902</v>
      </c>
      <c r="F1219" s="54" t="s">
        <v>24</v>
      </c>
      <c r="G1219" s="116">
        <v>2200</v>
      </c>
      <c r="H1219" s="46" t="s">
        <v>25</v>
      </c>
      <c r="I1219" s="116" t="s">
        <v>3158</v>
      </c>
      <c r="J1219" s="116">
        <v>2252</v>
      </c>
      <c r="K1219" s="116">
        <v>2782</v>
      </c>
      <c r="L1219" s="18">
        <v>530</v>
      </c>
      <c r="M1219" s="19">
        <v>900751</v>
      </c>
      <c r="N1219" s="20">
        <v>0</v>
      </c>
      <c r="O1219" s="20">
        <v>0</v>
      </c>
      <c r="P1219" s="20">
        <v>0</v>
      </c>
      <c r="Q1219" s="20">
        <v>0</v>
      </c>
      <c r="R1219" s="19">
        <f t="shared" si="169"/>
        <v>900751</v>
      </c>
      <c r="S1219" s="19">
        <v>3000</v>
      </c>
      <c r="T1219" s="19">
        <f t="shared" si="170"/>
        <v>903751</v>
      </c>
      <c r="U1219" s="105"/>
      <c r="X1219" s="10">
        <f t="shared" si="172"/>
        <v>900751</v>
      </c>
      <c r="Y1219" s="2">
        <f t="shared" si="173"/>
        <v>0</v>
      </c>
      <c r="Z1219" s="10">
        <f t="shared" si="171"/>
        <v>0</v>
      </c>
    </row>
    <row r="1220" spans="1:26" ht="18" customHeight="1" x14ac:dyDescent="0.25">
      <c r="A1220" s="14">
        <v>166</v>
      </c>
      <c r="B1220" s="67" t="s">
        <v>3159</v>
      </c>
      <c r="C1220" s="14" t="s">
        <v>3160</v>
      </c>
      <c r="D1220" s="14" t="s">
        <v>28</v>
      </c>
      <c r="E1220" s="53" t="s">
        <v>2906</v>
      </c>
      <c r="F1220" s="54" t="s">
        <v>24</v>
      </c>
      <c r="G1220" s="116">
        <v>2200</v>
      </c>
      <c r="H1220" s="46" t="s">
        <v>25</v>
      </c>
      <c r="I1220" s="116" t="s">
        <v>3161</v>
      </c>
      <c r="J1220" s="116">
        <v>45975</v>
      </c>
      <c r="K1220" s="116">
        <v>46872</v>
      </c>
      <c r="L1220" s="18">
        <v>897</v>
      </c>
      <c r="M1220" s="19">
        <v>1524478</v>
      </c>
      <c r="N1220" s="20">
        <v>0</v>
      </c>
      <c r="O1220" s="20">
        <v>0</v>
      </c>
      <c r="P1220" s="20">
        <v>0</v>
      </c>
      <c r="Q1220" s="20">
        <v>0</v>
      </c>
      <c r="R1220" s="19">
        <f t="shared" si="169"/>
        <v>1524478</v>
      </c>
      <c r="S1220" s="19">
        <v>3000</v>
      </c>
      <c r="T1220" s="19">
        <f t="shared" si="170"/>
        <v>1527478</v>
      </c>
      <c r="U1220" s="105"/>
      <c r="X1220" s="10">
        <f t="shared" si="172"/>
        <v>1524478</v>
      </c>
      <c r="Y1220" s="2">
        <f t="shared" si="173"/>
        <v>0</v>
      </c>
      <c r="Z1220" s="10">
        <f t="shared" si="171"/>
        <v>0</v>
      </c>
    </row>
    <row r="1221" spans="1:26" ht="18" customHeight="1" x14ac:dyDescent="0.25">
      <c r="A1221" s="14">
        <v>167</v>
      </c>
      <c r="B1221" s="67" t="s">
        <v>3162</v>
      </c>
      <c r="C1221" s="14" t="s">
        <v>3163</v>
      </c>
      <c r="D1221" s="14" t="s">
        <v>28</v>
      </c>
      <c r="E1221" s="53" t="s">
        <v>2748</v>
      </c>
      <c r="F1221" s="54" t="s">
        <v>24</v>
      </c>
      <c r="G1221" s="116">
        <v>2200</v>
      </c>
      <c r="H1221" s="46" t="s">
        <v>25</v>
      </c>
      <c r="I1221" s="116" t="s">
        <v>3164</v>
      </c>
      <c r="J1221" s="116">
        <v>47019</v>
      </c>
      <c r="K1221" s="116">
        <v>48077</v>
      </c>
      <c r="L1221" s="18">
        <v>1058</v>
      </c>
      <c r="M1221" s="19">
        <v>1798103</v>
      </c>
      <c r="N1221" s="20">
        <v>0</v>
      </c>
      <c r="O1221" s="20">
        <v>0</v>
      </c>
      <c r="P1221" s="20">
        <v>0</v>
      </c>
      <c r="Q1221" s="20">
        <v>0</v>
      </c>
      <c r="R1221" s="19">
        <f t="shared" si="169"/>
        <v>1798103</v>
      </c>
      <c r="S1221" s="19">
        <v>3000</v>
      </c>
      <c r="T1221" s="19">
        <f t="shared" si="170"/>
        <v>1801103</v>
      </c>
      <c r="U1221" s="105"/>
      <c r="X1221" s="10">
        <f t="shared" si="172"/>
        <v>1798103</v>
      </c>
      <c r="Y1221" s="2">
        <f t="shared" si="173"/>
        <v>0</v>
      </c>
      <c r="Z1221" s="10">
        <f t="shared" si="171"/>
        <v>0</v>
      </c>
    </row>
    <row r="1222" spans="1:26" ht="18" customHeight="1" x14ac:dyDescent="0.25">
      <c r="A1222" s="14">
        <v>168</v>
      </c>
      <c r="B1222" s="67" t="s">
        <v>3165</v>
      </c>
      <c r="C1222" s="14" t="s">
        <v>3166</v>
      </c>
      <c r="D1222" s="14" t="s">
        <v>28</v>
      </c>
      <c r="E1222" s="53" t="s">
        <v>3167</v>
      </c>
      <c r="F1222" s="54" t="s">
        <v>24</v>
      </c>
      <c r="G1222" s="116">
        <v>3500</v>
      </c>
      <c r="H1222" s="46" t="s">
        <v>25</v>
      </c>
      <c r="I1222" s="116" t="s">
        <v>3168</v>
      </c>
      <c r="J1222" s="116">
        <v>97542</v>
      </c>
      <c r="K1222" s="116">
        <v>99282</v>
      </c>
      <c r="L1222" s="18">
        <v>1740</v>
      </c>
      <c r="M1222" s="19">
        <v>2957182</v>
      </c>
      <c r="N1222" s="20">
        <v>0</v>
      </c>
      <c r="O1222" s="20">
        <v>0</v>
      </c>
      <c r="P1222" s="20">
        <v>0</v>
      </c>
      <c r="Q1222" s="20">
        <v>0</v>
      </c>
      <c r="R1222" s="19">
        <f t="shared" si="169"/>
        <v>2957182</v>
      </c>
      <c r="S1222" s="19">
        <v>3000</v>
      </c>
      <c r="T1222" s="19">
        <f t="shared" si="170"/>
        <v>2960182</v>
      </c>
      <c r="U1222" s="105"/>
      <c r="X1222" s="10">
        <f t="shared" si="172"/>
        <v>2957182</v>
      </c>
      <c r="Y1222" s="2">
        <f t="shared" si="173"/>
        <v>0</v>
      </c>
      <c r="Z1222" s="10">
        <f t="shared" si="171"/>
        <v>0</v>
      </c>
    </row>
    <row r="1223" spans="1:26" ht="18" customHeight="1" x14ac:dyDescent="0.25">
      <c r="A1223" s="14">
        <v>169</v>
      </c>
      <c r="B1223" s="67" t="s">
        <v>3169</v>
      </c>
      <c r="C1223" s="14" t="s">
        <v>3170</v>
      </c>
      <c r="D1223" s="14" t="s">
        <v>28</v>
      </c>
      <c r="E1223" s="53" t="s">
        <v>3171</v>
      </c>
      <c r="F1223" s="54" t="s">
        <v>24</v>
      </c>
      <c r="G1223" s="116">
        <v>2200</v>
      </c>
      <c r="H1223" s="46" t="s">
        <v>25</v>
      </c>
      <c r="I1223" s="116" t="s">
        <v>3172</v>
      </c>
      <c r="J1223" s="116">
        <v>28758</v>
      </c>
      <c r="K1223" s="116">
        <v>29227</v>
      </c>
      <c r="L1223" s="18">
        <v>469</v>
      </c>
      <c r="M1223" s="19">
        <v>797080</v>
      </c>
      <c r="N1223" s="20">
        <v>0</v>
      </c>
      <c r="O1223" s="20">
        <v>0</v>
      </c>
      <c r="P1223" s="20">
        <v>0</v>
      </c>
      <c r="Q1223" s="20">
        <v>0</v>
      </c>
      <c r="R1223" s="19">
        <f t="shared" si="169"/>
        <v>797080</v>
      </c>
      <c r="S1223" s="19">
        <v>3000</v>
      </c>
      <c r="T1223" s="19">
        <f t="shared" si="170"/>
        <v>800080</v>
      </c>
      <c r="U1223" s="105"/>
      <c r="X1223" s="10">
        <f t="shared" si="172"/>
        <v>797080</v>
      </c>
      <c r="Y1223" s="2">
        <f t="shared" si="173"/>
        <v>0</v>
      </c>
      <c r="Z1223" s="10">
        <f t="shared" si="171"/>
        <v>0</v>
      </c>
    </row>
    <row r="1224" spans="1:26" ht="18" customHeight="1" x14ac:dyDescent="0.25">
      <c r="A1224" s="14">
        <v>170</v>
      </c>
      <c r="B1224" s="67" t="s">
        <v>3173</v>
      </c>
      <c r="C1224" s="14" t="s">
        <v>3174</v>
      </c>
      <c r="D1224" s="14" t="s">
        <v>28</v>
      </c>
      <c r="E1224" s="53" t="s">
        <v>3175</v>
      </c>
      <c r="F1224" s="54" t="s">
        <v>24</v>
      </c>
      <c r="G1224" s="116">
        <v>2200</v>
      </c>
      <c r="H1224" s="46" t="s">
        <v>25</v>
      </c>
      <c r="I1224" s="116" t="s">
        <v>3176</v>
      </c>
      <c r="J1224" s="116">
        <v>29167</v>
      </c>
      <c r="K1224" s="116">
        <v>29370</v>
      </c>
      <c r="L1224" s="18">
        <v>203</v>
      </c>
      <c r="M1224" s="19">
        <v>345005</v>
      </c>
      <c r="N1224" s="20">
        <v>0</v>
      </c>
      <c r="O1224" s="20">
        <v>0</v>
      </c>
      <c r="P1224" s="20">
        <v>0</v>
      </c>
      <c r="Q1224" s="20">
        <v>0</v>
      </c>
      <c r="R1224" s="19">
        <f t="shared" si="169"/>
        <v>345005</v>
      </c>
      <c r="S1224" s="19">
        <v>3000</v>
      </c>
      <c r="T1224" s="19">
        <f t="shared" si="170"/>
        <v>348005</v>
      </c>
      <c r="U1224" s="105"/>
      <c r="X1224" s="10">
        <f t="shared" si="172"/>
        <v>345005</v>
      </c>
      <c r="Y1224" s="2">
        <f t="shared" si="173"/>
        <v>0</v>
      </c>
      <c r="Z1224" s="10">
        <f t="shared" si="171"/>
        <v>0</v>
      </c>
    </row>
    <row r="1225" spans="1:26" ht="18" customHeight="1" x14ac:dyDescent="0.25">
      <c r="A1225" s="14">
        <v>171</v>
      </c>
      <c r="B1225" s="67" t="s">
        <v>3177</v>
      </c>
      <c r="C1225" s="14" t="s">
        <v>3178</v>
      </c>
      <c r="D1225" s="14" t="s">
        <v>28</v>
      </c>
      <c r="E1225" s="53" t="s">
        <v>2096</v>
      </c>
      <c r="F1225" s="54" t="s">
        <v>24</v>
      </c>
      <c r="G1225" s="116">
        <v>2200</v>
      </c>
      <c r="H1225" s="46" t="s">
        <v>25</v>
      </c>
      <c r="I1225" s="116" t="s">
        <v>3179</v>
      </c>
      <c r="J1225" s="116">
        <v>30855</v>
      </c>
      <c r="K1225" s="116">
        <v>31333</v>
      </c>
      <c r="L1225" s="18">
        <v>478</v>
      </c>
      <c r="M1225" s="19">
        <v>812375</v>
      </c>
      <c r="N1225" s="20">
        <v>0</v>
      </c>
      <c r="O1225" s="20">
        <v>0</v>
      </c>
      <c r="P1225" s="20">
        <v>0</v>
      </c>
      <c r="Q1225" s="20">
        <v>0</v>
      </c>
      <c r="R1225" s="19">
        <f t="shared" si="169"/>
        <v>812375</v>
      </c>
      <c r="S1225" s="19">
        <v>3000</v>
      </c>
      <c r="T1225" s="19">
        <f t="shared" si="170"/>
        <v>815375</v>
      </c>
      <c r="U1225" s="105"/>
      <c r="X1225" s="10">
        <f t="shared" si="172"/>
        <v>812375</v>
      </c>
      <c r="Y1225" s="2">
        <f t="shared" si="173"/>
        <v>0</v>
      </c>
      <c r="Z1225" s="10">
        <f t="shared" si="171"/>
        <v>0</v>
      </c>
    </row>
    <row r="1226" spans="1:26" ht="18" customHeight="1" x14ac:dyDescent="0.25">
      <c r="A1226" s="14">
        <v>172</v>
      </c>
      <c r="B1226" s="67" t="s">
        <v>3180</v>
      </c>
      <c r="C1226" s="14" t="s">
        <v>3181</v>
      </c>
      <c r="D1226" s="14" t="s">
        <v>28</v>
      </c>
      <c r="E1226" s="53" t="s">
        <v>3182</v>
      </c>
      <c r="F1226" s="54" t="s">
        <v>24</v>
      </c>
      <c r="G1226" s="116">
        <v>3500</v>
      </c>
      <c r="H1226" s="46" t="s">
        <v>25</v>
      </c>
      <c r="I1226" s="116" t="s">
        <v>3183</v>
      </c>
      <c r="J1226" s="116">
        <v>72932</v>
      </c>
      <c r="K1226" s="116">
        <v>74169</v>
      </c>
      <c r="L1226" s="18">
        <v>1237</v>
      </c>
      <c r="M1226" s="19">
        <v>2102319</v>
      </c>
      <c r="N1226" s="20">
        <v>0</v>
      </c>
      <c r="O1226" s="20">
        <v>0</v>
      </c>
      <c r="P1226" s="20">
        <v>0</v>
      </c>
      <c r="Q1226" s="20">
        <v>0</v>
      </c>
      <c r="R1226" s="19">
        <f t="shared" si="169"/>
        <v>2102319</v>
      </c>
      <c r="S1226" s="19">
        <v>3000</v>
      </c>
      <c r="T1226" s="19">
        <f t="shared" si="170"/>
        <v>2105319</v>
      </c>
      <c r="U1226" s="105"/>
      <c r="X1226" s="10">
        <f t="shared" si="172"/>
        <v>2102319</v>
      </c>
      <c r="Y1226" s="2">
        <f t="shared" si="173"/>
        <v>0</v>
      </c>
      <c r="Z1226" s="10">
        <f t="shared" si="171"/>
        <v>0</v>
      </c>
    </row>
    <row r="1227" spans="1:26" ht="18" customHeight="1" x14ac:dyDescent="0.25">
      <c r="A1227" s="14">
        <v>173</v>
      </c>
      <c r="B1227" s="67" t="s">
        <v>3184</v>
      </c>
      <c r="C1227" s="14" t="s">
        <v>3185</v>
      </c>
      <c r="D1227" s="14" t="s">
        <v>28</v>
      </c>
      <c r="E1227" s="53" t="s">
        <v>2736</v>
      </c>
      <c r="F1227" s="54" t="s">
        <v>24</v>
      </c>
      <c r="G1227" s="116">
        <v>3500</v>
      </c>
      <c r="H1227" s="46" t="s">
        <v>25</v>
      </c>
      <c r="I1227" s="116" t="s">
        <v>3186</v>
      </c>
      <c r="J1227" s="116">
        <v>80708</v>
      </c>
      <c r="K1227" s="116">
        <v>81554</v>
      </c>
      <c r="L1227" s="18">
        <v>846</v>
      </c>
      <c r="M1227" s="19">
        <v>1437802</v>
      </c>
      <c r="N1227" s="20">
        <v>0</v>
      </c>
      <c r="O1227" s="20">
        <v>0</v>
      </c>
      <c r="P1227" s="20">
        <v>0</v>
      </c>
      <c r="Q1227" s="20">
        <v>0</v>
      </c>
      <c r="R1227" s="19">
        <f t="shared" si="169"/>
        <v>1437802</v>
      </c>
      <c r="S1227" s="19">
        <v>3000</v>
      </c>
      <c r="T1227" s="19">
        <f t="shared" si="170"/>
        <v>1440802</v>
      </c>
      <c r="U1227" s="105"/>
      <c r="X1227" s="10">
        <f t="shared" si="172"/>
        <v>1437802</v>
      </c>
      <c r="Y1227" s="2">
        <f t="shared" si="173"/>
        <v>0</v>
      </c>
      <c r="Z1227" s="10">
        <f t="shared" si="171"/>
        <v>0</v>
      </c>
    </row>
    <row r="1228" spans="1:26" ht="18" customHeight="1" x14ac:dyDescent="0.25">
      <c r="A1228" s="14">
        <v>174</v>
      </c>
      <c r="B1228" s="67" t="s">
        <v>3187</v>
      </c>
      <c r="C1228" s="14" t="s">
        <v>3188</v>
      </c>
      <c r="D1228" s="14" t="s">
        <v>28</v>
      </c>
      <c r="E1228" s="53" t="s">
        <v>2748</v>
      </c>
      <c r="F1228" s="54" t="s">
        <v>24</v>
      </c>
      <c r="G1228" s="116">
        <v>3500</v>
      </c>
      <c r="H1228" s="46" t="s">
        <v>25</v>
      </c>
      <c r="I1228" s="116" t="s">
        <v>3189</v>
      </c>
      <c r="J1228" s="116">
        <v>58371</v>
      </c>
      <c r="K1228" s="116">
        <v>58371</v>
      </c>
      <c r="L1228" s="18">
        <v>140</v>
      </c>
      <c r="M1228" s="19">
        <v>237934</v>
      </c>
      <c r="N1228" s="20">
        <v>0</v>
      </c>
      <c r="O1228" s="20">
        <v>0</v>
      </c>
      <c r="P1228" s="20">
        <v>0</v>
      </c>
      <c r="Q1228" s="20">
        <v>0</v>
      </c>
      <c r="R1228" s="19">
        <f t="shared" si="169"/>
        <v>237934</v>
      </c>
      <c r="S1228" s="19">
        <v>3000</v>
      </c>
      <c r="T1228" s="19">
        <f t="shared" si="170"/>
        <v>240934</v>
      </c>
      <c r="U1228" s="105"/>
      <c r="X1228" s="10">
        <f t="shared" si="172"/>
        <v>237934</v>
      </c>
      <c r="Y1228" s="2">
        <f t="shared" si="173"/>
        <v>0</v>
      </c>
      <c r="Z1228" s="10">
        <f t="shared" si="171"/>
        <v>0</v>
      </c>
    </row>
    <row r="1229" spans="1:26" ht="18" customHeight="1" x14ac:dyDescent="0.25">
      <c r="A1229" s="14">
        <v>175</v>
      </c>
      <c r="B1229" s="67" t="s">
        <v>3190</v>
      </c>
      <c r="C1229" s="14" t="s">
        <v>3191</v>
      </c>
      <c r="D1229" s="14" t="s">
        <v>28</v>
      </c>
      <c r="E1229" s="53" t="s">
        <v>3137</v>
      </c>
      <c r="F1229" s="54" t="s">
        <v>24</v>
      </c>
      <c r="G1229" s="116">
        <v>2200</v>
      </c>
      <c r="H1229" s="46" t="s">
        <v>25</v>
      </c>
      <c r="I1229" s="116" t="s">
        <v>3192</v>
      </c>
      <c r="J1229" s="116">
        <v>29452</v>
      </c>
      <c r="K1229" s="116">
        <v>29974</v>
      </c>
      <c r="L1229" s="18">
        <v>522</v>
      </c>
      <c r="M1229" s="19">
        <v>887155</v>
      </c>
      <c r="N1229" s="20">
        <v>0</v>
      </c>
      <c r="O1229" s="20">
        <v>0</v>
      </c>
      <c r="P1229" s="20">
        <v>0</v>
      </c>
      <c r="Q1229" s="20">
        <v>0</v>
      </c>
      <c r="R1229" s="19">
        <f t="shared" si="169"/>
        <v>887155</v>
      </c>
      <c r="S1229" s="19">
        <v>3000</v>
      </c>
      <c r="T1229" s="19">
        <f t="shared" si="170"/>
        <v>890155</v>
      </c>
      <c r="U1229" s="105"/>
      <c r="X1229" s="10">
        <f t="shared" si="172"/>
        <v>887155</v>
      </c>
      <c r="Y1229" s="2">
        <f t="shared" si="173"/>
        <v>0</v>
      </c>
      <c r="Z1229" s="10">
        <f t="shared" si="171"/>
        <v>0</v>
      </c>
    </row>
    <row r="1230" spans="1:26" ht="18" customHeight="1" x14ac:dyDescent="0.25">
      <c r="A1230" s="14">
        <v>176</v>
      </c>
      <c r="B1230" s="67" t="s">
        <v>3193</v>
      </c>
      <c r="C1230" s="14" t="s">
        <v>3194</v>
      </c>
      <c r="D1230" s="14" t="s">
        <v>28</v>
      </c>
      <c r="E1230" s="53" t="s">
        <v>3195</v>
      </c>
      <c r="F1230" s="54" t="s">
        <v>24</v>
      </c>
      <c r="G1230" s="116">
        <v>2200</v>
      </c>
      <c r="H1230" s="46" t="s">
        <v>25</v>
      </c>
      <c r="I1230" s="116" t="s">
        <v>3196</v>
      </c>
      <c r="J1230" s="116">
        <v>43613</v>
      </c>
      <c r="K1230" s="116">
        <v>44109</v>
      </c>
      <c r="L1230" s="18">
        <v>496</v>
      </c>
      <c r="M1230" s="19">
        <v>842967</v>
      </c>
      <c r="N1230" s="20">
        <v>0</v>
      </c>
      <c r="O1230" s="20">
        <v>0</v>
      </c>
      <c r="P1230" s="20">
        <v>0</v>
      </c>
      <c r="Q1230" s="20">
        <v>0</v>
      </c>
      <c r="R1230" s="19">
        <f t="shared" si="169"/>
        <v>842967</v>
      </c>
      <c r="S1230" s="19">
        <v>3000</v>
      </c>
      <c r="T1230" s="19">
        <f t="shared" si="170"/>
        <v>845967</v>
      </c>
      <c r="U1230" s="105"/>
      <c r="X1230" s="10">
        <f t="shared" si="172"/>
        <v>842967</v>
      </c>
      <c r="Y1230" s="2">
        <f t="shared" si="173"/>
        <v>0</v>
      </c>
      <c r="Z1230" s="10">
        <f t="shared" si="171"/>
        <v>0</v>
      </c>
    </row>
    <row r="1231" spans="1:26" ht="18" customHeight="1" x14ac:dyDescent="0.25">
      <c r="A1231" s="14">
        <v>177</v>
      </c>
      <c r="B1231" s="67" t="s">
        <v>3197</v>
      </c>
      <c r="C1231" s="14" t="s">
        <v>3166</v>
      </c>
      <c r="D1231" s="14" t="s">
        <v>28</v>
      </c>
      <c r="E1231" s="53" t="s">
        <v>3167</v>
      </c>
      <c r="F1231" s="54" t="s">
        <v>24</v>
      </c>
      <c r="G1231" s="116">
        <v>2200</v>
      </c>
      <c r="H1231" s="46" t="s">
        <v>25</v>
      </c>
      <c r="I1231" s="116" t="s">
        <v>3198</v>
      </c>
      <c r="J1231" s="116">
        <v>38873</v>
      </c>
      <c r="K1231" s="116">
        <v>39425</v>
      </c>
      <c r="L1231" s="18">
        <v>552</v>
      </c>
      <c r="M1231" s="19">
        <v>938141</v>
      </c>
      <c r="N1231" s="20">
        <v>0</v>
      </c>
      <c r="O1231" s="20">
        <v>0</v>
      </c>
      <c r="P1231" s="20">
        <v>0</v>
      </c>
      <c r="Q1231" s="20">
        <v>0</v>
      </c>
      <c r="R1231" s="19">
        <f t="shared" si="169"/>
        <v>938141</v>
      </c>
      <c r="S1231" s="19">
        <v>3000</v>
      </c>
      <c r="T1231" s="19">
        <f t="shared" si="170"/>
        <v>941141</v>
      </c>
      <c r="U1231" s="105"/>
      <c r="X1231" s="10">
        <f t="shared" si="172"/>
        <v>938141</v>
      </c>
      <c r="Y1231" s="2">
        <f t="shared" si="173"/>
        <v>0</v>
      </c>
      <c r="Z1231" s="10">
        <f t="shared" si="171"/>
        <v>0</v>
      </c>
    </row>
    <row r="1232" spans="1:26" ht="18" customHeight="1" x14ac:dyDescent="0.25">
      <c r="A1232" s="14">
        <v>178</v>
      </c>
      <c r="B1232" s="67" t="s">
        <v>3199</v>
      </c>
      <c r="C1232" s="14" t="s">
        <v>3200</v>
      </c>
      <c r="D1232" s="14" t="s">
        <v>28</v>
      </c>
      <c r="E1232" s="53" t="s">
        <v>3115</v>
      </c>
      <c r="F1232" s="54" t="s">
        <v>24</v>
      </c>
      <c r="G1232" s="116">
        <v>2200</v>
      </c>
      <c r="H1232" s="46" t="s">
        <v>25</v>
      </c>
      <c r="I1232" s="116" t="s">
        <v>3201</v>
      </c>
      <c r="J1232" s="116">
        <v>33641</v>
      </c>
      <c r="K1232" s="116">
        <v>34215</v>
      </c>
      <c r="L1232" s="18">
        <v>574</v>
      </c>
      <c r="M1232" s="19">
        <v>975530</v>
      </c>
      <c r="N1232" s="20">
        <v>0</v>
      </c>
      <c r="O1232" s="20">
        <v>0</v>
      </c>
      <c r="P1232" s="20">
        <v>0</v>
      </c>
      <c r="Q1232" s="20">
        <v>0</v>
      </c>
      <c r="R1232" s="19">
        <f t="shared" si="169"/>
        <v>975530</v>
      </c>
      <c r="S1232" s="19">
        <v>3000</v>
      </c>
      <c r="T1232" s="19">
        <f t="shared" si="170"/>
        <v>978530</v>
      </c>
      <c r="U1232" s="105"/>
      <c r="X1232" s="10">
        <f t="shared" si="172"/>
        <v>975530</v>
      </c>
      <c r="Y1232" s="2">
        <f t="shared" si="173"/>
        <v>0</v>
      </c>
      <c r="Z1232" s="10">
        <f t="shared" si="171"/>
        <v>0</v>
      </c>
    </row>
    <row r="1233" spans="1:26" ht="18" customHeight="1" x14ac:dyDescent="0.25">
      <c r="A1233" s="14">
        <v>179</v>
      </c>
      <c r="B1233" s="67" t="s">
        <v>3202</v>
      </c>
      <c r="C1233" s="14" t="s">
        <v>3203</v>
      </c>
      <c r="D1233" s="14" t="s">
        <v>28</v>
      </c>
      <c r="E1233" s="53" t="s">
        <v>3204</v>
      </c>
      <c r="F1233" s="54" t="s">
        <v>24</v>
      </c>
      <c r="G1233" s="116">
        <v>2200</v>
      </c>
      <c r="H1233" s="46" t="s">
        <v>25</v>
      </c>
      <c r="I1233" s="116" t="s">
        <v>657</v>
      </c>
      <c r="J1233" s="116">
        <v>19579</v>
      </c>
      <c r="K1233" s="116">
        <v>19834</v>
      </c>
      <c r="L1233" s="18">
        <v>255</v>
      </c>
      <c r="M1233" s="19">
        <v>433380</v>
      </c>
      <c r="N1233" s="20">
        <v>0</v>
      </c>
      <c r="O1233" s="20">
        <v>0</v>
      </c>
      <c r="P1233" s="20">
        <v>0</v>
      </c>
      <c r="Q1233" s="20">
        <v>0</v>
      </c>
      <c r="R1233" s="19">
        <f t="shared" si="169"/>
        <v>433380</v>
      </c>
      <c r="S1233" s="19">
        <v>3000</v>
      </c>
      <c r="T1233" s="19">
        <f t="shared" si="170"/>
        <v>436380</v>
      </c>
      <c r="U1233" s="105"/>
      <c r="X1233" s="10">
        <f t="shared" si="172"/>
        <v>433380</v>
      </c>
      <c r="Y1233" s="2">
        <f t="shared" si="173"/>
        <v>0</v>
      </c>
      <c r="Z1233" s="10">
        <f t="shared" si="171"/>
        <v>0</v>
      </c>
    </row>
    <row r="1234" spans="1:26" ht="18" customHeight="1" x14ac:dyDescent="0.25">
      <c r="A1234" s="14">
        <v>180</v>
      </c>
      <c r="B1234" s="67" t="s">
        <v>3205</v>
      </c>
      <c r="C1234" s="14" t="s">
        <v>3206</v>
      </c>
      <c r="D1234" s="14" t="s">
        <v>28</v>
      </c>
      <c r="E1234" s="53" t="s">
        <v>3148</v>
      </c>
      <c r="F1234" s="54" t="s">
        <v>24</v>
      </c>
      <c r="G1234" s="116">
        <v>4400</v>
      </c>
      <c r="H1234" s="46" t="s">
        <v>25</v>
      </c>
      <c r="I1234" s="116" t="s">
        <v>3207</v>
      </c>
      <c r="J1234" s="116">
        <v>4579</v>
      </c>
      <c r="K1234" s="116">
        <v>6869</v>
      </c>
      <c r="L1234" s="18">
        <v>2290</v>
      </c>
      <c r="M1234" s="19">
        <v>3891924</v>
      </c>
      <c r="N1234" s="20">
        <v>0</v>
      </c>
      <c r="O1234" s="20">
        <v>0</v>
      </c>
      <c r="P1234" s="20">
        <v>0</v>
      </c>
      <c r="Q1234" s="20">
        <v>0</v>
      </c>
      <c r="R1234" s="19">
        <f t="shared" si="169"/>
        <v>3891924</v>
      </c>
      <c r="S1234" s="19">
        <v>3000</v>
      </c>
      <c r="T1234" s="19">
        <f t="shared" si="170"/>
        <v>3894924</v>
      </c>
      <c r="U1234" s="105"/>
      <c r="X1234" s="10">
        <f t="shared" si="172"/>
        <v>3891924</v>
      </c>
      <c r="Y1234" s="2">
        <f t="shared" si="173"/>
        <v>0</v>
      </c>
      <c r="Z1234" s="10">
        <f t="shared" si="171"/>
        <v>0</v>
      </c>
    </row>
    <row r="1235" spans="1:26" ht="18" customHeight="1" x14ac:dyDescent="0.25">
      <c r="A1235" s="14">
        <v>181</v>
      </c>
      <c r="B1235" s="67" t="s">
        <v>3208</v>
      </c>
      <c r="C1235" s="14" t="s">
        <v>3209</v>
      </c>
      <c r="D1235" s="14" t="s">
        <v>28</v>
      </c>
      <c r="E1235" s="53" t="s">
        <v>3210</v>
      </c>
      <c r="F1235" s="54" t="s">
        <v>24</v>
      </c>
      <c r="G1235" s="116">
        <v>2200</v>
      </c>
      <c r="H1235" s="46" t="s">
        <v>25</v>
      </c>
      <c r="I1235" s="116" t="s">
        <v>3211</v>
      </c>
      <c r="J1235" s="116">
        <v>31990</v>
      </c>
      <c r="K1235" s="116">
        <v>33022</v>
      </c>
      <c r="L1235" s="18">
        <v>1032</v>
      </c>
      <c r="M1235" s="19">
        <v>1753915</v>
      </c>
      <c r="N1235" s="20">
        <v>0</v>
      </c>
      <c r="O1235" s="20">
        <v>0</v>
      </c>
      <c r="P1235" s="20">
        <v>0</v>
      </c>
      <c r="Q1235" s="20">
        <v>0</v>
      </c>
      <c r="R1235" s="19">
        <f t="shared" si="169"/>
        <v>1753915</v>
      </c>
      <c r="S1235" s="19">
        <v>3000</v>
      </c>
      <c r="T1235" s="19">
        <f t="shared" si="170"/>
        <v>1756915</v>
      </c>
      <c r="U1235" s="105"/>
      <c r="X1235" s="10">
        <f t="shared" si="172"/>
        <v>1753915</v>
      </c>
      <c r="Y1235" s="2">
        <f t="shared" si="173"/>
        <v>0</v>
      </c>
      <c r="Z1235" s="10">
        <f t="shared" si="171"/>
        <v>0</v>
      </c>
    </row>
    <row r="1236" spans="1:26" ht="18" customHeight="1" x14ac:dyDescent="0.25">
      <c r="A1236" s="14">
        <v>182</v>
      </c>
      <c r="B1236" s="67" t="s">
        <v>3212</v>
      </c>
      <c r="C1236" s="14" t="s">
        <v>3213</v>
      </c>
      <c r="D1236" s="14" t="s">
        <v>28</v>
      </c>
      <c r="E1236" s="53" t="s">
        <v>3214</v>
      </c>
      <c r="F1236" s="54" t="s">
        <v>24</v>
      </c>
      <c r="G1236" s="116">
        <v>3500</v>
      </c>
      <c r="H1236" s="46" t="s">
        <v>25</v>
      </c>
      <c r="I1236" s="116" t="s">
        <v>3215</v>
      </c>
      <c r="J1236" s="116">
        <v>36722</v>
      </c>
      <c r="K1236" s="116">
        <v>37598</v>
      </c>
      <c r="L1236" s="18">
        <v>876</v>
      </c>
      <c r="M1236" s="19">
        <v>1488788</v>
      </c>
      <c r="N1236" s="20">
        <v>0</v>
      </c>
      <c r="O1236" s="20">
        <v>0</v>
      </c>
      <c r="P1236" s="20">
        <v>0</v>
      </c>
      <c r="Q1236" s="20">
        <v>0</v>
      </c>
      <c r="R1236" s="19">
        <f t="shared" si="169"/>
        <v>1488788</v>
      </c>
      <c r="S1236" s="19">
        <v>3000</v>
      </c>
      <c r="T1236" s="19">
        <f t="shared" si="170"/>
        <v>1491788</v>
      </c>
      <c r="U1236" s="105"/>
      <c r="X1236" s="10">
        <f t="shared" si="172"/>
        <v>1488788</v>
      </c>
      <c r="Y1236" s="2">
        <f t="shared" si="173"/>
        <v>0</v>
      </c>
      <c r="Z1236" s="10">
        <f t="shared" si="171"/>
        <v>0</v>
      </c>
    </row>
    <row r="1237" spans="1:26" ht="18" customHeight="1" x14ac:dyDescent="0.25">
      <c r="A1237" s="14">
        <v>183</v>
      </c>
      <c r="B1237" s="67" t="s">
        <v>3216</v>
      </c>
      <c r="C1237" s="14" t="s">
        <v>3217</v>
      </c>
      <c r="D1237" s="14" t="s">
        <v>28</v>
      </c>
      <c r="E1237" s="53" t="s">
        <v>467</v>
      </c>
      <c r="F1237" s="54" t="s">
        <v>24</v>
      </c>
      <c r="G1237" s="116">
        <v>4400</v>
      </c>
      <c r="H1237" s="46" t="s">
        <v>25</v>
      </c>
      <c r="I1237" s="116" t="s">
        <v>3218</v>
      </c>
      <c r="J1237" s="116">
        <v>76957</v>
      </c>
      <c r="K1237" s="116">
        <v>78606</v>
      </c>
      <c r="L1237" s="18">
        <v>1649</v>
      </c>
      <c r="M1237" s="19">
        <v>2802525</v>
      </c>
      <c r="N1237" s="20">
        <v>0</v>
      </c>
      <c r="O1237" s="20">
        <v>0</v>
      </c>
      <c r="P1237" s="20">
        <v>0</v>
      </c>
      <c r="Q1237" s="20">
        <v>0</v>
      </c>
      <c r="R1237" s="19">
        <f t="shared" si="169"/>
        <v>2802525</v>
      </c>
      <c r="S1237" s="19">
        <v>3000</v>
      </c>
      <c r="T1237" s="19">
        <f t="shared" si="170"/>
        <v>2805525</v>
      </c>
      <c r="U1237" s="105"/>
      <c r="X1237" s="10">
        <f t="shared" si="172"/>
        <v>2802525</v>
      </c>
      <c r="Y1237" s="2">
        <f t="shared" si="173"/>
        <v>0</v>
      </c>
      <c r="Z1237" s="10">
        <f t="shared" si="171"/>
        <v>0</v>
      </c>
    </row>
    <row r="1238" spans="1:26" ht="18" customHeight="1" x14ac:dyDescent="0.25">
      <c r="A1238" s="14">
        <v>184</v>
      </c>
      <c r="B1238" s="67" t="s">
        <v>3219</v>
      </c>
      <c r="C1238" s="14" t="s">
        <v>3220</v>
      </c>
      <c r="D1238" s="14" t="s">
        <v>28</v>
      </c>
      <c r="E1238" s="53" t="s">
        <v>2575</v>
      </c>
      <c r="F1238" s="54" t="s">
        <v>24</v>
      </c>
      <c r="G1238" s="116">
        <v>3500</v>
      </c>
      <c r="H1238" s="46" t="s">
        <v>25</v>
      </c>
      <c r="I1238" s="116" t="s">
        <v>3221</v>
      </c>
      <c r="J1238" s="116">
        <v>87144</v>
      </c>
      <c r="K1238" s="116">
        <v>88216</v>
      </c>
      <c r="L1238" s="18">
        <v>1072</v>
      </c>
      <c r="M1238" s="19">
        <v>1821896</v>
      </c>
      <c r="N1238" s="20">
        <v>0</v>
      </c>
      <c r="O1238" s="20">
        <v>0</v>
      </c>
      <c r="P1238" s="20">
        <v>0</v>
      </c>
      <c r="Q1238" s="20">
        <v>0</v>
      </c>
      <c r="R1238" s="19">
        <f t="shared" si="169"/>
        <v>1821896</v>
      </c>
      <c r="S1238" s="19">
        <v>3000</v>
      </c>
      <c r="T1238" s="19">
        <f t="shared" si="170"/>
        <v>1824896</v>
      </c>
      <c r="U1238" s="105"/>
      <c r="X1238" s="10">
        <f t="shared" si="172"/>
        <v>1821896</v>
      </c>
      <c r="Y1238" s="2">
        <f t="shared" si="173"/>
        <v>0</v>
      </c>
      <c r="Z1238" s="10">
        <f t="shared" si="171"/>
        <v>0</v>
      </c>
    </row>
    <row r="1239" spans="1:26" ht="18" customHeight="1" x14ac:dyDescent="0.25">
      <c r="A1239" s="14">
        <v>185</v>
      </c>
      <c r="B1239" s="67" t="s">
        <v>3222</v>
      </c>
      <c r="C1239" s="14" t="s">
        <v>3223</v>
      </c>
      <c r="D1239" s="14" t="s">
        <v>28</v>
      </c>
      <c r="E1239" s="53" t="s">
        <v>3224</v>
      </c>
      <c r="F1239" s="54" t="s">
        <v>24</v>
      </c>
      <c r="G1239" s="116">
        <v>2200</v>
      </c>
      <c r="H1239" s="46" t="s">
        <v>25</v>
      </c>
      <c r="I1239" s="116" t="s">
        <v>3225</v>
      </c>
      <c r="J1239" s="116">
        <v>20744</v>
      </c>
      <c r="K1239" s="116">
        <v>20996</v>
      </c>
      <c r="L1239" s="18">
        <v>252</v>
      </c>
      <c r="M1239" s="19">
        <v>428282</v>
      </c>
      <c r="N1239" s="20">
        <v>0</v>
      </c>
      <c r="O1239" s="20">
        <v>0</v>
      </c>
      <c r="P1239" s="20">
        <v>0</v>
      </c>
      <c r="Q1239" s="20">
        <v>0</v>
      </c>
      <c r="R1239" s="19">
        <f t="shared" si="169"/>
        <v>428282</v>
      </c>
      <c r="S1239" s="19">
        <v>3000</v>
      </c>
      <c r="T1239" s="19">
        <f t="shared" si="170"/>
        <v>431282</v>
      </c>
      <c r="U1239" s="105"/>
      <c r="X1239" s="10">
        <f t="shared" si="172"/>
        <v>428282</v>
      </c>
      <c r="Y1239" s="2">
        <f t="shared" si="173"/>
        <v>0</v>
      </c>
      <c r="Z1239" s="10">
        <f t="shared" si="171"/>
        <v>0</v>
      </c>
    </row>
    <row r="1240" spans="1:26" ht="18" customHeight="1" x14ac:dyDescent="0.25">
      <c r="A1240" s="14">
        <v>186</v>
      </c>
      <c r="B1240" s="67" t="s">
        <v>3226</v>
      </c>
      <c r="C1240" s="14" t="s">
        <v>3227</v>
      </c>
      <c r="D1240" s="14" t="s">
        <v>28</v>
      </c>
      <c r="E1240" s="53" t="s">
        <v>2598</v>
      </c>
      <c r="F1240" s="54" t="s">
        <v>24</v>
      </c>
      <c r="G1240" s="116">
        <v>2200</v>
      </c>
      <c r="H1240" s="46" t="s">
        <v>25</v>
      </c>
      <c r="I1240" s="116" t="s">
        <v>3228</v>
      </c>
      <c r="J1240" s="116">
        <v>39860</v>
      </c>
      <c r="K1240" s="116">
        <v>40566</v>
      </c>
      <c r="L1240" s="18">
        <v>706</v>
      </c>
      <c r="M1240" s="19">
        <v>1199868</v>
      </c>
      <c r="N1240" s="20">
        <v>0</v>
      </c>
      <c r="O1240" s="20">
        <v>0</v>
      </c>
      <c r="P1240" s="20">
        <v>0</v>
      </c>
      <c r="Q1240" s="20">
        <v>0</v>
      </c>
      <c r="R1240" s="19">
        <f t="shared" si="169"/>
        <v>1199868</v>
      </c>
      <c r="S1240" s="19">
        <v>3000</v>
      </c>
      <c r="T1240" s="19">
        <f t="shared" si="170"/>
        <v>1202868</v>
      </c>
      <c r="U1240" s="105"/>
      <c r="X1240" s="10">
        <f t="shared" si="172"/>
        <v>1199868</v>
      </c>
      <c r="Y1240" s="2">
        <f t="shared" si="173"/>
        <v>0</v>
      </c>
      <c r="Z1240" s="10">
        <f t="shared" si="171"/>
        <v>0</v>
      </c>
    </row>
    <row r="1241" spans="1:26" ht="18" customHeight="1" x14ac:dyDescent="0.25">
      <c r="A1241" s="14">
        <v>187</v>
      </c>
      <c r="B1241" s="67" t="s">
        <v>3229</v>
      </c>
      <c r="C1241" s="14" t="s">
        <v>3230</v>
      </c>
      <c r="D1241" s="14" t="s">
        <v>28</v>
      </c>
      <c r="E1241" s="53" t="s">
        <v>2696</v>
      </c>
      <c r="F1241" s="54" t="s">
        <v>24</v>
      </c>
      <c r="G1241" s="116">
        <v>3500</v>
      </c>
      <c r="H1241" s="46" t="s">
        <v>25</v>
      </c>
      <c r="I1241" s="116" t="s">
        <v>3231</v>
      </c>
      <c r="J1241" s="116">
        <v>78472</v>
      </c>
      <c r="K1241" s="116">
        <v>79431</v>
      </c>
      <c r="L1241" s="18">
        <v>959</v>
      </c>
      <c r="M1241" s="19">
        <v>1629849</v>
      </c>
      <c r="N1241" s="20">
        <v>0</v>
      </c>
      <c r="O1241" s="20">
        <v>0</v>
      </c>
      <c r="P1241" s="20">
        <v>0</v>
      </c>
      <c r="Q1241" s="20">
        <v>0</v>
      </c>
      <c r="R1241" s="19">
        <f t="shared" si="169"/>
        <v>1629849</v>
      </c>
      <c r="S1241" s="19">
        <v>3000</v>
      </c>
      <c r="T1241" s="19">
        <f t="shared" si="170"/>
        <v>1632849</v>
      </c>
      <c r="U1241" s="105"/>
      <c r="X1241" s="10">
        <f t="shared" si="172"/>
        <v>1629849</v>
      </c>
      <c r="Y1241" s="2">
        <f t="shared" si="173"/>
        <v>0</v>
      </c>
      <c r="Z1241" s="10">
        <f t="shared" si="171"/>
        <v>0</v>
      </c>
    </row>
    <row r="1242" spans="1:26" ht="18" customHeight="1" x14ac:dyDescent="0.25">
      <c r="A1242" s="14">
        <v>188</v>
      </c>
      <c r="B1242" s="67" t="s">
        <v>3232</v>
      </c>
      <c r="C1242" s="14" t="s">
        <v>3233</v>
      </c>
      <c r="D1242" s="14" t="s">
        <v>28</v>
      </c>
      <c r="E1242" s="53" t="s">
        <v>2653</v>
      </c>
      <c r="F1242" s="54" t="s">
        <v>24</v>
      </c>
      <c r="G1242" s="116">
        <v>2200</v>
      </c>
      <c r="H1242" s="46" t="s">
        <v>25</v>
      </c>
      <c r="I1242" s="116" t="s">
        <v>3234</v>
      </c>
      <c r="J1242" s="116">
        <v>21704</v>
      </c>
      <c r="K1242" s="116">
        <v>22353</v>
      </c>
      <c r="L1242" s="18">
        <v>649</v>
      </c>
      <c r="M1242" s="19">
        <v>1102995</v>
      </c>
      <c r="N1242" s="20">
        <v>0</v>
      </c>
      <c r="O1242" s="20">
        <v>0</v>
      </c>
      <c r="P1242" s="20">
        <v>0</v>
      </c>
      <c r="Q1242" s="20">
        <v>0</v>
      </c>
      <c r="R1242" s="19">
        <f t="shared" si="169"/>
        <v>1102995</v>
      </c>
      <c r="S1242" s="19">
        <v>3000</v>
      </c>
      <c r="T1242" s="19">
        <f t="shared" si="170"/>
        <v>1105995</v>
      </c>
      <c r="U1242" s="105"/>
      <c r="X1242" s="10">
        <f t="shared" si="172"/>
        <v>1102995</v>
      </c>
      <c r="Y1242" s="2">
        <f t="shared" si="173"/>
        <v>0</v>
      </c>
      <c r="Z1242" s="10">
        <f t="shared" si="171"/>
        <v>0</v>
      </c>
    </row>
    <row r="1243" spans="1:26" ht="18" customHeight="1" x14ac:dyDescent="0.25">
      <c r="A1243" s="14">
        <v>189</v>
      </c>
      <c r="B1243" s="67" t="s">
        <v>3235</v>
      </c>
      <c r="C1243" s="14" t="s">
        <v>3236</v>
      </c>
      <c r="D1243" s="14" t="s">
        <v>28</v>
      </c>
      <c r="E1243" s="53" t="s">
        <v>2660</v>
      </c>
      <c r="F1243" s="54" t="s">
        <v>24</v>
      </c>
      <c r="G1243" s="116">
        <v>2200</v>
      </c>
      <c r="H1243" s="46" t="s">
        <v>25</v>
      </c>
      <c r="I1243" s="116" t="s">
        <v>3237</v>
      </c>
      <c r="J1243" s="116">
        <v>79254</v>
      </c>
      <c r="K1243" s="116">
        <v>80460</v>
      </c>
      <c r="L1243" s="18">
        <v>1206</v>
      </c>
      <c r="M1243" s="19">
        <v>2049633</v>
      </c>
      <c r="N1243" s="20">
        <v>0</v>
      </c>
      <c r="O1243" s="20">
        <v>0</v>
      </c>
      <c r="P1243" s="20">
        <v>0</v>
      </c>
      <c r="Q1243" s="20">
        <v>0</v>
      </c>
      <c r="R1243" s="19">
        <f t="shared" si="169"/>
        <v>2049633</v>
      </c>
      <c r="S1243" s="19">
        <v>3000</v>
      </c>
      <c r="T1243" s="19">
        <f t="shared" si="170"/>
        <v>2052633</v>
      </c>
      <c r="U1243" s="105"/>
      <c r="X1243" s="10">
        <f t="shared" si="172"/>
        <v>2049633</v>
      </c>
      <c r="Y1243" s="2">
        <f t="shared" si="173"/>
        <v>0</v>
      </c>
      <c r="Z1243" s="10">
        <f t="shared" si="171"/>
        <v>0</v>
      </c>
    </row>
    <row r="1244" spans="1:26" ht="18" customHeight="1" x14ac:dyDescent="0.25">
      <c r="A1244" s="14">
        <v>190</v>
      </c>
      <c r="B1244" s="67" t="s">
        <v>3238</v>
      </c>
      <c r="C1244" s="14" t="s">
        <v>3239</v>
      </c>
      <c r="D1244" s="14" t="s">
        <v>28</v>
      </c>
      <c r="E1244" s="53" t="s">
        <v>2096</v>
      </c>
      <c r="F1244" s="54" t="s">
        <v>24</v>
      </c>
      <c r="G1244" s="116">
        <v>2200</v>
      </c>
      <c r="H1244" s="46" t="s">
        <v>25</v>
      </c>
      <c r="I1244" s="116" t="s">
        <v>3240</v>
      </c>
      <c r="J1244" s="116">
        <v>66295</v>
      </c>
      <c r="K1244" s="116">
        <v>67365</v>
      </c>
      <c r="L1244" s="18">
        <v>1070</v>
      </c>
      <c r="M1244" s="19">
        <v>1818497</v>
      </c>
      <c r="N1244" s="20">
        <v>0</v>
      </c>
      <c r="O1244" s="20">
        <v>0</v>
      </c>
      <c r="P1244" s="20">
        <v>0</v>
      </c>
      <c r="Q1244" s="20">
        <v>0</v>
      </c>
      <c r="R1244" s="19">
        <f t="shared" si="169"/>
        <v>1818497</v>
      </c>
      <c r="S1244" s="19">
        <v>3000</v>
      </c>
      <c r="T1244" s="19">
        <f t="shared" si="170"/>
        <v>1821497</v>
      </c>
      <c r="U1244" s="105"/>
      <c r="X1244" s="10">
        <f t="shared" si="172"/>
        <v>1818497</v>
      </c>
      <c r="Y1244" s="2">
        <f t="shared" si="173"/>
        <v>0</v>
      </c>
      <c r="Z1244" s="10">
        <f t="shared" si="171"/>
        <v>0</v>
      </c>
    </row>
    <row r="1245" spans="1:26" ht="18" customHeight="1" x14ac:dyDescent="0.25">
      <c r="A1245" s="14">
        <v>191</v>
      </c>
      <c r="B1245" s="67" t="s">
        <v>3241</v>
      </c>
      <c r="C1245" s="14" t="s">
        <v>3242</v>
      </c>
      <c r="D1245" s="14" t="s">
        <v>28</v>
      </c>
      <c r="E1245" s="53" t="s">
        <v>2732</v>
      </c>
      <c r="F1245" s="54" t="s">
        <v>24</v>
      </c>
      <c r="G1245" s="116">
        <v>4400</v>
      </c>
      <c r="H1245" s="46" t="s">
        <v>25</v>
      </c>
      <c r="I1245" s="116" t="s">
        <v>3243</v>
      </c>
      <c r="J1245" s="116">
        <v>97704</v>
      </c>
      <c r="K1245" s="116">
        <v>99082</v>
      </c>
      <c r="L1245" s="18">
        <v>1378</v>
      </c>
      <c r="M1245" s="19">
        <v>2341952</v>
      </c>
      <c r="N1245" s="20">
        <v>0</v>
      </c>
      <c r="O1245" s="20">
        <v>0</v>
      </c>
      <c r="P1245" s="20">
        <v>0</v>
      </c>
      <c r="Q1245" s="20">
        <v>0</v>
      </c>
      <c r="R1245" s="19">
        <f t="shared" si="169"/>
        <v>2341952</v>
      </c>
      <c r="S1245" s="19">
        <v>3000</v>
      </c>
      <c r="T1245" s="19">
        <f t="shared" si="170"/>
        <v>2344952</v>
      </c>
      <c r="U1245" s="105"/>
      <c r="X1245" s="10">
        <f t="shared" si="172"/>
        <v>2341952</v>
      </c>
      <c r="Y1245" s="2">
        <f t="shared" si="173"/>
        <v>0</v>
      </c>
      <c r="Z1245" s="10">
        <f t="shared" si="171"/>
        <v>0</v>
      </c>
    </row>
    <row r="1246" spans="1:26" ht="18" customHeight="1" x14ac:dyDescent="0.25">
      <c r="A1246" s="14">
        <v>192</v>
      </c>
      <c r="B1246" s="67" t="s">
        <v>3244</v>
      </c>
      <c r="C1246" s="14" t="s">
        <v>3245</v>
      </c>
      <c r="D1246" s="14" t="s">
        <v>28</v>
      </c>
      <c r="E1246" s="53" t="s">
        <v>3246</v>
      </c>
      <c r="F1246" s="54" t="s">
        <v>24</v>
      </c>
      <c r="G1246" s="116">
        <v>2200</v>
      </c>
      <c r="H1246" s="46" t="s">
        <v>25</v>
      </c>
      <c r="I1246" s="116" t="s">
        <v>664</v>
      </c>
      <c r="J1246" s="116">
        <v>54209</v>
      </c>
      <c r="K1246" s="116">
        <v>54932</v>
      </c>
      <c r="L1246" s="18">
        <v>723</v>
      </c>
      <c r="M1246" s="19">
        <v>1228760</v>
      </c>
      <c r="N1246" s="20">
        <v>0</v>
      </c>
      <c r="O1246" s="20">
        <v>0</v>
      </c>
      <c r="P1246" s="20">
        <v>0</v>
      </c>
      <c r="Q1246" s="20">
        <v>0</v>
      </c>
      <c r="R1246" s="19">
        <f t="shared" si="169"/>
        <v>1228760</v>
      </c>
      <c r="S1246" s="19">
        <v>3000</v>
      </c>
      <c r="T1246" s="19">
        <f t="shared" si="170"/>
        <v>1231760</v>
      </c>
      <c r="U1246" s="105"/>
      <c r="X1246" s="10">
        <f t="shared" si="172"/>
        <v>1228760</v>
      </c>
      <c r="Y1246" s="2">
        <f t="shared" si="173"/>
        <v>0</v>
      </c>
      <c r="Z1246" s="10">
        <f t="shared" si="171"/>
        <v>0</v>
      </c>
    </row>
    <row r="1247" spans="1:26" ht="18" customHeight="1" x14ac:dyDescent="0.25">
      <c r="A1247" s="14">
        <v>193</v>
      </c>
      <c r="B1247" s="67" t="s">
        <v>3247</v>
      </c>
      <c r="C1247" s="14" t="s">
        <v>3248</v>
      </c>
      <c r="D1247" s="14" t="s">
        <v>28</v>
      </c>
      <c r="E1247" s="53" t="s">
        <v>3115</v>
      </c>
      <c r="F1247" s="54" t="s">
        <v>24</v>
      </c>
      <c r="G1247" s="116">
        <v>2200</v>
      </c>
      <c r="H1247" s="46" t="s">
        <v>25</v>
      </c>
      <c r="I1247" s="116" t="s">
        <v>3249</v>
      </c>
      <c r="J1247" s="116">
        <v>10396</v>
      </c>
      <c r="K1247" s="116">
        <v>11448</v>
      </c>
      <c r="L1247" s="18">
        <v>1052</v>
      </c>
      <c r="M1247" s="19">
        <v>1787906</v>
      </c>
      <c r="N1247" s="20">
        <v>0</v>
      </c>
      <c r="O1247" s="20">
        <v>0</v>
      </c>
      <c r="P1247" s="20">
        <v>0</v>
      </c>
      <c r="Q1247" s="20">
        <v>0</v>
      </c>
      <c r="R1247" s="19">
        <f t="shared" si="169"/>
        <v>1787906</v>
      </c>
      <c r="S1247" s="19">
        <v>3000</v>
      </c>
      <c r="T1247" s="19">
        <f t="shared" si="170"/>
        <v>1790906</v>
      </c>
      <c r="U1247" s="105"/>
      <c r="X1247" s="10">
        <f t="shared" si="172"/>
        <v>1787906</v>
      </c>
      <c r="Y1247" s="2">
        <f t="shared" si="173"/>
        <v>0</v>
      </c>
      <c r="Z1247" s="10">
        <f t="shared" si="171"/>
        <v>0</v>
      </c>
    </row>
    <row r="1248" spans="1:26" ht="18" customHeight="1" x14ac:dyDescent="0.25">
      <c r="A1248" s="14">
        <v>194</v>
      </c>
      <c r="B1248" s="67" t="s">
        <v>3250</v>
      </c>
      <c r="C1248" s="14" t="s">
        <v>3217</v>
      </c>
      <c r="D1248" s="14" t="s">
        <v>28</v>
      </c>
      <c r="E1248" s="53" t="s">
        <v>467</v>
      </c>
      <c r="F1248" s="54" t="s">
        <v>24</v>
      </c>
      <c r="G1248" s="116">
        <v>3500</v>
      </c>
      <c r="H1248" s="46" t="s">
        <v>25</v>
      </c>
      <c r="I1248" s="116" t="s">
        <v>3251</v>
      </c>
      <c r="J1248" s="116">
        <v>26006</v>
      </c>
      <c r="K1248" s="116">
        <v>26300</v>
      </c>
      <c r="L1248" s="18">
        <v>294</v>
      </c>
      <c r="M1248" s="19">
        <v>499662</v>
      </c>
      <c r="N1248" s="20">
        <v>0</v>
      </c>
      <c r="O1248" s="20">
        <v>0</v>
      </c>
      <c r="P1248" s="20">
        <v>0</v>
      </c>
      <c r="Q1248" s="20">
        <v>0</v>
      </c>
      <c r="R1248" s="19">
        <f t="shared" si="169"/>
        <v>499662</v>
      </c>
      <c r="S1248" s="19">
        <v>3000</v>
      </c>
      <c r="T1248" s="19">
        <f t="shared" si="170"/>
        <v>502662</v>
      </c>
      <c r="U1248" s="105"/>
      <c r="X1248" s="10">
        <f t="shared" si="172"/>
        <v>499662</v>
      </c>
      <c r="Y1248" s="2">
        <f t="shared" si="173"/>
        <v>0</v>
      </c>
      <c r="Z1248" s="10">
        <f t="shared" si="171"/>
        <v>0</v>
      </c>
    </row>
    <row r="1249" spans="1:26" ht="18" customHeight="1" x14ac:dyDescent="0.25">
      <c r="A1249" s="14">
        <v>195</v>
      </c>
      <c r="B1249" s="67" t="s">
        <v>3252</v>
      </c>
      <c r="C1249" s="14" t="s">
        <v>3253</v>
      </c>
      <c r="D1249" s="14" t="s">
        <v>28</v>
      </c>
      <c r="E1249" s="53" t="s">
        <v>3254</v>
      </c>
      <c r="F1249" s="54" t="s">
        <v>24</v>
      </c>
      <c r="G1249" s="116">
        <v>5500</v>
      </c>
      <c r="H1249" s="46" t="s">
        <v>25</v>
      </c>
      <c r="I1249" s="116" t="s">
        <v>3255</v>
      </c>
      <c r="J1249" s="116">
        <v>21306</v>
      </c>
      <c r="K1249" s="116">
        <v>22859</v>
      </c>
      <c r="L1249" s="18">
        <v>1553</v>
      </c>
      <c r="M1249" s="19">
        <v>2639370</v>
      </c>
      <c r="N1249" s="20">
        <v>0</v>
      </c>
      <c r="O1249" s="20">
        <v>0</v>
      </c>
      <c r="P1249" s="20">
        <v>0</v>
      </c>
      <c r="Q1249" s="20">
        <v>0</v>
      </c>
      <c r="R1249" s="19">
        <f t="shared" si="169"/>
        <v>2639370</v>
      </c>
      <c r="S1249" s="19">
        <v>3000</v>
      </c>
      <c r="T1249" s="19">
        <f t="shared" si="170"/>
        <v>2642370</v>
      </c>
      <c r="U1249" s="105"/>
      <c r="X1249" s="10">
        <f t="shared" si="172"/>
        <v>2639370</v>
      </c>
      <c r="Y1249" s="2">
        <f t="shared" si="173"/>
        <v>0</v>
      </c>
      <c r="Z1249" s="10">
        <f t="shared" si="171"/>
        <v>0</v>
      </c>
    </row>
    <row r="1250" spans="1:26" ht="18" customHeight="1" x14ac:dyDescent="0.25">
      <c r="A1250" s="14">
        <v>196</v>
      </c>
      <c r="B1250" s="67" t="s">
        <v>3256</v>
      </c>
      <c r="C1250" s="14" t="s">
        <v>3257</v>
      </c>
      <c r="D1250" s="14" t="s">
        <v>28</v>
      </c>
      <c r="E1250" s="53" t="s">
        <v>2672</v>
      </c>
      <c r="F1250" s="54" t="s">
        <v>24</v>
      </c>
      <c r="G1250" s="116">
        <v>3500</v>
      </c>
      <c r="H1250" s="46" t="s">
        <v>25</v>
      </c>
      <c r="I1250" s="116" t="s">
        <v>3258</v>
      </c>
      <c r="J1250" s="116">
        <v>62666</v>
      </c>
      <c r="K1250" s="116">
        <v>63563</v>
      </c>
      <c r="L1250" s="18">
        <v>897</v>
      </c>
      <c r="M1250" s="19">
        <v>1524478</v>
      </c>
      <c r="N1250" s="20">
        <v>0</v>
      </c>
      <c r="O1250" s="20">
        <v>0</v>
      </c>
      <c r="P1250" s="20">
        <v>0</v>
      </c>
      <c r="Q1250" s="20">
        <v>0</v>
      </c>
      <c r="R1250" s="19">
        <f t="shared" si="169"/>
        <v>1524478</v>
      </c>
      <c r="S1250" s="19">
        <v>3000</v>
      </c>
      <c r="T1250" s="19">
        <f t="shared" si="170"/>
        <v>1527478</v>
      </c>
      <c r="U1250" s="105"/>
      <c r="X1250" s="10">
        <f t="shared" si="172"/>
        <v>1524478</v>
      </c>
      <c r="Y1250" s="2">
        <f t="shared" si="173"/>
        <v>0</v>
      </c>
      <c r="Z1250" s="10">
        <f t="shared" si="171"/>
        <v>0</v>
      </c>
    </row>
    <row r="1251" spans="1:26" ht="18" customHeight="1" x14ac:dyDescent="0.25">
      <c r="A1251" s="14">
        <v>197</v>
      </c>
      <c r="B1251" s="67" t="s">
        <v>3259</v>
      </c>
      <c r="C1251" s="14" t="s">
        <v>3260</v>
      </c>
      <c r="D1251" s="14" t="s">
        <v>28</v>
      </c>
      <c r="E1251" s="53" t="s">
        <v>2744</v>
      </c>
      <c r="F1251" s="54" t="s">
        <v>24</v>
      </c>
      <c r="G1251" s="116">
        <v>2200</v>
      </c>
      <c r="H1251" s="46" t="s">
        <v>25</v>
      </c>
      <c r="I1251" s="116" t="s">
        <v>3261</v>
      </c>
      <c r="J1251" s="116">
        <v>19426</v>
      </c>
      <c r="K1251" s="116">
        <v>19848</v>
      </c>
      <c r="L1251" s="18">
        <v>422</v>
      </c>
      <c r="M1251" s="19">
        <v>717202</v>
      </c>
      <c r="N1251" s="20">
        <v>0</v>
      </c>
      <c r="O1251" s="20">
        <v>0</v>
      </c>
      <c r="P1251" s="20">
        <v>0</v>
      </c>
      <c r="Q1251" s="20">
        <v>0</v>
      </c>
      <c r="R1251" s="19">
        <f t="shared" si="169"/>
        <v>717202</v>
      </c>
      <c r="S1251" s="19">
        <v>3000</v>
      </c>
      <c r="T1251" s="19">
        <f t="shared" si="170"/>
        <v>720202</v>
      </c>
      <c r="U1251" s="105"/>
      <c r="X1251" s="10">
        <f t="shared" si="172"/>
        <v>717202</v>
      </c>
      <c r="Y1251" s="2">
        <f t="shared" si="173"/>
        <v>0</v>
      </c>
      <c r="Z1251" s="10">
        <f t="shared" si="171"/>
        <v>0</v>
      </c>
    </row>
    <row r="1252" spans="1:26" ht="18" customHeight="1" x14ac:dyDescent="0.25">
      <c r="A1252" s="14">
        <v>198</v>
      </c>
      <c r="B1252" s="67" t="s">
        <v>3262</v>
      </c>
      <c r="C1252" s="14" t="s">
        <v>3263</v>
      </c>
      <c r="D1252" s="14" t="s">
        <v>28</v>
      </c>
      <c r="E1252" s="53" t="s">
        <v>3254</v>
      </c>
      <c r="F1252" s="54" t="s">
        <v>24</v>
      </c>
      <c r="G1252" s="116">
        <v>5500</v>
      </c>
      <c r="H1252" s="46" t="s">
        <v>25</v>
      </c>
      <c r="I1252" s="116" t="s">
        <v>3264</v>
      </c>
      <c r="J1252" s="116">
        <v>33196</v>
      </c>
      <c r="K1252" s="116">
        <v>34826</v>
      </c>
      <c r="L1252" s="18">
        <v>1630</v>
      </c>
      <c r="M1252" s="19">
        <v>2770234</v>
      </c>
      <c r="N1252" s="20">
        <v>0</v>
      </c>
      <c r="O1252" s="20">
        <v>0</v>
      </c>
      <c r="P1252" s="20">
        <v>0</v>
      </c>
      <c r="Q1252" s="20">
        <v>0</v>
      </c>
      <c r="R1252" s="19">
        <f t="shared" si="169"/>
        <v>2770234</v>
      </c>
      <c r="S1252" s="19">
        <v>3000</v>
      </c>
      <c r="T1252" s="19">
        <f t="shared" si="170"/>
        <v>2773234</v>
      </c>
      <c r="U1252" s="105"/>
      <c r="X1252" s="10">
        <f t="shared" si="172"/>
        <v>2770234</v>
      </c>
      <c r="Y1252" s="2">
        <f t="shared" si="173"/>
        <v>0</v>
      </c>
      <c r="Z1252" s="10">
        <f t="shared" si="171"/>
        <v>0</v>
      </c>
    </row>
    <row r="1253" spans="1:26" ht="18" customHeight="1" x14ac:dyDescent="0.25">
      <c r="A1253" s="14">
        <v>199</v>
      </c>
      <c r="B1253" s="67" t="s">
        <v>3265</v>
      </c>
      <c r="C1253" s="14" t="s">
        <v>3266</v>
      </c>
      <c r="D1253" s="14" t="s">
        <v>3267</v>
      </c>
      <c r="E1253" s="14" t="s">
        <v>3268</v>
      </c>
      <c r="F1253" s="15" t="s">
        <v>24</v>
      </c>
      <c r="G1253" s="116">
        <v>3500</v>
      </c>
      <c r="H1253" s="46" t="s">
        <v>25</v>
      </c>
      <c r="I1253" s="116" t="s">
        <v>3269</v>
      </c>
      <c r="J1253" s="116">
        <v>71540</v>
      </c>
      <c r="K1253" s="116">
        <v>72418</v>
      </c>
      <c r="L1253" s="18">
        <v>878</v>
      </c>
      <c r="M1253" s="19">
        <v>1492187</v>
      </c>
      <c r="N1253" s="20">
        <v>0</v>
      </c>
      <c r="O1253" s="20">
        <v>0</v>
      </c>
      <c r="P1253" s="20">
        <v>0</v>
      </c>
      <c r="Q1253" s="20">
        <v>0</v>
      </c>
      <c r="R1253" s="19">
        <f t="shared" si="169"/>
        <v>1492187</v>
      </c>
      <c r="S1253" s="19">
        <v>3000</v>
      </c>
      <c r="T1253" s="19">
        <f t="shared" si="170"/>
        <v>1495187</v>
      </c>
      <c r="U1253" s="105"/>
      <c r="X1253" s="10">
        <f t="shared" si="172"/>
        <v>1492187</v>
      </c>
      <c r="Y1253" s="2">
        <f t="shared" si="173"/>
        <v>0</v>
      </c>
      <c r="Z1253" s="10">
        <f t="shared" si="171"/>
        <v>0</v>
      </c>
    </row>
    <row r="1254" spans="1:26" ht="18" customHeight="1" x14ac:dyDescent="0.25">
      <c r="A1254" s="14">
        <v>200</v>
      </c>
      <c r="B1254" s="67" t="s">
        <v>3270</v>
      </c>
      <c r="C1254" s="14" t="s">
        <v>3271</v>
      </c>
      <c r="D1254" s="14" t="s">
        <v>28</v>
      </c>
      <c r="E1254" s="14" t="s">
        <v>2634</v>
      </c>
      <c r="F1254" s="15" t="s">
        <v>24</v>
      </c>
      <c r="G1254" s="116">
        <v>4400</v>
      </c>
      <c r="H1254" s="46" t="s">
        <v>25</v>
      </c>
      <c r="I1254" s="116" t="s">
        <v>3272</v>
      </c>
      <c r="J1254" s="116">
        <v>31498</v>
      </c>
      <c r="K1254" s="116">
        <v>32449</v>
      </c>
      <c r="L1254" s="18">
        <v>951</v>
      </c>
      <c r="M1254" s="19">
        <v>1616253</v>
      </c>
      <c r="N1254" s="20">
        <v>0</v>
      </c>
      <c r="O1254" s="20">
        <v>0</v>
      </c>
      <c r="P1254" s="20">
        <v>0</v>
      </c>
      <c r="Q1254" s="20">
        <v>0</v>
      </c>
      <c r="R1254" s="19">
        <f t="shared" si="169"/>
        <v>1616253</v>
      </c>
      <c r="S1254" s="19">
        <v>3000</v>
      </c>
      <c r="T1254" s="19">
        <f t="shared" si="170"/>
        <v>1619253</v>
      </c>
      <c r="U1254" s="105"/>
      <c r="X1254" s="10">
        <f t="shared" si="172"/>
        <v>1616253</v>
      </c>
      <c r="Y1254" s="2">
        <f t="shared" si="173"/>
        <v>0</v>
      </c>
      <c r="Z1254" s="10">
        <f t="shared" si="171"/>
        <v>0</v>
      </c>
    </row>
    <row r="1255" spans="1:26" ht="18" customHeight="1" x14ac:dyDescent="0.25">
      <c r="A1255" s="14"/>
      <c r="B1255" s="67"/>
      <c r="C1255" s="14"/>
      <c r="D1255" s="14"/>
      <c r="E1255" s="14"/>
      <c r="F1255" s="15"/>
      <c r="G1255" s="125"/>
      <c r="H1255" s="18"/>
      <c r="I1255" s="15" t="s">
        <v>0</v>
      </c>
      <c r="J1255" s="15"/>
      <c r="K1255" s="15"/>
      <c r="L1255" s="18" t="s">
        <v>0</v>
      </c>
      <c r="M1255" s="19"/>
      <c r="N1255" s="20"/>
      <c r="O1255" s="20"/>
      <c r="P1255" s="20"/>
      <c r="Q1255" s="20"/>
      <c r="R1255" s="19"/>
      <c r="S1255" s="19"/>
      <c r="T1255" s="19"/>
      <c r="U1255" s="105"/>
      <c r="X1255" s="10">
        <f t="shared" si="172"/>
        <v>0</v>
      </c>
      <c r="Y1255" s="2">
        <f t="shared" si="173"/>
        <v>0</v>
      </c>
      <c r="Z1255" s="10"/>
    </row>
    <row r="1256" spans="1:26" s="5" customFormat="1" ht="33.75" customHeight="1" x14ac:dyDescent="0.25">
      <c r="A1256" s="19"/>
      <c r="B1256" s="46"/>
      <c r="C1256" s="19"/>
      <c r="D1256" s="19"/>
      <c r="E1256" s="19" t="s">
        <v>139</v>
      </c>
      <c r="F1256" s="46"/>
      <c r="G1256" s="32">
        <f>SUM(G1214:G1255)</f>
        <v>986085</v>
      </c>
      <c r="H1256" s="32">
        <f t="shared" ref="H1256:R1256" si="174">SUM(H1214:H1255)</f>
        <v>0</v>
      </c>
      <c r="I1256" s="32">
        <f t="shared" si="174"/>
        <v>0</v>
      </c>
      <c r="J1256" s="32"/>
      <c r="K1256" s="32"/>
      <c r="L1256" s="32">
        <f t="shared" si="174"/>
        <v>253217</v>
      </c>
      <c r="M1256" s="37">
        <f t="shared" si="174"/>
        <v>430349889</v>
      </c>
      <c r="N1256" s="38">
        <f t="shared" si="174"/>
        <v>0</v>
      </c>
      <c r="O1256" s="38">
        <f t="shared" si="174"/>
        <v>0</v>
      </c>
      <c r="P1256" s="38">
        <f t="shared" si="174"/>
        <v>0</v>
      </c>
      <c r="Q1256" s="38">
        <f t="shared" si="174"/>
        <v>100000</v>
      </c>
      <c r="R1256" s="37">
        <f t="shared" si="174"/>
        <v>430449889</v>
      </c>
      <c r="S1256" s="37">
        <f>SUM(S1214:S1255)</f>
        <v>600000</v>
      </c>
      <c r="T1256" s="37">
        <f>SUM(T1214:T1255)</f>
        <v>431049889</v>
      </c>
      <c r="U1256" s="147"/>
      <c r="X1256" s="10">
        <f t="shared" si="172"/>
        <v>430349889</v>
      </c>
      <c r="Y1256" s="2">
        <f t="shared" si="173"/>
        <v>10000</v>
      </c>
      <c r="Z1256" s="10"/>
    </row>
    <row r="1257" spans="1:26" ht="18" customHeight="1" x14ac:dyDescent="0.25">
      <c r="B1257" s="88"/>
      <c r="G1257" s="126"/>
      <c r="H1257" s="127"/>
      <c r="I1257" s="7"/>
      <c r="J1257" s="7"/>
      <c r="K1257" s="7"/>
      <c r="L1257" s="28"/>
      <c r="X1257" s="10">
        <f t="shared" si="172"/>
        <v>0</v>
      </c>
      <c r="Y1257" s="2">
        <f t="shared" si="173"/>
        <v>0</v>
      </c>
      <c r="Z1257" s="10"/>
    </row>
    <row r="1258" spans="1:26" ht="18" customHeight="1" x14ac:dyDescent="0.25">
      <c r="B1258" s="88"/>
      <c r="G1258" s="126"/>
      <c r="H1258" s="127"/>
      <c r="I1258" s="7"/>
      <c r="J1258" s="7"/>
      <c r="K1258" s="7"/>
      <c r="L1258" s="28"/>
      <c r="X1258" s="10">
        <f t="shared" si="172"/>
        <v>0</v>
      </c>
      <c r="Y1258" s="2">
        <f t="shared" si="173"/>
        <v>0</v>
      </c>
      <c r="Z1258" s="10"/>
    </row>
    <row r="1259" spans="1:26" ht="18" customHeight="1" x14ac:dyDescent="0.25">
      <c r="B1259" s="88"/>
      <c r="G1259" s="128"/>
      <c r="H1259" s="31"/>
      <c r="L1259" s="31"/>
      <c r="X1259" s="10">
        <f t="shared" si="172"/>
        <v>0</v>
      </c>
      <c r="Y1259" s="2">
        <f t="shared" si="173"/>
        <v>0</v>
      </c>
      <c r="Z1259" s="10"/>
    </row>
    <row r="1260" spans="1:26" s="84" customFormat="1" ht="39" customHeight="1" x14ac:dyDescent="0.25">
      <c r="A1260" s="9" t="s">
        <v>4</v>
      </c>
      <c r="B1260" s="21" t="s">
        <v>5</v>
      </c>
      <c r="C1260" s="21" t="s">
        <v>6</v>
      </c>
      <c r="D1260" s="12"/>
      <c r="E1260" s="9" t="s">
        <v>7</v>
      </c>
      <c r="F1260" s="21" t="s">
        <v>8</v>
      </c>
      <c r="G1260" s="21" t="s">
        <v>9</v>
      </c>
      <c r="H1260" s="21" t="s">
        <v>10</v>
      </c>
      <c r="I1260" s="21" t="s">
        <v>11</v>
      </c>
      <c r="J1260" s="21" t="s">
        <v>12</v>
      </c>
      <c r="K1260" s="21" t="s">
        <v>13</v>
      </c>
      <c r="L1260" s="21" t="s">
        <v>14</v>
      </c>
      <c r="M1260" s="143" t="s">
        <v>15</v>
      </c>
      <c r="N1260" s="144" t="s">
        <v>16</v>
      </c>
      <c r="O1260" s="144" t="s">
        <v>17</v>
      </c>
      <c r="P1260" s="144" t="s">
        <v>18</v>
      </c>
      <c r="Q1260" s="144" t="s">
        <v>19</v>
      </c>
      <c r="R1260" s="143" t="s">
        <v>20</v>
      </c>
      <c r="S1260" s="143" t="s">
        <v>3471</v>
      </c>
      <c r="T1260" s="143" t="s">
        <v>3472</v>
      </c>
      <c r="U1260" s="145"/>
      <c r="V1260" s="145"/>
      <c r="W1260" s="145"/>
      <c r="X1260" s="145"/>
    </row>
    <row r="1261" spans="1:26" ht="18" customHeight="1" x14ac:dyDescent="0.25">
      <c r="A1261" s="14"/>
      <c r="B1261" s="67"/>
      <c r="C1261" s="14"/>
      <c r="D1261" s="14"/>
      <c r="E1261" s="14"/>
      <c r="F1261" s="15"/>
      <c r="G1261" s="125"/>
      <c r="H1261" s="18"/>
      <c r="I1261" s="15" t="s">
        <v>0</v>
      </c>
      <c r="J1261" s="15"/>
      <c r="K1261" s="15"/>
      <c r="L1261" s="18" t="s">
        <v>0</v>
      </c>
      <c r="M1261" s="19"/>
      <c r="N1261" s="20"/>
      <c r="O1261" s="20"/>
      <c r="P1261" s="20"/>
      <c r="Q1261" s="20"/>
      <c r="R1261" s="19"/>
      <c r="S1261" s="19"/>
      <c r="T1261" s="19"/>
      <c r="U1261" s="105"/>
      <c r="X1261" s="10">
        <f>M1261+N1261+O1261+P1261</f>
        <v>0</v>
      </c>
      <c r="Y1261" s="2">
        <f>IF(X1261&gt;5000000,10000,IF(V1261&lt;5000000,0,IF(V1261=5000000,10000)))</f>
        <v>0</v>
      </c>
      <c r="Z1261" s="10"/>
    </row>
    <row r="1262" spans="1:26" ht="18" customHeight="1" x14ac:dyDescent="0.25">
      <c r="A1262" s="14" t="s">
        <v>0</v>
      </c>
      <c r="B1262" s="67"/>
      <c r="C1262" s="14"/>
      <c r="D1262" s="14"/>
      <c r="E1262" s="14" t="s">
        <v>141</v>
      </c>
      <c r="F1262" s="15"/>
      <c r="G1262" s="32">
        <f>+G1256</f>
        <v>986085</v>
      </c>
      <c r="H1262" s="32">
        <f t="shared" ref="H1262:R1262" si="175">+H1256</f>
        <v>0</v>
      </c>
      <c r="I1262" s="32">
        <f t="shared" si="175"/>
        <v>0</v>
      </c>
      <c r="J1262" s="32"/>
      <c r="K1262" s="32"/>
      <c r="L1262" s="32">
        <f t="shared" si="175"/>
        <v>253217</v>
      </c>
      <c r="M1262" s="37">
        <f t="shared" si="175"/>
        <v>430349889</v>
      </c>
      <c r="N1262" s="38">
        <f t="shared" si="175"/>
        <v>0</v>
      </c>
      <c r="O1262" s="38">
        <f t="shared" si="175"/>
        <v>0</v>
      </c>
      <c r="P1262" s="38">
        <f t="shared" si="175"/>
        <v>0</v>
      </c>
      <c r="Q1262" s="38">
        <f t="shared" si="175"/>
        <v>100000</v>
      </c>
      <c r="R1262" s="37">
        <f t="shared" si="175"/>
        <v>430449889</v>
      </c>
      <c r="S1262" s="37">
        <f>+S1256</f>
        <v>600000</v>
      </c>
      <c r="T1262" s="37">
        <f>+T1256</f>
        <v>431049889</v>
      </c>
      <c r="U1262" s="147"/>
      <c r="X1262" s="10">
        <f t="shared" si="172"/>
        <v>430349889</v>
      </c>
      <c r="Y1262" s="2">
        <f t="shared" si="173"/>
        <v>10000</v>
      </c>
      <c r="Z1262" s="10"/>
    </row>
    <row r="1263" spans="1:26" ht="18" customHeight="1" x14ac:dyDescent="0.25">
      <c r="A1263" s="14">
        <v>201</v>
      </c>
      <c r="B1263" s="67" t="s">
        <v>3273</v>
      </c>
      <c r="C1263" s="14" t="s">
        <v>3274</v>
      </c>
      <c r="D1263" s="14" t="s">
        <v>28</v>
      </c>
      <c r="E1263" s="14" t="s">
        <v>2579</v>
      </c>
      <c r="F1263" s="15" t="s">
        <v>24</v>
      </c>
      <c r="G1263" s="16">
        <v>3500</v>
      </c>
      <c r="H1263" s="46" t="s">
        <v>25</v>
      </c>
      <c r="I1263" s="15" t="s">
        <v>3275</v>
      </c>
      <c r="J1263" s="15">
        <v>23195</v>
      </c>
      <c r="K1263" s="15">
        <v>23546</v>
      </c>
      <c r="L1263" s="18">
        <v>351</v>
      </c>
      <c r="M1263" s="19">
        <v>596535</v>
      </c>
      <c r="N1263" s="20">
        <v>0</v>
      </c>
      <c r="O1263" s="20">
        <v>0</v>
      </c>
      <c r="P1263" s="20">
        <v>0</v>
      </c>
      <c r="Q1263" s="20">
        <v>0</v>
      </c>
      <c r="R1263" s="19">
        <f t="shared" ref="R1263:R1287" si="176">M1263+N1263+O1263+P1263+Q1263</f>
        <v>596535</v>
      </c>
      <c r="S1263" s="19">
        <v>3000</v>
      </c>
      <c r="T1263" s="19">
        <f t="shared" ref="T1263:T1287" si="177">R1263+S1263</f>
        <v>599535</v>
      </c>
      <c r="U1263" s="105"/>
      <c r="X1263" s="10">
        <f t="shared" si="172"/>
        <v>596535</v>
      </c>
      <c r="Y1263" s="2">
        <f t="shared" si="173"/>
        <v>0</v>
      </c>
      <c r="Z1263" s="10">
        <f t="shared" ref="Z1263:Z1287" si="178">Q1263-Y1263</f>
        <v>0</v>
      </c>
    </row>
    <row r="1264" spans="1:26" ht="18" customHeight="1" x14ac:dyDescent="0.25">
      <c r="A1264" s="14">
        <v>202</v>
      </c>
      <c r="B1264" s="67" t="s">
        <v>3276</v>
      </c>
      <c r="C1264" s="14" t="s">
        <v>3277</v>
      </c>
      <c r="D1264" s="14" t="s">
        <v>28</v>
      </c>
      <c r="E1264" s="14" t="s">
        <v>2933</v>
      </c>
      <c r="F1264" s="15" t="s">
        <v>24</v>
      </c>
      <c r="G1264" s="16">
        <v>3500</v>
      </c>
      <c r="H1264" s="46" t="s">
        <v>25</v>
      </c>
      <c r="I1264" s="15" t="s">
        <v>3278</v>
      </c>
      <c r="J1264" s="15">
        <v>8186</v>
      </c>
      <c r="K1264" s="15">
        <v>8615</v>
      </c>
      <c r="L1264" s="18">
        <v>429</v>
      </c>
      <c r="M1264" s="19">
        <v>729098</v>
      </c>
      <c r="N1264" s="20">
        <v>0</v>
      </c>
      <c r="O1264" s="20">
        <v>0</v>
      </c>
      <c r="P1264" s="20">
        <v>0</v>
      </c>
      <c r="Q1264" s="20">
        <v>0</v>
      </c>
      <c r="R1264" s="19">
        <f t="shared" si="176"/>
        <v>729098</v>
      </c>
      <c r="S1264" s="19">
        <v>3000</v>
      </c>
      <c r="T1264" s="19">
        <f t="shared" si="177"/>
        <v>732098</v>
      </c>
      <c r="U1264" s="105"/>
      <c r="X1264" s="10">
        <f t="shared" si="172"/>
        <v>729098</v>
      </c>
      <c r="Y1264" s="2">
        <f t="shared" si="173"/>
        <v>0</v>
      </c>
      <c r="Z1264" s="10">
        <f t="shared" si="178"/>
        <v>0</v>
      </c>
    </row>
    <row r="1265" spans="1:26" ht="18" customHeight="1" x14ac:dyDescent="0.25">
      <c r="A1265" s="14">
        <v>203</v>
      </c>
      <c r="B1265" s="67" t="s">
        <v>3279</v>
      </c>
      <c r="C1265" s="14" t="s">
        <v>3280</v>
      </c>
      <c r="D1265" s="14" t="s">
        <v>28</v>
      </c>
      <c r="E1265" s="14" t="s">
        <v>2744</v>
      </c>
      <c r="F1265" s="15" t="s">
        <v>24</v>
      </c>
      <c r="G1265" s="16">
        <v>2200</v>
      </c>
      <c r="H1265" s="46" t="s">
        <v>25</v>
      </c>
      <c r="I1265" s="15" t="s">
        <v>3281</v>
      </c>
      <c r="J1265" s="15">
        <v>38784</v>
      </c>
      <c r="K1265" s="15">
        <v>39310</v>
      </c>
      <c r="L1265" s="18">
        <v>526</v>
      </c>
      <c r="M1265" s="19">
        <v>893953</v>
      </c>
      <c r="N1265" s="20">
        <v>0</v>
      </c>
      <c r="O1265" s="20">
        <v>0</v>
      </c>
      <c r="P1265" s="20">
        <v>0</v>
      </c>
      <c r="Q1265" s="20">
        <v>0</v>
      </c>
      <c r="R1265" s="19">
        <f t="shared" si="176"/>
        <v>893953</v>
      </c>
      <c r="S1265" s="19">
        <v>3000</v>
      </c>
      <c r="T1265" s="19">
        <f t="shared" si="177"/>
        <v>896953</v>
      </c>
      <c r="U1265" s="105"/>
      <c r="X1265" s="10">
        <f t="shared" si="172"/>
        <v>893953</v>
      </c>
      <c r="Y1265" s="2">
        <f t="shared" si="173"/>
        <v>0</v>
      </c>
      <c r="Z1265" s="10">
        <f t="shared" si="178"/>
        <v>0</v>
      </c>
    </row>
    <row r="1266" spans="1:26" ht="18" customHeight="1" x14ac:dyDescent="0.25">
      <c r="A1266" s="14">
        <v>204</v>
      </c>
      <c r="B1266" s="67" t="s">
        <v>3282</v>
      </c>
      <c r="C1266" s="14" t="s">
        <v>3283</v>
      </c>
      <c r="D1266" s="14" t="s">
        <v>28</v>
      </c>
      <c r="E1266" s="14" t="s">
        <v>3115</v>
      </c>
      <c r="F1266" s="15" t="s">
        <v>24</v>
      </c>
      <c r="G1266" s="16">
        <v>3500</v>
      </c>
      <c r="H1266" s="46" t="s">
        <v>25</v>
      </c>
      <c r="I1266" s="15" t="s">
        <v>3284</v>
      </c>
      <c r="J1266" s="15">
        <v>79993</v>
      </c>
      <c r="K1266" s="15">
        <v>81030</v>
      </c>
      <c r="L1266" s="18">
        <v>1037</v>
      </c>
      <c r="M1266" s="19">
        <v>1762413</v>
      </c>
      <c r="N1266" s="20">
        <v>0</v>
      </c>
      <c r="O1266" s="20">
        <v>0</v>
      </c>
      <c r="P1266" s="20">
        <v>0</v>
      </c>
      <c r="Q1266" s="20">
        <v>0</v>
      </c>
      <c r="R1266" s="19">
        <f t="shared" si="176"/>
        <v>1762413</v>
      </c>
      <c r="S1266" s="19">
        <v>3000</v>
      </c>
      <c r="T1266" s="19">
        <f t="shared" si="177"/>
        <v>1765413</v>
      </c>
      <c r="U1266" s="105"/>
      <c r="X1266" s="10">
        <f t="shared" si="172"/>
        <v>1762413</v>
      </c>
      <c r="Y1266" s="2">
        <f t="shared" si="173"/>
        <v>0</v>
      </c>
      <c r="Z1266" s="10">
        <f t="shared" si="178"/>
        <v>0</v>
      </c>
    </row>
    <row r="1267" spans="1:26" ht="18" customHeight="1" x14ac:dyDescent="0.25">
      <c r="A1267" s="14">
        <v>205</v>
      </c>
      <c r="B1267" s="67" t="s">
        <v>3285</v>
      </c>
      <c r="C1267" s="14" t="s">
        <v>3286</v>
      </c>
      <c r="D1267" s="14" t="s">
        <v>28</v>
      </c>
      <c r="E1267" s="14" t="s">
        <v>2906</v>
      </c>
      <c r="F1267" s="15" t="s">
        <v>24</v>
      </c>
      <c r="G1267" s="16">
        <v>2200</v>
      </c>
      <c r="H1267" s="46" t="s">
        <v>25</v>
      </c>
      <c r="I1267" s="15" t="s">
        <v>3287</v>
      </c>
      <c r="J1267" s="15">
        <v>31966</v>
      </c>
      <c r="K1267" s="15">
        <v>32559</v>
      </c>
      <c r="L1267" s="18">
        <v>593</v>
      </c>
      <c r="M1267" s="19">
        <v>1007821</v>
      </c>
      <c r="N1267" s="20">
        <v>0</v>
      </c>
      <c r="O1267" s="20">
        <v>0</v>
      </c>
      <c r="P1267" s="20">
        <v>0</v>
      </c>
      <c r="Q1267" s="20">
        <v>0</v>
      </c>
      <c r="R1267" s="19">
        <f t="shared" si="176"/>
        <v>1007821</v>
      </c>
      <c r="S1267" s="19">
        <v>3000</v>
      </c>
      <c r="T1267" s="19">
        <f t="shared" si="177"/>
        <v>1010821</v>
      </c>
      <c r="U1267" s="105"/>
      <c r="X1267" s="10">
        <f t="shared" si="172"/>
        <v>1007821</v>
      </c>
      <c r="Y1267" s="2">
        <f t="shared" si="173"/>
        <v>0</v>
      </c>
      <c r="Z1267" s="10">
        <f t="shared" si="178"/>
        <v>0</v>
      </c>
    </row>
    <row r="1268" spans="1:26" ht="18" customHeight="1" x14ac:dyDescent="0.25">
      <c r="A1268" s="14">
        <v>206</v>
      </c>
      <c r="B1268" s="67" t="s">
        <v>3288</v>
      </c>
      <c r="C1268" s="14" t="s">
        <v>3289</v>
      </c>
      <c r="D1268" s="14" t="s">
        <v>28</v>
      </c>
      <c r="E1268" s="14" t="s">
        <v>2933</v>
      </c>
      <c r="F1268" s="15" t="s">
        <v>24</v>
      </c>
      <c r="G1268" s="16">
        <v>2200</v>
      </c>
      <c r="H1268" s="46" t="s">
        <v>25</v>
      </c>
      <c r="I1268" s="15" t="s">
        <v>3290</v>
      </c>
      <c r="J1268" s="15">
        <v>28390</v>
      </c>
      <c r="K1268" s="15">
        <v>28897</v>
      </c>
      <c r="L1268" s="18">
        <v>507</v>
      </c>
      <c r="M1268" s="19">
        <v>861662</v>
      </c>
      <c r="N1268" s="20">
        <v>0</v>
      </c>
      <c r="O1268" s="20">
        <v>0</v>
      </c>
      <c r="P1268" s="20">
        <v>0</v>
      </c>
      <c r="Q1268" s="20">
        <v>0</v>
      </c>
      <c r="R1268" s="19">
        <f t="shared" si="176"/>
        <v>861662</v>
      </c>
      <c r="S1268" s="19">
        <v>3000</v>
      </c>
      <c r="T1268" s="19">
        <f t="shared" si="177"/>
        <v>864662</v>
      </c>
      <c r="U1268" s="105"/>
      <c r="X1268" s="10">
        <f t="shared" si="172"/>
        <v>861662</v>
      </c>
      <c r="Y1268" s="2">
        <f t="shared" si="173"/>
        <v>0</v>
      </c>
      <c r="Z1268" s="10">
        <f t="shared" si="178"/>
        <v>0</v>
      </c>
    </row>
    <row r="1269" spans="1:26" ht="18" customHeight="1" x14ac:dyDescent="0.25">
      <c r="A1269" s="14">
        <v>207</v>
      </c>
      <c r="B1269" s="67" t="s">
        <v>3291</v>
      </c>
      <c r="C1269" s="14" t="s">
        <v>3292</v>
      </c>
      <c r="D1269" s="14" t="s">
        <v>28</v>
      </c>
      <c r="E1269" s="14" t="s">
        <v>3293</v>
      </c>
      <c r="F1269" s="15" t="s">
        <v>24</v>
      </c>
      <c r="G1269" s="16">
        <v>4400</v>
      </c>
      <c r="H1269" s="46" t="s">
        <v>25</v>
      </c>
      <c r="I1269" s="15" t="s">
        <v>692</v>
      </c>
      <c r="J1269" s="15">
        <v>75767</v>
      </c>
      <c r="K1269" s="15">
        <v>76711</v>
      </c>
      <c r="L1269" s="18">
        <v>944</v>
      </c>
      <c r="M1269" s="19">
        <v>1604356</v>
      </c>
      <c r="N1269" s="20">
        <v>0</v>
      </c>
      <c r="O1269" s="20">
        <v>0</v>
      </c>
      <c r="P1269" s="20">
        <v>0</v>
      </c>
      <c r="Q1269" s="20">
        <v>0</v>
      </c>
      <c r="R1269" s="19">
        <f t="shared" si="176"/>
        <v>1604356</v>
      </c>
      <c r="S1269" s="19">
        <v>3000</v>
      </c>
      <c r="T1269" s="19">
        <f t="shared" si="177"/>
        <v>1607356</v>
      </c>
      <c r="U1269" s="105"/>
      <c r="X1269" s="10">
        <f t="shared" si="172"/>
        <v>1604356</v>
      </c>
      <c r="Y1269" s="2">
        <f t="shared" si="173"/>
        <v>0</v>
      </c>
      <c r="Z1269" s="10">
        <f t="shared" si="178"/>
        <v>0</v>
      </c>
    </row>
    <row r="1270" spans="1:26" ht="18" customHeight="1" x14ac:dyDescent="0.25">
      <c r="A1270" s="14">
        <v>208</v>
      </c>
      <c r="B1270" s="67" t="s">
        <v>3294</v>
      </c>
      <c r="C1270" s="14" t="s">
        <v>3295</v>
      </c>
      <c r="D1270" s="14" t="s">
        <v>28</v>
      </c>
      <c r="E1270" s="14" t="s">
        <v>3296</v>
      </c>
      <c r="F1270" s="15" t="s">
        <v>24</v>
      </c>
      <c r="G1270" s="16">
        <v>2200</v>
      </c>
      <c r="H1270" s="46" t="s">
        <v>25</v>
      </c>
      <c r="I1270" s="15" t="s">
        <v>696</v>
      </c>
      <c r="J1270" s="15">
        <v>51668</v>
      </c>
      <c r="K1270" s="15">
        <v>52307</v>
      </c>
      <c r="L1270" s="18">
        <v>639</v>
      </c>
      <c r="M1270" s="19">
        <v>1086000</v>
      </c>
      <c r="N1270" s="20">
        <v>0</v>
      </c>
      <c r="O1270" s="20">
        <v>0</v>
      </c>
      <c r="P1270" s="20">
        <v>0</v>
      </c>
      <c r="Q1270" s="20">
        <v>0</v>
      </c>
      <c r="R1270" s="19">
        <f t="shared" si="176"/>
        <v>1086000</v>
      </c>
      <c r="S1270" s="19">
        <v>3000</v>
      </c>
      <c r="T1270" s="19">
        <f t="shared" si="177"/>
        <v>1089000</v>
      </c>
      <c r="U1270" s="105"/>
      <c r="X1270" s="10">
        <f t="shared" si="172"/>
        <v>1086000</v>
      </c>
      <c r="Y1270" s="2">
        <f t="shared" si="173"/>
        <v>0</v>
      </c>
      <c r="Z1270" s="10">
        <f t="shared" si="178"/>
        <v>0</v>
      </c>
    </row>
    <row r="1271" spans="1:26" ht="18" customHeight="1" x14ac:dyDescent="0.25">
      <c r="A1271" s="14">
        <v>209</v>
      </c>
      <c r="B1271" s="67" t="s">
        <v>3297</v>
      </c>
      <c r="C1271" s="14" t="s">
        <v>3298</v>
      </c>
      <c r="D1271" s="14" t="s">
        <v>28</v>
      </c>
      <c r="E1271" s="14" t="s">
        <v>3299</v>
      </c>
      <c r="F1271" s="15" t="s">
        <v>24</v>
      </c>
      <c r="G1271" s="16">
        <v>2200</v>
      </c>
      <c r="H1271" s="46" t="s">
        <v>25</v>
      </c>
      <c r="I1271" s="15" t="s">
        <v>3300</v>
      </c>
      <c r="J1271" s="15">
        <v>14608</v>
      </c>
      <c r="K1271" s="15">
        <v>14928</v>
      </c>
      <c r="L1271" s="18">
        <v>320</v>
      </c>
      <c r="M1271" s="19">
        <v>543850</v>
      </c>
      <c r="N1271" s="20">
        <v>0</v>
      </c>
      <c r="O1271" s="20">
        <v>0</v>
      </c>
      <c r="P1271" s="20">
        <v>0</v>
      </c>
      <c r="Q1271" s="20">
        <v>0</v>
      </c>
      <c r="R1271" s="19">
        <f t="shared" si="176"/>
        <v>543850</v>
      </c>
      <c r="S1271" s="19">
        <v>3000</v>
      </c>
      <c r="T1271" s="19">
        <f t="shared" si="177"/>
        <v>546850</v>
      </c>
      <c r="U1271" s="105"/>
      <c r="X1271" s="10">
        <f t="shared" si="172"/>
        <v>543850</v>
      </c>
      <c r="Y1271" s="2">
        <f t="shared" si="173"/>
        <v>0</v>
      </c>
      <c r="Z1271" s="10">
        <f t="shared" si="178"/>
        <v>0</v>
      </c>
    </row>
    <row r="1272" spans="1:26" ht="18" customHeight="1" x14ac:dyDescent="0.25">
      <c r="A1272" s="14">
        <v>210</v>
      </c>
      <c r="B1272" s="67" t="s">
        <v>3301</v>
      </c>
      <c r="C1272" s="14" t="s">
        <v>3302</v>
      </c>
      <c r="D1272" s="14" t="s">
        <v>28</v>
      </c>
      <c r="E1272" s="14" t="s">
        <v>2721</v>
      </c>
      <c r="F1272" s="15" t="s">
        <v>24</v>
      </c>
      <c r="G1272" s="16">
        <v>3500</v>
      </c>
      <c r="H1272" s="46" t="s">
        <v>25</v>
      </c>
      <c r="I1272" s="15" t="s">
        <v>3303</v>
      </c>
      <c r="J1272" s="15">
        <v>29348</v>
      </c>
      <c r="K1272" s="15">
        <v>29906</v>
      </c>
      <c r="L1272" s="18">
        <v>558</v>
      </c>
      <c r="M1272" s="19">
        <v>948338</v>
      </c>
      <c r="N1272" s="20">
        <v>0</v>
      </c>
      <c r="O1272" s="20">
        <v>0</v>
      </c>
      <c r="P1272" s="20">
        <v>0</v>
      </c>
      <c r="Q1272" s="20">
        <v>0</v>
      </c>
      <c r="R1272" s="19">
        <f t="shared" si="176"/>
        <v>948338</v>
      </c>
      <c r="S1272" s="19">
        <v>3000</v>
      </c>
      <c r="T1272" s="19">
        <f t="shared" si="177"/>
        <v>951338</v>
      </c>
      <c r="U1272" s="105"/>
      <c r="X1272" s="10">
        <f t="shared" si="172"/>
        <v>948338</v>
      </c>
      <c r="Y1272" s="2">
        <f t="shared" si="173"/>
        <v>0</v>
      </c>
      <c r="Z1272" s="10">
        <f t="shared" si="178"/>
        <v>0</v>
      </c>
    </row>
    <row r="1273" spans="1:26" ht="18" customHeight="1" x14ac:dyDescent="0.25">
      <c r="A1273" s="14">
        <v>211</v>
      </c>
      <c r="B1273" s="67" t="s">
        <v>3304</v>
      </c>
      <c r="C1273" s="14" t="s">
        <v>3305</v>
      </c>
      <c r="D1273" s="14" t="s">
        <v>28</v>
      </c>
      <c r="E1273" s="14" t="s">
        <v>2579</v>
      </c>
      <c r="F1273" s="15" t="s">
        <v>24</v>
      </c>
      <c r="G1273" s="16">
        <v>4400</v>
      </c>
      <c r="H1273" s="46" t="s">
        <v>25</v>
      </c>
      <c r="I1273" s="15" t="s">
        <v>3306</v>
      </c>
      <c r="J1273" s="15">
        <v>68833</v>
      </c>
      <c r="K1273" s="15">
        <v>69543</v>
      </c>
      <c r="L1273" s="18">
        <v>710</v>
      </c>
      <c r="M1273" s="19">
        <v>1206666</v>
      </c>
      <c r="N1273" s="20">
        <v>0</v>
      </c>
      <c r="O1273" s="20">
        <v>0</v>
      </c>
      <c r="P1273" s="20">
        <v>0</v>
      </c>
      <c r="Q1273" s="20">
        <v>0</v>
      </c>
      <c r="R1273" s="19">
        <f t="shared" si="176"/>
        <v>1206666</v>
      </c>
      <c r="S1273" s="19">
        <v>3000</v>
      </c>
      <c r="T1273" s="19">
        <f t="shared" si="177"/>
        <v>1209666</v>
      </c>
      <c r="U1273" s="105"/>
      <c r="X1273" s="10">
        <f t="shared" si="172"/>
        <v>1206666</v>
      </c>
      <c r="Y1273" s="2">
        <f t="shared" si="173"/>
        <v>0</v>
      </c>
      <c r="Z1273" s="10">
        <f t="shared" si="178"/>
        <v>0</v>
      </c>
    </row>
    <row r="1274" spans="1:26" ht="18" customHeight="1" x14ac:dyDescent="0.25">
      <c r="A1274" s="14">
        <v>212</v>
      </c>
      <c r="B1274" s="67" t="s">
        <v>3307</v>
      </c>
      <c r="C1274" s="14" t="s">
        <v>3308</v>
      </c>
      <c r="D1274" s="14" t="s">
        <v>28</v>
      </c>
      <c r="E1274" s="14" t="s">
        <v>3309</v>
      </c>
      <c r="F1274" s="15" t="s">
        <v>24</v>
      </c>
      <c r="G1274" s="16">
        <v>2200</v>
      </c>
      <c r="H1274" s="46" t="s">
        <v>25</v>
      </c>
      <c r="I1274" s="15" t="s">
        <v>3310</v>
      </c>
      <c r="J1274" s="15">
        <v>2611</v>
      </c>
      <c r="K1274" s="15">
        <v>2668</v>
      </c>
      <c r="L1274" s="18">
        <v>88</v>
      </c>
      <c r="M1274" s="19">
        <v>149559</v>
      </c>
      <c r="N1274" s="20">
        <v>0</v>
      </c>
      <c r="O1274" s="20">
        <v>0</v>
      </c>
      <c r="P1274" s="20">
        <v>0</v>
      </c>
      <c r="Q1274" s="20">
        <v>0</v>
      </c>
      <c r="R1274" s="19">
        <f t="shared" si="176"/>
        <v>149559</v>
      </c>
      <c r="S1274" s="19">
        <v>3000</v>
      </c>
      <c r="T1274" s="19">
        <f t="shared" si="177"/>
        <v>152559</v>
      </c>
      <c r="U1274" s="105"/>
      <c r="X1274" s="10">
        <f t="shared" si="172"/>
        <v>149559</v>
      </c>
      <c r="Y1274" s="2">
        <f t="shared" si="173"/>
        <v>0</v>
      </c>
      <c r="Z1274" s="10">
        <f t="shared" si="178"/>
        <v>0</v>
      </c>
    </row>
    <row r="1275" spans="1:26" ht="18" customHeight="1" x14ac:dyDescent="0.25">
      <c r="A1275" s="14">
        <v>213</v>
      </c>
      <c r="B1275" s="67" t="s">
        <v>3311</v>
      </c>
      <c r="C1275" s="14" t="s">
        <v>3312</v>
      </c>
      <c r="D1275" s="14" t="s">
        <v>28</v>
      </c>
      <c r="E1275" s="14" t="s">
        <v>3313</v>
      </c>
      <c r="F1275" s="15" t="s">
        <v>24</v>
      </c>
      <c r="G1275" s="16">
        <v>3500</v>
      </c>
      <c r="H1275" s="46" t="s">
        <v>25</v>
      </c>
      <c r="I1275" s="15" t="s">
        <v>3314</v>
      </c>
      <c r="J1275" s="15">
        <v>99561</v>
      </c>
      <c r="K1275" s="15">
        <v>1050</v>
      </c>
      <c r="L1275" s="18">
        <v>1489</v>
      </c>
      <c r="M1275" s="19">
        <v>2530600</v>
      </c>
      <c r="N1275" s="20">
        <v>0</v>
      </c>
      <c r="O1275" s="20">
        <v>0</v>
      </c>
      <c r="P1275" s="20">
        <v>0</v>
      </c>
      <c r="Q1275" s="20">
        <v>0</v>
      </c>
      <c r="R1275" s="19">
        <f t="shared" si="176"/>
        <v>2530600</v>
      </c>
      <c r="S1275" s="19">
        <v>3000</v>
      </c>
      <c r="T1275" s="19">
        <f t="shared" si="177"/>
        <v>2533600</v>
      </c>
      <c r="U1275" s="105"/>
      <c r="X1275" s="10">
        <f t="shared" si="172"/>
        <v>2530600</v>
      </c>
      <c r="Y1275" s="2">
        <f t="shared" si="173"/>
        <v>0</v>
      </c>
      <c r="Z1275" s="10">
        <f t="shared" si="178"/>
        <v>0</v>
      </c>
    </row>
    <row r="1276" spans="1:26" ht="18" customHeight="1" x14ac:dyDescent="0.25">
      <c r="A1276" s="14">
        <v>214</v>
      </c>
      <c r="B1276" s="67" t="s">
        <v>3315</v>
      </c>
      <c r="C1276" s="14" t="s">
        <v>3316</v>
      </c>
      <c r="D1276" s="14" t="s">
        <v>28</v>
      </c>
      <c r="E1276" s="14" t="s">
        <v>3317</v>
      </c>
      <c r="F1276" s="15" t="s">
        <v>24</v>
      </c>
      <c r="G1276" s="16">
        <v>2200</v>
      </c>
      <c r="H1276" s="46" t="s">
        <v>25</v>
      </c>
      <c r="I1276" s="15" t="s">
        <v>3318</v>
      </c>
      <c r="J1276" s="15">
        <v>18528</v>
      </c>
      <c r="K1276" s="15">
        <v>18855</v>
      </c>
      <c r="L1276" s="18">
        <v>327</v>
      </c>
      <c r="M1276" s="19">
        <v>555746</v>
      </c>
      <c r="N1276" s="20">
        <v>0</v>
      </c>
      <c r="O1276" s="20">
        <v>0</v>
      </c>
      <c r="P1276" s="20">
        <v>0</v>
      </c>
      <c r="Q1276" s="20">
        <v>0</v>
      </c>
      <c r="R1276" s="19">
        <f t="shared" si="176"/>
        <v>555746</v>
      </c>
      <c r="S1276" s="19">
        <v>3000</v>
      </c>
      <c r="T1276" s="19">
        <f t="shared" si="177"/>
        <v>558746</v>
      </c>
      <c r="U1276" s="105"/>
      <c r="X1276" s="10">
        <f t="shared" si="172"/>
        <v>555746</v>
      </c>
      <c r="Y1276" s="2">
        <f t="shared" si="173"/>
        <v>0</v>
      </c>
      <c r="Z1276" s="10">
        <f t="shared" si="178"/>
        <v>0</v>
      </c>
    </row>
    <row r="1277" spans="1:26" ht="18" customHeight="1" x14ac:dyDescent="0.25">
      <c r="A1277" s="14">
        <v>215</v>
      </c>
      <c r="B1277" s="67" t="s">
        <v>3319</v>
      </c>
      <c r="C1277" s="14" t="s">
        <v>3320</v>
      </c>
      <c r="D1277" s="14" t="s">
        <v>28</v>
      </c>
      <c r="E1277" s="14" t="s">
        <v>2672</v>
      </c>
      <c r="F1277" s="15" t="s">
        <v>24</v>
      </c>
      <c r="G1277" s="16">
        <v>4400</v>
      </c>
      <c r="H1277" s="46" t="s">
        <v>25</v>
      </c>
      <c r="I1277" s="15" t="s">
        <v>3321</v>
      </c>
      <c r="J1277" s="15">
        <v>33947</v>
      </c>
      <c r="K1277" s="15">
        <v>35919</v>
      </c>
      <c r="L1277" s="18">
        <v>1972</v>
      </c>
      <c r="M1277" s="19">
        <v>3351473</v>
      </c>
      <c r="N1277" s="20">
        <v>0</v>
      </c>
      <c r="O1277" s="20">
        <v>0</v>
      </c>
      <c r="P1277" s="20">
        <v>0</v>
      </c>
      <c r="Q1277" s="20">
        <v>0</v>
      </c>
      <c r="R1277" s="19">
        <f t="shared" si="176"/>
        <v>3351473</v>
      </c>
      <c r="S1277" s="19">
        <v>3000</v>
      </c>
      <c r="T1277" s="19">
        <f t="shared" si="177"/>
        <v>3354473</v>
      </c>
      <c r="U1277" s="105"/>
      <c r="X1277" s="10">
        <f t="shared" si="172"/>
        <v>3351473</v>
      </c>
      <c r="Y1277" s="2">
        <f t="shared" si="173"/>
        <v>0</v>
      </c>
      <c r="Z1277" s="10">
        <f t="shared" si="178"/>
        <v>0</v>
      </c>
    </row>
    <row r="1278" spans="1:26" ht="18" customHeight="1" x14ac:dyDescent="0.25">
      <c r="A1278" s="14">
        <v>216</v>
      </c>
      <c r="B1278" s="67" t="s">
        <v>3322</v>
      </c>
      <c r="C1278" s="14" t="s">
        <v>3323</v>
      </c>
      <c r="D1278" s="14" t="s">
        <v>28</v>
      </c>
      <c r="E1278" s="14" t="s">
        <v>3299</v>
      </c>
      <c r="F1278" s="15" t="s">
        <v>24</v>
      </c>
      <c r="G1278" s="16">
        <v>2200</v>
      </c>
      <c r="H1278" s="46" t="s">
        <v>25</v>
      </c>
      <c r="I1278" s="15" t="s">
        <v>3324</v>
      </c>
      <c r="J1278" s="15">
        <v>213</v>
      </c>
      <c r="K1278" s="15">
        <v>235</v>
      </c>
      <c r="L1278" s="18">
        <v>88</v>
      </c>
      <c r="M1278" s="19">
        <v>149559</v>
      </c>
      <c r="N1278" s="20">
        <v>0</v>
      </c>
      <c r="O1278" s="20">
        <v>0</v>
      </c>
      <c r="P1278" s="20">
        <v>0</v>
      </c>
      <c r="Q1278" s="20">
        <v>0</v>
      </c>
      <c r="R1278" s="19">
        <f t="shared" si="176"/>
        <v>149559</v>
      </c>
      <c r="S1278" s="19">
        <v>3000</v>
      </c>
      <c r="T1278" s="19">
        <f t="shared" si="177"/>
        <v>152559</v>
      </c>
      <c r="U1278" s="105"/>
      <c r="X1278" s="10">
        <f t="shared" si="172"/>
        <v>149559</v>
      </c>
      <c r="Y1278" s="2">
        <f t="shared" si="173"/>
        <v>0</v>
      </c>
      <c r="Z1278" s="10">
        <f t="shared" si="178"/>
        <v>0</v>
      </c>
    </row>
    <row r="1279" spans="1:26" ht="18" customHeight="1" x14ac:dyDescent="0.25">
      <c r="A1279" s="14">
        <v>217</v>
      </c>
      <c r="B1279" s="67" t="s">
        <v>3325</v>
      </c>
      <c r="C1279" s="14" t="s">
        <v>3326</v>
      </c>
      <c r="D1279" s="14" t="s">
        <v>28</v>
      </c>
      <c r="E1279" s="14" t="s">
        <v>2769</v>
      </c>
      <c r="F1279" s="15" t="s">
        <v>24</v>
      </c>
      <c r="G1279" s="16">
        <v>2200</v>
      </c>
      <c r="H1279" s="46" t="s">
        <v>25</v>
      </c>
      <c r="I1279" s="15" t="s">
        <v>3327</v>
      </c>
      <c r="J1279" s="15">
        <v>41767</v>
      </c>
      <c r="K1279" s="15">
        <v>42185</v>
      </c>
      <c r="L1279" s="18">
        <v>418</v>
      </c>
      <c r="M1279" s="19">
        <v>710404</v>
      </c>
      <c r="N1279" s="20">
        <v>0</v>
      </c>
      <c r="O1279" s="20">
        <v>0</v>
      </c>
      <c r="P1279" s="20">
        <v>0</v>
      </c>
      <c r="Q1279" s="20">
        <v>0</v>
      </c>
      <c r="R1279" s="19">
        <f t="shared" si="176"/>
        <v>710404</v>
      </c>
      <c r="S1279" s="19">
        <v>3000</v>
      </c>
      <c r="T1279" s="19">
        <f t="shared" si="177"/>
        <v>713404</v>
      </c>
      <c r="U1279" s="105"/>
      <c r="X1279" s="10">
        <f t="shared" si="172"/>
        <v>710404</v>
      </c>
      <c r="Y1279" s="2">
        <f t="shared" si="173"/>
        <v>0</v>
      </c>
      <c r="Z1279" s="10">
        <f t="shared" si="178"/>
        <v>0</v>
      </c>
    </row>
    <row r="1280" spans="1:26" ht="18" customHeight="1" x14ac:dyDescent="0.25">
      <c r="A1280" s="14">
        <v>218</v>
      </c>
      <c r="B1280" s="67" t="s">
        <v>3328</v>
      </c>
      <c r="C1280" s="14" t="s">
        <v>3329</v>
      </c>
      <c r="D1280" s="14" t="s">
        <v>28</v>
      </c>
      <c r="E1280" s="14" t="s">
        <v>3330</v>
      </c>
      <c r="F1280" s="15" t="s">
        <v>24</v>
      </c>
      <c r="G1280" s="16">
        <v>3500</v>
      </c>
      <c r="H1280" s="46" t="s">
        <v>25</v>
      </c>
      <c r="I1280" s="15" t="s">
        <v>3331</v>
      </c>
      <c r="J1280" s="15">
        <v>27345</v>
      </c>
      <c r="K1280" s="15">
        <v>28387</v>
      </c>
      <c r="L1280" s="18">
        <v>1042</v>
      </c>
      <c r="M1280" s="19">
        <v>1770910</v>
      </c>
      <c r="N1280" s="20">
        <v>0</v>
      </c>
      <c r="O1280" s="20">
        <v>0</v>
      </c>
      <c r="P1280" s="20">
        <v>0</v>
      </c>
      <c r="Q1280" s="20">
        <v>0</v>
      </c>
      <c r="R1280" s="19">
        <f t="shared" si="176"/>
        <v>1770910</v>
      </c>
      <c r="S1280" s="19">
        <v>3000</v>
      </c>
      <c r="T1280" s="19">
        <f t="shared" si="177"/>
        <v>1773910</v>
      </c>
      <c r="U1280" s="105"/>
      <c r="X1280" s="10">
        <f t="shared" si="172"/>
        <v>1770910</v>
      </c>
      <c r="Y1280" s="2">
        <f t="shared" si="173"/>
        <v>0</v>
      </c>
      <c r="Z1280" s="10">
        <f t="shared" si="178"/>
        <v>0</v>
      </c>
    </row>
    <row r="1281" spans="1:26" ht="18" customHeight="1" x14ac:dyDescent="0.25">
      <c r="A1281" s="14">
        <v>219</v>
      </c>
      <c r="B1281" s="67" t="s">
        <v>3332</v>
      </c>
      <c r="C1281" s="14" t="s">
        <v>3333</v>
      </c>
      <c r="D1281" s="14" t="s">
        <v>28</v>
      </c>
      <c r="E1281" s="14" t="s">
        <v>3152</v>
      </c>
      <c r="F1281" s="15" t="s">
        <v>24</v>
      </c>
      <c r="G1281" s="16">
        <v>4400</v>
      </c>
      <c r="H1281" s="46" t="s">
        <v>25</v>
      </c>
      <c r="I1281" s="15" t="s">
        <v>702</v>
      </c>
      <c r="J1281" s="15">
        <v>27356</v>
      </c>
      <c r="K1281" s="15">
        <v>28090</v>
      </c>
      <c r="L1281" s="18">
        <v>734</v>
      </c>
      <c r="M1281" s="19">
        <v>1247455</v>
      </c>
      <c r="N1281" s="20">
        <v>0</v>
      </c>
      <c r="O1281" s="20">
        <v>0</v>
      </c>
      <c r="P1281" s="20">
        <v>0</v>
      </c>
      <c r="Q1281" s="20">
        <v>0</v>
      </c>
      <c r="R1281" s="19">
        <f t="shared" si="176"/>
        <v>1247455</v>
      </c>
      <c r="S1281" s="19">
        <v>3000</v>
      </c>
      <c r="T1281" s="19">
        <f t="shared" si="177"/>
        <v>1250455</v>
      </c>
      <c r="U1281" s="105"/>
      <c r="X1281" s="10">
        <f t="shared" ref="X1281:X1328" si="179">M1281+N1281+O1281+P1281</f>
        <v>1247455</v>
      </c>
      <c r="Y1281" s="2">
        <f t="shared" ref="Y1281:Y1326" si="180">IF(X1281&gt;5000000,10000,IF(V1281&lt;5000000,0,IF(V1281=5000000,10000)))</f>
        <v>0</v>
      </c>
      <c r="Z1281" s="10">
        <f t="shared" si="178"/>
        <v>0</v>
      </c>
    </row>
    <row r="1282" spans="1:26" ht="18" customHeight="1" x14ac:dyDescent="0.25">
      <c r="A1282" s="14">
        <v>220</v>
      </c>
      <c r="B1282" s="67" t="s">
        <v>3334</v>
      </c>
      <c r="C1282" s="14" t="s">
        <v>3335</v>
      </c>
      <c r="D1282" s="14" t="s">
        <v>28</v>
      </c>
      <c r="E1282" s="14" t="s">
        <v>3336</v>
      </c>
      <c r="F1282" s="15" t="s">
        <v>24</v>
      </c>
      <c r="G1282" s="16">
        <v>1300</v>
      </c>
      <c r="H1282" s="46" t="s">
        <v>25</v>
      </c>
      <c r="I1282" s="15" t="s">
        <v>3337</v>
      </c>
      <c r="J1282" s="15">
        <v>4027</v>
      </c>
      <c r="K1282" s="15">
        <v>4108</v>
      </c>
      <c r="L1282" s="18">
        <v>81</v>
      </c>
      <c r="M1282" s="19">
        <v>137662</v>
      </c>
      <c r="N1282" s="20">
        <v>0</v>
      </c>
      <c r="O1282" s="20">
        <v>0</v>
      </c>
      <c r="P1282" s="20">
        <v>0</v>
      </c>
      <c r="Q1282" s="20">
        <v>0</v>
      </c>
      <c r="R1282" s="19">
        <f t="shared" si="176"/>
        <v>137662</v>
      </c>
      <c r="S1282" s="19">
        <v>3000</v>
      </c>
      <c r="T1282" s="19">
        <f t="shared" si="177"/>
        <v>140662</v>
      </c>
      <c r="U1282" s="105"/>
      <c r="X1282" s="10">
        <f t="shared" si="179"/>
        <v>137662</v>
      </c>
      <c r="Y1282" s="2">
        <f t="shared" si="180"/>
        <v>0</v>
      </c>
      <c r="Z1282" s="10">
        <f t="shared" si="178"/>
        <v>0</v>
      </c>
    </row>
    <row r="1283" spans="1:26" ht="18" customHeight="1" x14ac:dyDescent="0.25">
      <c r="A1283" s="14">
        <v>221</v>
      </c>
      <c r="B1283" s="67" t="s">
        <v>3338</v>
      </c>
      <c r="C1283" s="14" t="s">
        <v>3339</v>
      </c>
      <c r="D1283" s="14" t="s">
        <v>28</v>
      </c>
      <c r="E1283" s="14" t="s">
        <v>2696</v>
      </c>
      <c r="F1283" s="15" t="s">
        <v>24</v>
      </c>
      <c r="G1283" s="16">
        <v>4400</v>
      </c>
      <c r="H1283" s="46" t="s">
        <v>25</v>
      </c>
      <c r="I1283" s="15" t="s">
        <v>3340</v>
      </c>
      <c r="J1283" s="15">
        <v>36504</v>
      </c>
      <c r="K1283" s="15">
        <v>37455</v>
      </c>
      <c r="L1283" s="18">
        <v>951</v>
      </c>
      <c r="M1283" s="19">
        <v>1616253</v>
      </c>
      <c r="N1283" s="20">
        <v>0</v>
      </c>
      <c r="O1283" s="20">
        <v>0</v>
      </c>
      <c r="P1283" s="20">
        <v>0</v>
      </c>
      <c r="Q1283" s="20">
        <v>0</v>
      </c>
      <c r="R1283" s="19">
        <f t="shared" si="176"/>
        <v>1616253</v>
      </c>
      <c r="S1283" s="19">
        <v>3000</v>
      </c>
      <c r="T1283" s="19">
        <f t="shared" si="177"/>
        <v>1619253</v>
      </c>
      <c r="U1283" s="105"/>
      <c r="X1283" s="10">
        <f t="shared" si="179"/>
        <v>1616253</v>
      </c>
      <c r="Y1283" s="2">
        <f t="shared" si="180"/>
        <v>0</v>
      </c>
      <c r="Z1283" s="10">
        <f t="shared" si="178"/>
        <v>0</v>
      </c>
    </row>
    <row r="1284" spans="1:26" ht="18" customHeight="1" x14ac:dyDescent="0.25">
      <c r="A1284" s="14">
        <v>222</v>
      </c>
      <c r="B1284" s="67" t="s">
        <v>3341</v>
      </c>
      <c r="C1284" s="14" t="s">
        <v>3342</v>
      </c>
      <c r="D1284" s="14" t="s">
        <v>28</v>
      </c>
      <c r="E1284" s="14" t="s">
        <v>3343</v>
      </c>
      <c r="F1284" s="15" t="s">
        <v>24</v>
      </c>
      <c r="G1284" s="16">
        <v>1300</v>
      </c>
      <c r="H1284" s="46" t="s">
        <v>25</v>
      </c>
      <c r="I1284" s="15" t="s">
        <v>3344</v>
      </c>
      <c r="J1284" s="15">
        <v>2961</v>
      </c>
      <c r="K1284" s="15">
        <v>3051</v>
      </c>
      <c r="L1284" s="18">
        <v>90</v>
      </c>
      <c r="M1284" s="19">
        <v>152958</v>
      </c>
      <c r="N1284" s="20">
        <v>0</v>
      </c>
      <c r="O1284" s="20">
        <v>0</v>
      </c>
      <c r="P1284" s="20">
        <v>0</v>
      </c>
      <c r="Q1284" s="20">
        <v>0</v>
      </c>
      <c r="R1284" s="19">
        <f t="shared" si="176"/>
        <v>152958</v>
      </c>
      <c r="S1284" s="19">
        <v>3000</v>
      </c>
      <c r="T1284" s="19">
        <f t="shared" si="177"/>
        <v>155958</v>
      </c>
      <c r="U1284" s="105"/>
      <c r="X1284" s="10">
        <f t="shared" si="179"/>
        <v>152958</v>
      </c>
      <c r="Y1284" s="2">
        <f t="shared" si="180"/>
        <v>0</v>
      </c>
      <c r="Z1284" s="10">
        <f t="shared" si="178"/>
        <v>0</v>
      </c>
    </row>
    <row r="1285" spans="1:26" ht="18" customHeight="1" x14ac:dyDescent="0.25">
      <c r="A1285" s="14">
        <v>223</v>
      </c>
      <c r="B1285" s="67" t="s">
        <v>3345</v>
      </c>
      <c r="C1285" s="14" t="s">
        <v>45</v>
      </c>
      <c r="D1285" s="14" t="s">
        <v>28</v>
      </c>
      <c r="E1285" s="14" t="s">
        <v>3346</v>
      </c>
      <c r="F1285" s="15" t="s">
        <v>24</v>
      </c>
      <c r="G1285" s="16">
        <v>3500</v>
      </c>
      <c r="H1285" s="46" t="s">
        <v>25</v>
      </c>
      <c r="I1285" s="15" t="s">
        <v>3347</v>
      </c>
      <c r="J1285" s="15">
        <v>23042</v>
      </c>
      <c r="K1285" s="15">
        <v>23956</v>
      </c>
      <c r="L1285" s="18">
        <v>914</v>
      </c>
      <c r="M1285" s="19">
        <v>1553370</v>
      </c>
      <c r="N1285" s="20">
        <v>0</v>
      </c>
      <c r="O1285" s="20">
        <v>0</v>
      </c>
      <c r="P1285" s="20">
        <v>0</v>
      </c>
      <c r="Q1285" s="20">
        <v>0</v>
      </c>
      <c r="R1285" s="19">
        <f t="shared" si="176"/>
        <v>1553370</v>
      </c>
      <c r="S1285" s="19">
        <v>3000</v>
      </c>
      <c r="T1285" s="19">
        <f t="shared" si="177"/>
        <v>1556370</v>
      </c>
      <c r="U1285" s="105"/>
      <c r="X1285" s="10">
        <f t="shared" si="179"/>
        <v>1553370</v>
      </c>
      <c r="Y1285" s="2">
        <f t="shared" si="180"/>
        <v>0</v>
      </c>
      <c r="Z1285" s="10">
        <f t="shared" si="178"/>
        <v>0</v>
      </c>
    </row>
    <row r="1286" spans="1:26" ht="18" customHeight="1" x14ac:dyDescent="0.25">
      <c r="A1286" s="14">
        <v>224</v>
      </c>
      <c r="B1286" s="67" t="s">
        <v>3348</v>
      </c>
      <c r="C1286" s="14" t="s">
        <v>3349</v>
      </c>
      <c r="D1286" s="14" t="s">
        <v>28</v>
      </c>
      <c r="E1286" s="14" t="s">
        <v>2575</v>
      </c>
      <c r="F1286" s="15" t="s">
        <v>24</v>
      </c>
      <c r="G1286" s="16">
        <v>2200</v>
      </c>
      <c r="H1286" s="46" t="s">
        <v>25</v>
      </c>
      <c r="I1286" s="15" t="s">
        <v>3350</v>
      </c>
      <c r="J1286" s="15">
        <v>5456</v>
      </c>
      <c r="K1286" s="15">
        <v>5605</v>
      </c>
      <c r="L1286" s="18">
        <v>149</v>
      </c>
      <c r="M1286" s="19">
        <v>253230</v>
      </c>
      <c r="N1286" s="20">
        <v>0</v>
      </c>
      <c r="O1286" s="20">
        <v>0</v>
      </c>
      <c r="P1286" s="20">
        <v>0</v>
      </c>
      <c r="Q1286" s="20">
        <v>0</v>
      </c>
      <c r="R1286" s="19">
        <f t="shared" si="176"/>
        <v>253230</v>
      </c>
      <c r="S1286" s="19">
        <v>3000</v>
      </c>
      <c r="T1286" s="19">
        <f t="shared" si="177"/>
        <v>256230</v>
      </c>
      <c r="U1286" s="105"/>
      <c r="X1286" s="10">
        <f t="shared" si="179"/>
        <v>253230</v>
      </c>
      <c r="Y1286" s="2">
        <f t="shared" si="180"/>
        <v>0</v>
      </c>
      <c r="Z1286" s="10">
        <f t="shared" si="178"/>
        <v>0</v>
      </c>
    </row>
    <row r="1287" spans="1:26" ht="18" customHeight="1" x14ac:dyDescent="0.25">
      <c r="A1287" s="14">
        <v>225</v>
      </c>
      <c r="B1287" s="67" t="s">
        <v>3351</v>
      </c>
      <c r="C1287" s="14" t="s">
        <v>3352</v>
      </c>
      <c r="D1287" s="14" t="s">
        <v>28</v>
      </c>
      <c r="E1287" s="14" t="s">
        <v>467</v>
      </c>
      <c r="F1287" s="15" t="s">
        <v>24</v>
      </c>
      <c r="G1287" s="16">
        <v>5500</v>
      </c>
      <c r="H1287" s="46" t="s">
        <v>25</v>
      </c>
      <c r="I1287" s="15" t="s">
        <v>3353</v>
      </c>
      <c r="J1287" s="15">
        <v>1</v>
      </c>
      <c r="K1287" s="15">
        <v>1</v>
      </c>
      <c r="L1287" s="18">
        <v>220</v>
      </c>
      <c r="M1287" s="19">
        <v>373897</v>
      </c>
      <c r="N1287" s="20">
        <v>0</v>
      </c>
      <c r="O1287" s="20">
        <v>0</v>
      </c>
      <c r="P1287" s="20">
        <v>0</v>
      </c>
      <c r="Q1287" s="20">
        <v>0</v>
      </c>
      <c r="R1287" s="19">
        <f t="shared" si="176"/>
        <v>373897</v>
      </c>
      <c r="S1287" s="19">
        <v>3000</v>
      </c>
      <c r="T1287" s="19">
        <f t="shared" si="177"/>
        <v>376897</v>
      </c>
      <c r="U1287" s="105"/>
      <c r="X1287" s="10">
        <f t="shared" si="179"/>
        <v>373897</v>
      </c>
      <c r="Y1287" s="2">
        <f t="shared" si="180"/>
        <v>0</v>
      </c>
      <c r="Z1287" s="10">
        <f t="shared" si="178"/>
        <v>0</v>
      </c>
    </row>
    <row r="1288" spans="1:26" s="25" customFormat="1" ht="18" customHeight="1" x14ac:dyDescent="0.25">
      <c r="A1288" s="14"/>
      <c r="B1288" s="67"/>
      <c r="C1288" s="14"/>
      <c r="D1288" s="14"/>
      <c r="E1288" s="14"/>
      <c r="F1288" s="15"/>
      <c r="G1288" s="125"/>
      <c r="H1288" s="18"/>
      <c r="I1288" s="15"/>
      <c r="J1288" s="15"/>
      <c r="K1288" s="15"/>
      <c r="L1288" s="18"/>
      <c r="M1288" s="19"/>
      <c r="N1288" s="38"/>
      <c r="O1288" s="38"/>
      <c r="P1288" s="38"/>
      <c r="Q1288" s="38"/>
      <c r="R1288" s="37"/>
      <c r="S1288" s="37"/>
      <c r="T1288" s="37"/>
      <c r="U1288" s="147"/>
      <c r="X1288" s="10">
        <f t="shared" si="179"/>
        <v>0</v>
      </c>
      <c r="Y1288" s="2">
        <f t="shared" si="180"/>
        <v>0</v>
      </c>
      <c r="Z1288" s="10"/>
    </row>
    <row r="1289" spans="1:26" ht="33.75" customHeight="1" x14ac:dyDescent="0.25">
      <c r="A1289" s="34" t="s">
        <v>3354</v>
      </c>
      <c r="B1289" s="112"/>
      <c r="C1289" s="9"/>
      <c r="D1289" s="9"/>
      <c r="E1289" s="9"/>
      <c r="F1289" s="9"/>
      <c r="G1289" s="36">
        <f>SUM(G1262:G1288)</f>
        <v>1062685</v>
      </c>
      <c r="H1289" s="36">
        <f t="shared" ref="H1289:R1289" si="181">SUM(H1262:H1288)</f>
        <v>0</v>
      </c>
      <c r="I1289" s="36">
        <f t="shared" si="181"/>
        <v>0</v>
      </c>
      <c r="J1289" s="36"/>
      <c r="K1289" s="36"/>
      <c r="L1289" s="36">
        <f t="shared" si="181"/>
        <v>268394</v>
      </c>
      <c r="M1289" s="36">
        <f t="shared" si="181"/>
        <v>456143657</v>
      </c>
      <c r="N1289" s="36">
        <f t="shared" si="181"/>
        <v>0</v>
      </c>
      <c r="O1289" s="36">
        <f t="shared" si="181"/>
        <v>0</v>
      </c>
      <c r="P1289" s="36">
        <f t="shared" si="181"/>
        <v>0</v>
      </c>
      <c r="Q1289" s="36">
        <f t="shared" si="181"/>
        <v>100000</v>
      </c>
      <c r="R1289" s="36">
        <f t="shared" si="181"/>
        <v>456243657</v>
      </c>
      <c r="S1289" s="36">
        <f>SUM(S1262:S1288)</f>
        <v>675000</v>
      </c>
      <c r="T1289" s="36">
        <f>SUM(T1262:T1288)</f>
        <v>456918657</v>
      </c>
      <c r="U1289" s="39"/>
      <c r="V1289" s="2">
        <v>456243657</v>
      </c>
      <c r="W1289" s="99">
        <f>R1289-V1289</f>
        <v>0</v>
      </c>
      <c r="X1289" s="10">
        <f t="shared" si="179"/>
        <v>456143657</v>
      </c>
      <c r="Y1289" s="2">
        <f t="shared" si="180"/>
        <v>10000</v>
      </c>
      <c r="Z1289" s="10"/>
    </row>
    <row r="1290" spans="1:26" ht="18" customHeight="1" x14ac:dyDescent="0.25">
      <c r="A1290" s="25"/>
      <c r="B1290" s="115"/>
      <c r="E1290" s="4"/>
      <c r="G1290" s="39"/>
      <c r="H1290" s="39"/>
      <c r="X1290" s="10">
        <f t="shared" si="179"/>
        <v>0</v>
      </c>
      <c r="Y1290" s="2">
        <f t="shared" si="180"/>
        <v>0</v>
      </c>
      <c r="Z1290" s="10"/>
    </row>
    <row r="1291" spans="1:26" ht="18" customHeight="1" x14ac:dyDescent="0.25">
      <c r="A1291" s="25"/>
      <c r="B1291" s="115"/>
      <c r="E1291" s="4"/>
      <c r="G1291" s="39"/>
      <c r="H1291" s="39"/>
      <c r="X1291" s="10">
        <f t="shared" si="179"/>
        <v>0</v>
      </c>
      <c r="Y1291" s="2">
        <f t="shared" si="180"/>
        <v>0</v>
      </c>
      <c r="Z1291" s="10"/>
    </row>
    <row r="1292" spans="1:26" ht="18" customHeight="1" x14ac:dyDescent="0.25">
      <c r="A1292" s="101" t="s">
        <v>3355</v>
      </c>
      <c r="B1292" s="88"/>
      <c r="C1292" s="4"/>
      <c r="D1292" s="4"/>
      <c r="E1292" s="4"/>
      <c r="G1292" s="43"/>
      <c r="L1292" s="31"/>
      <c r="X1292" s="10">
        <f t="shared" si="179"/>
        <v>0</v>
      </c>
      <c r="Y1292" s="2">
        <f t="shared" si="180"/>
        <v>0</v>
      </c>
      <c r="Z1292" s="10"/>
    </row>
    <row r="1293" spans="1:26" s="84" customFormat="1" ht="39" customHeight="1" x14ac:dyDescent="0.25">
      <c r="A1293" s="9" t="s">
        <v>4</v>
      </c>
      <c r="B1293" s="21" t="s">
        <v>5</v>
      </c>
      <c r="C1293" s="21" t="s">
        <v>6</v>
      </c>
      <c r="D1293" s="12"/>
      <c r="E1293" s="9" t="s">
        <v>7</v>
      </c>
      <c r="F1293" s="21" t="s">
        <v>8</v>
      </c>
      <c r="G1293" s="21" t="s">
        <v>9</v>
      </c>
      <c r="H1293" s="21" t="s">
        <v>10</v>
      </c>
      <c r="I1293" s="21" t="s">
        <v>11</v>
      </c>
      <c r="J1293" s="21" t="s">
        <v>12</v>
      </c>
      <c r="K1293" s="21" t="s">
        <v>13</v>
      </c>
      <c r="L1293" s="21" t="s">
        <v>14</v>
      </c>
      <c r="M1293" s="143" t="s">
        <v>15</v>
      </c>
      <c r="N1293" s="144" t="s">
        <v>16</v>
      </c>
      <c r="O1293" s="144" t="s">
        <v>17</v>
      </c>
      <c r="P1293" s="144" t="s">
        <v>18</v>
      </c>
      <c r="Q1293" s="144" t="s">
        <v>19</v>
      </c>
      <c r="R1293" s="143" t="s">
        <v>20</v>
      </c>
      <c r="S1293" s="143" t="s">
        <v>3471</v>
      </c>
      <c r="T1293" s="143" t="s">
        <v>3472</v>
      </c>
      <c r="U1293" s="145"/>
      <c r="V1293" s="145"/>
      <c r="W1293" s="145"/>
      <c r="X1293" s="145"/>
    </row>
    <row r="1294" spans="1:26" ht="18" customHeight="1" x14ac:dyDescent="0.25">
      <c r="A1294" s="51"/>
      <c r="B1294" s="112"/>
      <c r="C1294" s="35"/>
      <c r="D1294" s="35"/>
      <c r="E1294" s="35"/>
      <c r="F1294" s="15"/>
      <c r="G1294" s="45"/>
      <c r="H1294" s="45"/>
      <c r="I1294" s="15"/>
      <c r="J1294" s="15"/>
      <c r="K1294" s="15"/>
      <c r="L1294" s="18"/>
      <c r="M1294" s="19"/>
      <c r="N1294" s="20"/>
      <c r="O1294" s="20"/>
      <c r="P1294" s="20"/>
      <c r="Q1294" s="20"/>
      <c r="R1294" s="19"/>
      <c r="S1294" s="19"/>
      <c r="T1294" s="19"/>
      <c r="U1294" s="105"/>
      <c r="X1294" s="10">
        <f t="shared" si="179"/>
        <v>0</v>
      </c>
      <c r="Y1294" s="2">
        <f t="shared" si="180"/>
        <v>0</v>
      </c>
      <c r="Z1294" s="10"/>
    </row>
    <row r="1295" spans="1:26" ht="18" customHeight="1" x14ac:dyDescent="0.25">
      <c r="A1295" s="12">
        <v>1</v>
      </c>
      <c r="B1295" s="54" t="s">
        <v>3356</v>
      </c>
      <c r="C1295" s="53" t="s">
        <v>3357</v>
      </c>
      <c r="D1295" s="13" t="s">
        <v>28</v>
      </c>
      <c r="E1295" s="53" t="s">
        <v>3358</v>
      </c>
      <c r="F1295" s="53" t="s">
        <v>24</v>
      </c>
      <c r="G1295" s="55">
        <v>3500</v>
      </c>
      <c r="H1295" s="54" t="s">
        <v>25</v>
      </c>
      <c r="I1295" s="54" t="s">
        <v>3359</v>
      </c>
      <c r="J1295" s="53">
        <v>32034</v>
      </c>
      <c r="K1295" s="53">
        <v>33044</v>
      </c>
      <c r="L1295" s="41">
        <v>1010</v>
      </c>
      <c r="M1295" s="41">
        <v>1716525</v>
      </c>
      <c r="N1295" s="1">
        <v>0</v>
      </c>
      <c r="O1295" s="20">
        <v>0</v>
      </c>
      <c r="P1295" s="20">
        <v>0</v>
      </c>
      <c r="Q1295" s="20">
        <v>0</v>
      </c>
      <c r="R1295" s="19">
        <v>1716525</v>
      </c>
      <c r="S1295" s="19">
        <v>3000</v>
      </c>
      <c r="T1295" s="19">
        <f t="shared" ref="T1295:T1315" si="182">R1295+S1295</f>
        <v>1719525</v>
      </c>
      <c r="U1295" s="105"/>
      <c r="X1295" s="10">
        <f t="shared" si="179"/>
        <v>1716525</v>
      </c>
      <c r="Y1295" s="2">
        <f t="shared" si="180"/>
        <v>0</v>
      </c>
      <c r="Z1295" s="10">
        <f t="shared" ref="Z1295:Z1315" si="183">Q1295-Y1295</f>
        <v>0</v>
      </c>
    </row>
    <row r="1296" spans="1:26" ht="18" customHeight="1" x14ac:dyDescent="0.25">
      <c r="A1296" s="12">
        <v>2</v>
      </c>
      <c r="B1296" s="54" t="s">
        <v>3360</v>
      </c>
      <c r="C1296" s="53" t="s">
        <v>3357</v>
      </c>
      <c r="D1296" s="13" t="s">
        <v>28</v>
      </c>
      <c r="E1296" s="53" t="s">
        <v>3361</v>
      </c>
      <c r="F1296" s="53" t="s">
        <v>24</v>
      </c>
      <c r="G1296" s="55">
        <v>3500</v>
      </c>
      <c r="H1296" s="54" t="s">
        <v>25</v>
      </c>
      <c r="I1296" s="54" t="s">
        <v>3362</v>
      </c>
      <c r="J1296" s="53">
        <v>24740</v>
      </c>
      <c r="K1296" s="53">
        <v>25477</v>
      </c>
      <c r="L1296" s="41">
        <v>737</v>
      </c>
      <c r="M1296" s="41">
        <v>1252554</v>
      </c>
      <c r="N1296" s="1">
        <v>0</v>
      </c>
      <c r="O1296" s="20">
        <v>0</v>
      </c>
      <c r="P1296" s="20">
        <v>0</v>
      </c>
      <c r="Q1296" s="20">
        <v>0</v>
      </c>
      <c r="R1296" s="19">
        <v>1252554</v>
      </c>
      <c r="S1296" s="19">
        <v>3000</v>
      </c>
      <c r="T1296" s="19">
        <f t="shared" si="182"/>
        <v>1255554</v>
      </c>
      <c r="U1296" s="105"/>
      <c r="X1296" s="10">
        <f t="shared" si="179"/>
        <v>1252554</v>
      </c>
      <c r="Y1296" s="2">
        <f t="shared" si="180"/>
        <v>0</v>
      </c>
      <c r="Z1296" s="10">
        <f t="shared" si="183"/>
        <v>0</v>
      </c>
    </row>
    <row r="1297" spans="1:26" ht="18" customHeight="1" x14ac:dyDescent="0.25">
      <c r="A1297" s="12">
        <v>3</v>
      </c>
      <c r="B1297" s="54" t="s">
        <v>3363</v>
      </c>
      <c r="C1297" s="53" t="s">
        <v>3364</v>
      </c>
      <c r="D1297" s="13" t="s">
        <v>28</v>
      </c>
      <c r="E1297" s="53" t="s">
        <v>3365</v>
      </c>
      <c r="F1297" s="53" t="s">
        <v>24</v>
      </c>
      <c r="G1297" s="55">
        <v>2200</v>
      </c>
      <c r="H1297" s="54" t="s">
        <v>25</v>
      </c>
      <c r="I1297" s="54" t="s">
        <v>3366</v>
      </c>
      <c r="J1297" s="53">
        <v>9809</v>
      </c>
      <c r="K1297" s="53">
        <v>10226</v>
      </c>
      <c r="L1297" s="41">
        <v>417</v>
      </c>
      <c r="M1297" s="41">
        <v>708704</v>
      </c>
      <c r="N1297" s="1">
        <v>0</v>
      </c>
      <c r="O1297" s="20">
        <v>0</v>
      </c>
      <c r="P1297" s="20">
        <v>0</v>
      </c>
      <c r="Q1297" s="20">
        <v>0</v>
      </c>
      <c r="R1297" s="19">
        <v>708704</v>
      </c>
      <c r="S1297" s="19">
        <v>3000</v>
      </c>
      <c r="T1297" s="19">
        <f t="shared" si="182"/>
        <v>711704</v>
      </c>
      <c r="U1297" s="105"/>
      <c r="X1297" s="10">
        <f t="shared" si="179"/>
        <v>708704</v>
      </c>
      <c r="Y1297" s="2">
        <f t="shared" si="180"/>
        <v>0</v>
      </c>
      <c r="Z1297" s="10">
        <f t="shared" si="183"/>
        <v>0</v>
      </c>
    </row>
    <row r="1298" spans="1:26" ht="18" customHeight="1" x14ac:dyDescent="0.25">
      <c r="A1298" s="12">
        <v>4</v>
      </c>
      <c r="B1298" s="54" t="s">
        <v>3367</v>
      </c>
      <c r="C1298" s="53" t="s">
        <v>3368</v>
      </c>
      <c r="D1298" s="13" t="s">
        <v>28</v>
      </c>
      <c r="E1298" s="53" t="s">
        <v>3369</v>
      </c>
      <c r="F1298" s="53" t="s">
        <v>24</v>
      </c>
      <c r="G1298" s="55">
        <v>3500</v>
      </c>
      <c r="H1298" s="54" t="s">
        <v>25</v>
      </c>
      <c r="I1298" s="54" t="s">
        <v>3370</v>
      </c>
      <c r="J1298" s="53">
        <v>23266</v>
      </c>
      <c r="K1298" s="53">
        <v>24049</v>
      </c>
      <c r="L1298" s="41">
        <v>783</v>
      </c>
      <c r="M1298" s="41">
        <v>1330732</v>
      </c>
      <c r="N1298" s="1">
        <v>0</v>
      </c>
      <c r="O1298" s="20">
        <v>0</v>
      </c>
      <c r="P1298" s="20">
        <v>0</v>
      </c>
      <c r="Q1298" s="20">
        <v>0</v>
      </c>
      <c r="R1298" s="19">
        <v>1330732</v>
      </c>
      <c r="S1298" s="19">
        <v>3000</v>
      </c>
      <c r="T1298" s="19">
        <f t="shared" si="182"/>
        <v>1333732</v>
      </c>
      <c r="U1298" s="105"/>
      <c r="X1298" s="10">
        <f t="shared" si="179"/>
        <v>1330732</v>
      </c>
      <c r="Y1298" s="2">
        <f t="shared" si="180"/>
        <v>0</v>
      </c>
      <c r="Z1298" s="10">
        <f t="shared" si="183"/>
        <v>0</v>
      </c>
    </row>
    <row r="1299" spans="1:26" ht="18" customHeight="1" x14ac:dyDescent="0.25">
      <c r="A1299" s="12">
        <v>5</v>
      </c>
      <c r="B1299" s="54" t="s">
        <v>3371</v>
      </c>
      <c r="C1299" s="53" t="s">
        <v>3372</v>
      </c>
      <c r="D1299" s="13" t="s">
        <v>28</v>
      </c>
      <c r="E1299" s="53" t="s">
        <v>3373</v>
      </c>
      <c r="F1299" s="53" t="s">
        <v>24</v>
      </c>
      <c r="G1299" s="55">
        <v>3500</v>
      </c>
      <c r="H1299" s="54" t="s">
        <v>25</v>
      </c>
      <c r="I1299" s="54" t="s">
        <v>3374</v>
      </c>
      <c r="J1299" s="53">
        <v>12092</v>
      </c>
      <c r="K1299" s="53">
        <v>12511</v>
      </c>
      <c r="L1299" s="41">
        <v>419</v>
      </c>
      <c r="M1299" s="41">
        <v>712103</v>
      </c>
      <c r="N1299" s="1">
        <v>0</v>
      </c>
      <c r="O1299" s="20">
        <v>0</v>
      </c>
      <c r="P1299" s="20">
        <v>0</v>
      </c>
      <c r="Q1299" s="20">
        <v>0</v>
      </c>
      <c r="R1299" s="19">
        <v>712103</v>
      </c>
      <c r="S1299" s="19">
        <v>3000</v>
      </c>
      <c r="T1299" s="19">
        <f t="shared" si="182"/>
        <v>715103</v>
      </c>
      <c r="U1299" s="105"/>
      <c r="X1299" s="10">
        <f t="shared" si="179"/>
        <v>712103</v>
      </c>
      <c r="Y1299" s="2">
        <f t="shared" si="180"/>
        <v>0</v>
      </c>
      <c r="Z1299" s="10">
        <f t="shared" si="183"/>
        <v>0</v>
      </c>
    </row>
    <row r="1300" spans="1:26" ht="18" customHeight="1" x14ac:dyDescent="0.25">
      <c r="A1300" s="12">
        <v>6</v>
      </c>
      <c r="B1300" s="54" t="s">
        <v>3375</v>
      </c>
      <c r="C1300" s="53" t="s">
        <v>3376</v>
      </c>
      <c r="D1300" s="13" t="s">
        <v>28</v>
      </c>
      <c r="E1300" s="53" t="s">
        <v>3377</v>
      </c>
      <c r="F1300" s="53" t="s">
        <v>24</v>
      </c>
      <c r="G1300" s="55">
        <v>3500</v>
      </c>
      <c r="H1300" s="54" t="s">
        <v>25</v>
      </c>
      <c r="I1300" s="54" t="s">
        <v>3378</v>
      </c>
      <c r="J1300" s="53">
        <v>36415</v>
      </c>
      <c r="K1300" s="53">
        <v>38103</v>
      </c>
      <c r="L1300" s="41">
        <v>1688</v>
      </c>
      <c r="M1300" s="41">
        <v>2868807</v>
      </c>
      <c r="N1300" s="1">
        <v>0</v>
      </c>
      <c r="O1300" s="20">
        <v>0</v>
      </c>
      <c r="P1300" s="20">
        <v>0</v>
      </c>
      <c r="Q1300" s="20">
        <v>0</v>
      </c>
      <c r="R1300" s="19">
        <v>2868807</v>
      </c>
      <c r="S1300" s="19">
        <v>3000</v>
      </c>
      <c r="T1300" s="19">
        <f t="shared" si="182"/>
        <v>2871807</v>
      </c>
      <c r="U1300" s="105"/>
      <c r="X1300" s="10">
        <f t="shared" si="179"/>
        <v>2868807</v>
      </c>
      <c r="Y1300" s="2">
        <f t="shared" si="180"/>
        <v>0</v>
      </c>
      <c r="Z1300" s="10">
        <f t="shared" si="183"/>
        <v>0</v>
      </c>
    </row>
    <row r="1301" spans="1:26" ht="18" customHeight="1" x14ac:dyDescent="0.25">
      <c r="A1301" s="12">
        <v>7</v>
      </c>
      <c r="B1301" s="54" t="s">
        <v>3379</v>
      </c>
      <c r="C1301" s="53" t="s">
        <v>3380</v>
      </c>
      <c r="D1301" s="13" t="s">
        <v>28</v>
      </c>
      <c r="E1301" s="53" t="s">
        <v>3381</v>
      </c>
      <c r="F1301" s="53" t="s">
        <v>24</v>
      </c>
      <c r="G1301" s="55">
        <v>3500</v>
      </c>
      <c r="H1301" s="54" t="s">
        <v>25</v>
      </c>
      <c r="I1301" s="54" t="s">
        <v>3382</v>
      </c>
      <c r="J1301" s="53">
        <v>11851</v>
      </c>
      <c r="K1301" s="53">
        <v>12133</v>
      </c>
      <c r="L1301" s="41">
        <v>282</v>
      </c>
      <c r="M1301" s="41">
        <v>479267</v>
      </c>
      <c r="N1301" s="1">
        <v>0</v>
      </c>
      <c r="O1301" s="20">
        <v>0</v>
      </c>
      <c r="P1301" s="20">
        <v>0</v>
      </c>
      <c r="Q1301" s="20">
        <v>0</v>
      </c>
      <c r="R1301" s="19">
        <v>479267</v>
      </c>
      <c r="S1301" s="19">
        <v>3000</v>
      </c>
      <c r="T1301" s="19">
        <f t="shared" si="182"/>
        <v>482267</v>
      </c>
      <c r="U1301" s="105"/>
      <c r="X1301" s="10">
        <f t="shared" si="179"/>
        <v>479267</v>
      </c>
      <c r="Y1301" s="2">
        <f t="shared" si="180"/>
        <v>0</v>
      </c>
      <c r="Z1301" s="10">
        <f t="shared" si="183"/>
        <v>0</v>
      </c>
    </row>
    <row r="1302" spans="1:26" ht="18" customHeight="1" x14ac:dyDescent="0.25">
      <c r="A1302" s="12">
        <v>8</v>
      </c>
      <c r="B1302" s="54" t="s">
        <v>3383</v>
      </c>
      <c r="C1302" s="53" t="s">
        <v>3384</v>
      </c>
      <c r="D1302" s="13" t="s">
        <v>28</v>
      </c>
      <c r="E1302" s="53" t="s">
        <v>3385</v>
      </c>
      <c r="F1302" s="53" t="s">
        <v>24</v>
      </c>
      <c r="G1302" s="55">
        <v>3500</v>
      </c>
      <c r="H1302" s="54" t="s">
        <v>25</v>
      </c>
      <c r="I1302" s="54" t="s">
        <v>3386</v>
      </c>
      <c r="J1302" s="53">
        <v>47662</v>
      </c>
      <c r="K1302" s="53">
        <v>48656</v>
      </c>
      <c r="L1302" s="41">
        <v>994</v>
      </c>
      <c r="M1302" s="41">
        <v>1689333</v>
      </c>
      <c r="N1302" s="1">
        <v>0</v>
      </c>
      <c r="O1302" s="20">
        <v>0</v>
      </c>
      <c r="P1302" s="20">
        <v>0</v>
      </c>
      <c r="Q1302" s="20">
        <v>0</v>
      </c>
      <c r="R1302" s="19">
        <v>1689333</v>
      </c>
      <c r="S1302" s="19">
        <v>3000</v>
      </c>
      <c r="T1302" s="19">
        <f t="shared" si="182"/>
        <v>1692333</v>
      </c>
      <c r="U1302" s="105"/>
      <c r="X1302" s="10">
        <f t="shared" si="179"/>
        <v>1689333</v>
      </c>
      <c r="Y1302" s="2">
        <f t="shared" si="180"/>
        <v>0</v>
      </c>
      <c r="Z1302" s="10">
        <f t="shared" si="183"/>
        <v>0</v>
      </c>
    </row>
    <row r="1303" spans="1:26" ht="18" customHeight="1" x14ac:dyDescent="0.25">
      <c r="A1303" s="12">
        <v>9</v>
      </c>
      <c r="B1303" s="54" t="s">
        <v>3387</v>
      </c>
      <c r="C1303" s="53" t="s">
        <v>3388</v>
      </c>
      <c r="D1303" s="13" t="s">
        <v>28</v>
      </c>
      <c r="E1303" s="53" t="s">
        <v>3389</v>
      </c>
      <c r="F1303" s="53" t="s">
        <v>24</v>
      </c>
      <c r="G1303" s="55">
        <v>2200</v>
      </c>
      <c r="H1303" s="54" t="s">
        <v>25</v>
      </c>
      <c r="I1303" s="54" t="s">
        <v>3390</v>
      </c>
      <c r="J1303" s="53">
        <v>6851</v>
      </c>
      <c r="K1303" s="53">
        <v>7158</v>
      </c>
      <c r="L1303" s="41">
        <v>307</v>
      </c>
      <c r="M1303" s="41">
        <v>521756</v>
      </c>
      <c r="N1303" s="1">
        <v>0</v>
      </c>
      <c r="O1303" s="20">
        <v>0</v>
      </c>
      <c r="P1303" s="20">
        <v>0</v>
      </c>
      <c r="Q1303" s="20">
        <v>0</v>
      </c>
      <c r="R1303" s="19">
        <v>521756</v>
      </c>
      <c r="S1303" s="19">
        <v>3000</v>
      </c>
      <c r="T1303" s="19">
        <f t="shared" si="182"/>
        <v>524756</v>
      </c>
      <c r="U1303" s="105"/>
      <c r="X1303" s="10">
        <f t="shared" si="179"/>
        <v>521756</v>
      </c>
      <c r="Y1303" s="2">
        <f t="shared" si="180"/>
        <v>0</v>
      </c>
      <c r="Z1303" s="10">
        <f t="shared" si="183"/>
        <v>0</v>
      </c>
    </row>
    <row r="1304" spans="1:26" ht="18" customHeight="1" x14ac:dyDescent="0.25">
      <c r="A1304" s="12">
        <v>10</v>
      </c>
      <c r="B1304" s="54" t="s">
        <v>3391</v>
      </c>
      <c r="C1304" s="53" t="s">
        <v>3392</v>
      </c>
      <c r="D1304" s="13" t="s">
        <v>28</v>
      </c>
      <c r="E1304" s="53" t="s">
        <v>3393</v>
      </c>
      <c r="F1304" s="53" t="s">
        <v>24</v>
      </c>
      <c r="G1304" s="55">
        <v>3500</v>
      </c>
      <c r="H1304" s="54" t="s">
        <v>25</v>
      </c>
      <c r="I1304" s="54" t="s">
        <v>3394</v>
      </c>
      <c r="J1304" s="53">
        <v>12407</v>
      </c>
      <c r="K1304" s="53">
        <v>12807</v>
      </c>
      <c r="L1304" s="41">
        <v>400</v>
      </c>
      <c r="M1304" s="41">
        <v>679812</v>
      </c>
      <c r="N1304" s="1">
        <v>0</v>
      </c>
      <c r="O1304" s="20">
        <v>0</v>
      </c>
      <c r="P1304" s="20">
        <v>0</v>
      </c>
      <c r="Q1304" s="20">
        <v>0</v>
      </c>
      <c r="R1304" s="19">
        <v>679812</v>
      </c>
      <c r="S1304" s="19">
        <v>3000</v>
      </c>
      <c r="T1304" s="19">
        <f t="shared" si="182"/>
        <v>682812</v>
      </c>
      <c r="U1304" s="105"/>
      <c r="X1304" s="10">
        <f t="shared" si="179"/>
        <v>679812</v>
      </c>
      <c r="Y1304" s="2">
        <f t="shared" si="180"/>
        <v>0</v>
      </c>
      <c r="Z1304" s="10">
        <f t="shared" si="183"/>
        <v>0</v>
      </c>
    </row>
    <row r="1305" spans="1:26" ht="18" customHeight="1" x14ac:dyDescent="0.25">
      <c r="A1305" s="12">
        <v>11</v>
      </c>
      <c r="B1305" s="54" t="s">
        <v>3395</v>
      </c>
      <c r="C1305" s="53" t="s">
        <v>3396</v>
      </c>
      <c r="D1305" s="13" t="s">
        <v>28</v>
      </c>
      <c r="E1305" s="53" t="s">
        <v>3397</v>
      </c>
      <c r="F1305" s="53" t="s">
        <v>24</v>
      </c>
      <c r="G1305" s="55">
        <v>3500</v>
      </c>
      <c r="H1305" s="54" t="s">
        <v>25</v>
      </c>
      <c r="I1305" s="54" t="s">
        <v>3398</v>
      </c>
      <c r="J1305" s="53">
        <v>11820</v>
      </c>
      <c r="K1305" s="53">
        <v>12148</v>
      </c>
      <c r="L1305" s="41">
        <v>328</v>
      </c>
      <c r="M1305" s="41">
        <v>557446</v>
      </c>
      <c r="N1305" s="1">
        <v>0</v>
      </c>
      <c r="O1305" s="20">
        <v>0</v>
      </c>
      <c r="P1305" s="20">
        <v>0</v>
      </c>
      <c r="Q1305" s="20">
        <v>0</v>
      </c>
      <c r="R1305" s="19">
        <v>557446</v>
      </c>
      <c r="S1305" s="19">
        <v>3000</v>
      </c>
      <c r="T1305" s="19">
        <f t="shared" si="182"/>
        <v>560446</v>
      </c>
      <c r="U1305" s="105"/>
      <c r="X1305" s="10">
        <f t="shared" si="179"/>
        <v>557446</v>
      </c>
      <c r="Y1305" s="2">
        <f t="shared" si="180"/>
        <v>0</v>
      </c>
      <c r="Z1305" s="10">
        <f t="shared" si="183"/>
        <v>0</v>
      </c>
    </row>
    <row r="1306" spans="1:26" ht="18" customHeight="1" x14ac:dyDescent="0.25">
      <c r="A1306" s="12">
        <v>12</v>
      </c>
      <c r="B1306" s="54" t="s">
        <v>3399</v>
      </c>
      <c r="C1306" s="53" t="s">
        <v>1864</v>
      </c>
      <c r="D1306" s="13" t="s">
        <v>28</v>
      </c>
      <c r="E1306" s="53" t="s">
        <v>3400</v>
      </c>
      <c r="F1306" s="53" t="s">
        <v>24</v>
      </c>
      <c r="G1306" s="55">
        <v>4400</v>
      </c>
      <c r="H1306" s="54" t="s">
        <v>25</v>
      </c>
      <c r="I1306" s="54" t="s">
        <v>2930</v>
      </c>
      <c r="J1306" s="53">
        <v>4519</v>
      </c>
      <c r="K1306" s="53">
        <v>5072</v>
      </c>
      <c r="L1306" s="41">
        <v>553</v>
      </c>
      <c r="M1306" s="41">
        <v>939840</v>
      </c>
      <c r="N1306" s="1">
        <v>0</v>
      </c>
      <c r="O1306" s="20">
        <v>0</v>
      </c>
      <c r="P1306" s="20">
        <v>0</v>
      </c>
      <c r="Q1306" s="20">
        <v>0</v>
      </c>
      <c r="R1306" s="19">
        <v>939840</v>
      </c>
      <c r="S1306" s="19">
        <v>3000</v>
      </c>
      <c r="T1306" s="19">
        <f t="shared" si="182"/>
        <v>942840</v>
      </c>
      <c r="U1306" s="105"/>
      <c r="X1306" s="10">
        <f t="shared" si="179"/>
        <v>939840</v>
      </c>
      <c r="Y1306" s="2">
        <f t="shared" si="180"/>
        <v>0</v>
      </c>
      <c r="Z1306" s="10">
        <f t="shared" si="183"/>
        <v>0</v>
      </c>
    </row>
    <row r="1307" spans="1:26" ht="18" customHeight="1" x14ac:dyDescent="0.25">
      <c r="A1307" s="12">
        <v>13</v>
      </c>
      <c r="B1307" s="54" t="s">
        <v>3401</v>
      </c>
      <c r="C1307" s="53" t="s">
        <v>3402</v>
      </c>
      <c r="D1307" s="13" t="s">
        <v>28</v>
      </c>
      <c r="E1307" s="53" t="s">
        <v>3403</v>
      </c>
      <c r="F1307" s="53" t="s">
        <v>24</v>
      </c>
      <c r="G1307" s="55">
        <v>1300</v>
      </c>
      <c r="H1307" s="54" t="s">
        <v>25</v>
      </c>
      <c r="I1307" s="54" t="s">
        <v>3404</v>
      </c>
      <c r="J1307" s="53">
        <v>8744</v>
      </c>
      <c r="K1307" s="53">
        <v>9161</v>
      </c>
      <c r="L1307" s="41">
        <v>417</v>
      </c>
      <c r="M1307" s="41">
        <v>708704</v>
      </c>
      <c r="N1307" s="1">
        <v>0</v>
      </c>
      <c r="O1307" s="20">
        <v>0</v>
      </c>
      <c r="P1307" s="20">
        <v>0</v>
      </c>
      <c r="Q1307" s="20">
        <v>0</v>
      </c>
      <c r="R1307" s="19">
        <v>708704</v>
      </c>
      <c r="S1307" s="19">
        <v>3000</v>
      </c>
      <c r="T1307" s="19">
        <f t="shared" si="182"/>
        <v>711704</v>
      </c>
      <c r="U1307" s="105"/>
      <c r="X1307" s="10">
        <f t="shared" si="179"/>
        <v>708704</v>
      </c>
      <c r="Y1307" s="2">
        <f t="shared" si="180"/>
        <v>0</v>
      </c>
      <c r="Z1307" s="10">
        <f t="shared" si="183"/>
        <v>0</v>
      </c>
    </row>
    <row r="1308" spans="1:26" ht="18" customHeight="1" x14ac:dyDescent="0.25">
      <c r="A1308" s="12">
        <v>14</v>
      </c>
      <c r="B1308" s="54" t="s">
        <v>3405</v>
      </c>
      <c r="C1308" s="53" t="s">
        <v>3406</v>
      </c>
      <c r="D1308" s="13" t="s">
        <v>28</v>
      </c>
      <c r="E1308" s="53" t="s">
        <v>3407</v>
      </c>
      <c r="F1308" s="53" t="s">
        <v>24</v>
      </c>
      <c r="G1308" s="55">
        <v>3500</v>
      </c>
      <c r="H1308" s="54" t="s">
        <v>25</v>
      </c>
      <c r="I1308" s="54" t="s">
        <v>3408</v>
      </c>
      <c r="J1308" s="53">
        <v>2462</v>
      </c>
      <c r="K1308" s="53">
        <v>2462</v>
      </c>
      <c r="L1308" s="41">
        <v>140</v>
      </c>
      <c r="M1308" s="41">
        <v>237934</v>
      </c>
      <c r="N1308" s="1">
        <v>0</v>
      </c>
      <c r="O1308" s="20">
        <v>0</v>
      </c>
      <c r="P1308" s="20">
        <v>0</v>
      </c>
      <c r="Q1308" s="20">
        <v>0</v>
      </c>
      <c r="R1308" s="19">
        <v>237934</v>
      </c>
      <c r="S1308" s="19">
        <v>3000</v>
      </c>
      <c r="T1308" s="19">
        <f t="shared" si="182"/>
        <v>240934</v>
      </c>
      <c r="U1308" s="105"/>
      <c r="X1308" s="10">
        <f t="shared" si="179"/>
        <v>237934</v>
      </c>
      <c r="Y1308" s="2">
        <f t="shared" si="180"/>
        <v>0</v>
      </c>
      <c r="Z1308" s="10">
        <f t="shared" si="183"/>
        <v>0</v>
      </c>
    </row>
    <row r="1309" spans="1:26" ht="18" customHeight="1" x14ac:dyDescent="0.25">
      <c r="A1309" s="12">
        <v>15</v>
      </c>
      <c r="B1309" s="54" t="s">
        <v>3409</v>
      </c>
      <c r="C1309" s="53" t="s">
        <v>3410</v>
      </c>
      <c r="D1309" s="13" t="s">
        <v>28</v>
      </c>
      <c r="E1309" s="53" t="s">
        <v>3411</v>
      </c>
      <c r="F1309" s="53" t="s">
        <v>24</v>
      </c>
      <c r="G1309" s="55">
        <v>3500</v>
      </c>
      <c r="H1309" s="54" t="s">
        <v>25</v>
      </c>
      <c r="I1309" s="54" t="s">
        <v>3412</v>
      </c>
      <c r="J1309" s="53">
        <v>6594</v>
      </c>
      <c r="K1309" s="53">
        <v>6683</v>
      </c>
      <c r="L1309" s="41">
        <v>140</v>
      </c>
      <c r="M1309" s="41">
        <v>237934</v>
      </c>
      <c r="N1309" s="1">
        <v>0</v>
      </c>
      <c r="O1309" s="20">
        <v>0</v>
      </c>
      <c r="P1309" s="20">
        <v>0</v>
      </c>
      <c r="Q1309" s="20">
        <v>0</v>
      </c>
      <c r="R1309" s="19">
        <v>237934</v>
      </c>
      <c r="S1309" s="19">
        <v>3000</v>
      </c>
      <c r="T1309" s="19">
        <f t="shared" si="182"/>
        <v>240934</v>
      </c>
      <c r="U1309" s="105"/>
      <c r="X1309" s="10">
        <f t="shared" si="179"/>
        <v>237934</v>
      </c>
      <c r="Y1309" s="2">
        <f t="shared" si="180"/>
        <v>0</v>
      </c>
      <c r="Z1309" s="10">
        <f t="shared" si="183"/>
        <v>0</v>
      </c>
    </row>
    <row r="1310" spans="1:26" ht="18" customHeight="1" x14ac:dyDescent="0.25">
      <c r="A1310" s="12">
        <v>16</v>
      </c>
      <c r="B1310" s="54" t="s">
        <v>3413</v>
      </c>
      <c r="C1310" s="53" t="s">
        <v>3414</v>
      </c>
      <c r="D1310" s="13" t="s">
        <v>28</v>
      </c>
      <c r="E1310" s="53" t="s">
        <v>3411</v>
      </c>
      <c r="F1310" s="53" t="s">
        <v>24</v>
      </c>
      <c r="G1310" s="55">
        <v>3500</v>
      </c>
      <c r="H1310" s="54" t="s">
        <v>25</v>
      </c>
      <c r="I1310" s="54" t="s">
        <v>3415</v>
      </c>
      <c r="J1310" s="53">
        <v>7681</v>
      </c>
      <c r="K1310" s="53">
        <v>8128</v>
      </c>
      <c r="L1310" s="41">
        <v>447</v>
      </c>
      <c r="M1310" s="41">
        <v>759690</v>
      </c>
      <c r="N1310" s="1">
        <v>0</v>
      </c>
      <c r="O1310" s="20">
        <v>0</v>
      </c>
      <c r="P1310" s="20">
        <v>0</v>
      </c>
      <c r="Q1310" s="20">
        <v>0</v>
      </c>
      <c r="R1310" s="19">
        <v>759690</v>
      </c>
      <c r="S1310" s="19">
        <v>3000</v>
      </c>
      <c r="T1310" s="19">
        <f t="shared" si="182"/>
        <v>762690</v>
      </c>
      <c r="U1310" s="105"/>
      <c r="X1310" s="10">
        <f t="shared" si="179"/>
        <v>759690</v>
      </c>
      <c r="Y1310" s="2">
        <f t="shared" si="180"/>
        <v>0</v>
      </c>
      <c r="Z1310" s="10">
        <f t="shared" si="183"/>
        <v>0</v>
      </c>
    </row>
    <row r="1311" spans="1:26" ht="18" customHeight="1" x14ac:dyDescent="0.25">
      <c r="A1311" s="12">
        <v>17</v>
      </c>
      <c r="B1311" s="54" t="s">
        <v>3416</v>
      </c>
      <c r="C1311" s="53" t="s">
        <v>3417</v>
      </c>
      <c r="D1311" s="13" t="s">
        <v>28</v>
      </c>
      <c r="E1311" s="53" t="s">
        <v>3418</v>
      </c>
      <c r="F1311" s="53" t="s">
        <v>24</v>
      </c>
      <c r="G1311" s="55">
        <v>3500</v>
      </c>
      <c r="H1311" s="54" t="s">
        <v>25</v>
      </c>
      <c r="I1311" s="54" t="s">
        <v>3419</v>
      </c>
      <c r="J1311" s="53">
        <v>7097</v>
      </c>
      <c r="K1311" s="53">
        <v>7446</v>
      </c>
      <c r="L1311" s="41">
        <v>349</v>
      </c>
      <c r="M1311" s="41">
        <v>593136</v>
      </c>
      <c r="N1311" s="1">
        <v>0</v>
      </c>
      <c r="O1311" s="20">
        <v>0</v>
      </c>
      <c r="P1311" s="20">
        <v>0</v>
      </c>
      <c r="Q1311" s="20">
        <v>0</v>
      </c>
      <c r="R1311" s="19">
        <v>593136</v>
      </c>
      <c r="S1311" s="19">
        <v>3000</v>
      </c>
      <c r="T1311" s="19">
        <f t="shared" si="182"/>
        <v>596136</v>
      </c>
      <c r="U1311" s="105"/>
      <c r="X1311" s="10">
        <f t="shared" si="179"/>
        <v>593136</v>
      </c>
      <c r="Y1311" s="2">
        <f t="shared" si="180"/>
        <v>0</v>
      </c>
      <c r="Z1311" s="10">
        <f t="shared" si="183"/>
        <v>0</v>
      </c>
    </row>
    <row r="1312" spans="1:26" ht="18" customHeight="1" x14ac:dyDescent="0.25">
      <c r="A1312" s="12">
        <v>18</v>
      </c>
      <c r="B1312" s="54" t="s">
        <v>3420</v>
      </c>
      <c r="C1312" s="53" t="s">
        <v>3421</v>
      </c>
      <c r="D1312" s="13" t="s">
        <v>28</v>
      </c>
      <c r="E1312" s="53" t="s">
        <v>3422</v>
      </c>
      <c r="F1312" s="53" t="s">
        <v>24</v>
      </c>
      <c r="G1312" s="55">
        <v>3500</v>
      </c>
      <c r="H1312" s="54" t="s">
        <v>25</v>
      </c>
      <c r="I1312" s="54" t="s">
        <v>3423</v>
      </c>
      <c r="J1312" s="53">
        <v>5689</v>
      </c>
      <c r="K1312" s="53">
        <v>5948</v>
      </c>
      <c r="L1312" s="41">
        <v>259</v>
      </c>
      <c r="M1312" s="41">
        <v>440178</v>
      </c>
      <c r="N1312" s="1">
        <v>0</v>
      </c>
      <c r="O1312" s="20">
        <v>0</v>
      </c>
      <c r="P1312" s="20">
        <v>0</v>
      </c>
      <c r="Q1312" s="20">
        <v>0</v>
      </c>
      <c r="R1312" s="19">
        <v>440178</v>
      </c>
      <c r="S1312" s="19">
        <v>3000</v>
      </c>
      <c r="T1312" s="19">
        <f t="shared" si="182"/>
        <v>443178</v>
      </c>
      <c r="U1312" s="105"/>
      <c r="X1312" s="10">
        <f t="shared" si="179"/>
        <v>440178</v>
      </c>
      <c r="Y1312" s="2">
        <f t="shared" si="180"/>
        <v>0</v>
      </c>
      <c r="Z1312" s="10">
        <f t="shared" si="183"/>
        <v>0</v>
      </c>
    </row>
    <row r="1313" spans="1:26" ht="18" customHeight="1" x14ac:dyDescent="0.25">
      <c r="A1313" s="12">
        <v>19</v>
      </c>
      <c r="B1313" s="54" t="s">
        <v>3424</v>
      </c>
      <c r="C1313" s="53" t="s">
        <v>3425</v>
      </c>
      <c r="D1313" s="13" t="s">
        <v>28</v>
      </c>
      <c r="E1313" s="53" t="s">
        <v>3426</v>
      </c>
      <c r="F1313" s="53" t="s">
        <v>24</v>
      </c>
      <c r="G1313" s="55">
        <v>3500</v>
      </c>
      <c r="H1313" s="54" t="s">
        <v>25</v>
      </c>
      <c r="I1313" s="54" t="s">
        <v>3427</v>
      </c>
      <c r="J1313" s="53">
        <v>6923</v>
      </c>
      <c r="K1313" s="53">
        <v>7331</v>
      </c>
      <c r="L1313" s="41">
        <v>408</v>
      </c>
      <c r="M1313" s="41">
        <v>693408</v>
      </c>
      <c r="N1313" s="1">
        <v>0</v>
      </c>
      <c r="O1313" s="20">
        <v>0</v>
      </c>
      <c r="P1313" s="20">
        <v>0</v>
      </c>
      <c r="Q1313" s="20">
        <v>0</v>
      </c>
      <c r="R1313" s="19">
        <v>693408</v>
      </c>
      <c r="S1313" s="19">
        <v>3000</v>
      </c>
      <c r="T1313" s="19">
        <f t="shared" si="182"/>
        <v>696408</v>
      </c>
      <c r="U1313" s="105"/>
      <c r="X1313" s="10">
        <f t="shared" si="179"/>
        <v>693408</v>
      </c>
      <c r="Y1313" s="2">
        <f t="shared" si="180"/>
        <v>0</v>
      </c>
      <c r="Z1313" s="10">
        <f t="shared" si="183"/>
        <v>0</v>
      </c>
    </row>
    <row r="1314" spans="1:26" ht="18" customHeight="1" x14ac:dyDescent="0.25">
      <c r="A1314" s="12">
        <v>20</v>
      </c>
      <c r="B1314" s="54" t="s">
        <v>3428</v>
      </c>
      <c r="C1314" s="53" t="s">
        <v>3429</v>
      </c>
      <c r="D1314" s="13" t="s">
        <v>28</v>
      </c>
      <c r="E1314" s="53" t="s">
        <v>3430</v>
      </c>
      <c r="F1314" s="53" t="s">
        <v>24</v>
      </c>
      <c r="G1314" s="55">
        <v>3500</v>
      </c>
      <c r="H1314" s="54" t="s">
        <v>25</v>
      </c>
      <c r="I1314" s="54" t="s">
        <v>3431</v>
      </c>
      <c r="J1314" s="53">
        <v>6939</v>
      </c>
      <c r="K1314" s="53">
        <v>7694</v>
      </c>
      <c r="L1314" s="41">
        <v>755</v>
      </c>
      <c r="M1314" s="41">
        <v>1283145</v>
      </c>
      <c r="N1314" s="1">
        <v>0</v>
      </c>
      <c r="O1314" s="20">
        <v>0</v>
      </c>
      <c r="P1314" s="20">
        <v>0</v>
      </c>
      <c r="Q1314" s="20">
        <v>0</v>
      </c>
      <c r="R1314" s="19">
        <v>1283145</v>
      </c>
      <c r="S1314" s="19">
        <v>3000</v>
      </c>
      <c r="T1314" s="19">
        <f t="shared" si="182"/>
        <v>1286145</v>
      </c>
      <c r="U1314" s="105"/>
      <c r="X1314" s="10">
        <f t="shared" si="179"/>
        <v>1283145</v>
      </c>
      <c r="Y1314" s="2">
        <f t="shared" si="180"/>
        <v>0</v>
      </c>
      <c r="Z1314" s="10">
        <f t="shared" si="183"/>
        <v>0</v>
      </c>
    </row>
    <row r="1315" spans="1:26" ht="18" customHeight="1" x14ac:dyDescent="0.25">
      <c r="A1315" s="12">
        <v>21</v>
      </c>
      <c r="B1315" s="54" t="s">
        <v>3432</v>
      </c>
      <c r="C1315" s="53" t="s">
        <v>3433</v>
      </c>
      <c r="D1315" s="13" t="s">
        <v>28</v>
      </c>
      <c r="E1315" s="53" t="s">
        <v>3434</v>
      </c>
      <c r="F1315" s="53" t="s">
        <v>24</v>
      </c>
      <c r="G1315" s="55">
        <v>5500</v>
      </c>
      <c r="H1315" s="54" t="s">
        <v>25</v>
      </c>
      <c r="I1315" s="54" t="s">
        <v>3435</v>
      </c>
      <c r="J1315" s="53">
        <v>4239</v>
      </c>
      <c r="K1315" s="53">
        <v>4505</v>
      </c>
      <c r="L1315" s="41">
        <v>266</v>
      </c>
      <c r="M1315" s="41">
        <v>452075</v>
      </c>
      <c r="N1315" s="1">
        <v>0</v>
      </c>
      <c r="O1315" s="20">
        <v>0</v>
      </c>
      <c r="P1315" s="20">
        <v>0</v>
      </c>
      <c r="Q1315" s="20">
        <v>0</v>
      </c>
      <c r="R1315" s="19">
        <v>452075</v>
      </c>
      <c r="S1315" s="19">
        <v>3000</v>
      </c>
      <c r="T1315" s="19">
        <f t="shared" si="182"/>
        <v>455075</v>
      </c>
      <c r="U1315" s="105"/>
      <c r="X1315" s="10">
        <f t="shared" si="179"/>
        <v>452075</v>
      </c>
      <c r="Y1315" s="2">
        <f t="shared" si="180"/>
        <v>0</v>
      </c>
      <c r="Z1315" s="10">
        <f t="shared" si="183"/>
        <v>0</v>
      </c>
    </row>
    <row r="1316" spans="1:26" ht="18" customHeight="1" x14ac:dyDescent="0.25">
      <c r="A1316" s="14"/>
      <c r="B1316" s="15"/>
      <c r="C1316" s="14"/>
      <c r="D1316" s="14"/>
      <c r="E1316" s="14"/>
      <c r="F1316" s="15"/>
      <c r="G1316" s="125"/>
      <c r="H1316" s="18"/>
      <c r="I1316" s="15"/>
      <c r="J1316" s="15"/>
      <c r="K1316" s="15"/>
      <c r="L1316" s="18"/>
      <c r="M1316" s="19"/>
      <c r="N1316" s="20"/>
      <c r="O1316" s="20"/>
      <c r="P1316" s="20"/>
      <c r="Q1316" s="20"/>
      <c r="R1316" s="19"/>
      <c r="S1316" s="19"/>
      <c r="T1316" s="19"/>
      <c r="U1316" s="105"/>
      <c r="X1316" s="10">
        <f t="shared" si="179"/>
        <v>0</v>
      </c>
      <c r="Y1316" s="2">
        <f t="shared" si="180"/>
        <v>0</v>
      </c>
      <c r="Z1316" s="10"/>
    </row>
    <row r="1317" spans="1:26" ht="33" customHeight="1" x14ac:dyDescent="0.25">
      <c r="A1317" s="34" t="s">
        <v>3436</v>
      </c>
      <c r="B1317" s="40"/>
      <c r="C1317" s="40"/>
      <c r="D1317" s="40"/>
      <c r="E1317" s="40"/>
      <c r="F1317" s="40"/>
      <c r="G1317" s="36">
        <f>SUM(G1295:G1316)</f>
        <v>71600</v>
      </c>
      <c r="H1317" s="36">
        <f t="shared" ref="H1317:R1317" si="184">SUM(H1295:H1316)</f>
        <v>0</v>
      </c>
      <c r="I1317" s="36">
        <f t="shared" si="184"/>
        <v>0</v>
      </c>
      <c r="J1317" s="36"/>
      <c r="K1317" s="36"/>
      <c r="L1317" s="36">
        <f t="shared" si="184"/>
        <v>11099</v>
      </c>
      <c r="M1317" s="37">
        <f t="shared" si="184"/>
        <v>18863083</v>
      </c>
      <c r="N1317" s="38">
        <f t="shared" si="184"/>
        <v>0</v>
      </c>
      <c r="O1317" s="38">
        <f t="shared" si="184"/>
        <v>0</v>
      </c>
      <c r="P1317" s="38">
        <f t="shared" si="184"/>
        <v>0</v>
      </c>
      <c r="Q1317" s="38">
        <f t="shared" si="184"/>
        <v>0</v>
      </c>
      <c r="R1317" s="37">
        <f t="shared" si="184"/>
        <v>18863083</v>
      </c>
      <c r="S1317" s="37">
        <f>SUM(S1295:S1316)</f>
        <v>63000</v>
      </c>
      <c r="T1317" s="37">
        <f>SUM(T1295:T1316)</f>
        <v>18926083</v>
      </c>
      <c r="U1317" s="147"/>
      <c r="V1317" s="2">
        <v>18863083</v>
      </c>
      <c r="W1317" s="99">
        <f>R1317-V1317</f>
        <v>0</v>
      </c>
      <c r="X1317" s="10">
        <f t="shared" si="179"/>
        <v>18863083</v>
      </c>
      <c r="Y1317" s="2">
        <f t="shared" si="180"/>
        <v>10000</v>
      </c>
      <c r="Z1317" s="10"/>
    </row>
    <row r="1318" spans="1:26" ht="18" customHeight="1" x14ac:dyDescent="0.25">
      <c r="A1318" s="25"/>
      <c r="B1318" s="7"/>
      <c r="E1318" s="4"/>
      <c r="G1318" s="39"/>
      <c r="H1318" s="39"/>
      <c r="X1318" s="10">
        <f t="shared" si="179"/>
        <v>0</v>
      </c>
      <c r="Y1318" s="2">
        <f t="shared" si="180"/>
        <v>0</v>
      </c>
      <c r="Z1318" s="10"/>
    </row>
    <row r="1319" spans="1:26" ht="18" customHeight="1" x14ac:dyDescent="0.25">
      <c r="A1319" s="25"/>
      <c r="B1319" s="7"/>
      <c r="E1319" s="4"/>
      <c r="G1319" s="39"/>
      <c r="H1319" s="39"/>
      <c r="X1319" s="10">
        <f t="shared" si="179"/>
        <v>0</v>
      </c>
      <c r="Y1319" s="2">
        <f t="shared" si="180"/>
        <v>0</v>
      </c>
      <c r="Z1319" s="10"/>
    </row>
    <row r="1320" spans="1:26" ht="18" customHeight="1" x14ac:dyDescent="0.25">
      <c r="A1320" s="101" t="s">
        <v>3437</v>
      </c>
      <c r="C1320" s="4"/>
      <c r="D1320" s="4"/>
      <c r="E1320" s="4"/>
      <c r="G1320" s="43"/>
      <c r="L1320" s="31"/>
      <c r="X1320" s="10">
        <f t="shared" si="179"/>
        <v>0</v>
      </c>
      <c r="Y1320" s="2">
        <f t="shared" si="180"/>
        <v>0</v>
      </c>
      <c r="Z1320" s="10"/>
    </row>
    <row r="1321" spans="1:26" s="84" customFormat="1" ht="39" customHeight="1" x14ac:dyDescent="0.25">
      <c r="A1321" s="9" t="s">
        <v>4</v>
      </c>
      <c r="B1321" s="21" t="s">
        <v>5</v>
      </c>
      <c r="C1321" s="21" t="s">
        <v>6</v>
      </c>
      <c r="D1321" s="12"/>
      <c r="E1321" s="9" t="s">
        <v>7</v>
      </c>
      <c r="F1321" s="21" t="s">
        <v>8</v>
      </c>
      <c r="G1321" s="21" t="s">
        <v>9</v>
      </c>
      <c r="H1321" s="21" t="s">
        <v>10</v>
      </c>
      <c r="I1321" s="21" t="s">
        <v>11</v>
      </c>
      <c r="J1321" s="21" t="s">
        <v>12</v>
      </c>
      <c r="K1321" s="21" t="s">
        <v>13</v>
      </c>
      <c r="L1321" s="21" t="s">
        <v>14</v>
      </c>
      <c r="M1321" s="143" t="s">
        <v>15</v>
      </c>
      <c r="N1321" s="144" t="s">
        <v>16</v>
      </c>
      <c r="O1321" s="144" t="s">
        <v>17</v>
      </c>
      <c r="P1321" s="144" t="s">
        <v>18</v>
      </c>
      <c r="Q1321" s="144" t="s">
        <v>19</v>
      </c>
      <c r="R1321" s="143" t="s">
        <v>20</v>
      </c>
      <c r="S1321" s="143" t="s">
        <v>3471</v>
      </c>
      <c r="T1321" s="143" t="s">
        <v>3472</v>
      </c>
      <c r="U1321" s="145"/>
      <c r="V1321" s="145"/>
      <c r="W1321" s="145"/>
      <c r="X1321" s="145"/>
    </row>
    <row r="1322" spans="1:26" ht="18" customHeight="1" x14ac:dyDescent="0.25">
      <c r="A1322" s="51"/>
      <c r="B1322" s="9"/>
      <c r="C1322" s="35"/>
      <c r="D1322" s="35"/>
      <c r="E1322" s="35"/>
      <c r="F1322" s="15"/>
      <c r="G1322" s="45"/>
      <c r="H1322" s="45"/>
      <c r="I1322" s="15"/>
      <c r="J1322" s="15"/>
      <c r="K1322" s="15"/>
      <c r="L1322" s="18"/>
      <c r="M1322" s="19"/>
      <c r="N1322" s="20"/>
      <c r="O1322" s="20"/>
      <c r="P1322" s="20"/>
      <c r="Q1322" s="20"/>
      <c r="R1322" s="19"/>
      <c r="S1322" s="19"/>
      <c r="T1322" s="19"/>
      <c r="U1322" s="105"/>
      <c r="X1322" s="10">
        <f t="shared" si="179"/>
        <v>0</v>
      </c>
      <c r="Y1322" s="2">
        <f t="shared" si="180"/>
        <v>0</v>
      </c>
      <c r="Z1322" s="10">
        <f>Q1322-Y1322</f>
        <v>0</v>
      </c>
    </row>
    <row r="1323" spans="1:26" ht="18" customHeight="1" x14ac:dyDescent="0.25">
      <c r="A1323" s="15">
        <v>1</v>
      </c>
      <c r="B1323" s="129" t="s">
        <v>3438</v>
      </c>
      <c r="C1323" s="14" t="s">
        <v>3439</v>
      </c>
      <c r="D1323" s="14" t="s">
        <v>28</v>
      </c>
      <c r="E1323" s="130" t="s">
        <v>3440</v>
      </c>
      <c r="F1323" s="131" t="s">
        <v>24</v>
      </c>
      <c r="G1323" s="132">
        <v>3500</v>
      </c>
      <c r="H1323" s="131" t="s">
        <v>25</v>
      </c>
      <c r="I1323" s="131" t="s">
        <v>3441</v>
      </c>
      <c r="J1323" s="130">
        <v>9255</v>
      </c>
      <c r="K1323" s="130">
        <v>9705</v>
      </c>
      <c r="L1323" s="133">
        <v>450</v>
      </c>
      <c r="M1323" s="133">
        <v>764789</v>
      </c>
      <c r="N1323" s="20">
        <v>0</v>
      </c>
      <c r="O1323" s="20">
        <v>0</v>
      </c>
      <c r="P1323" s="20">
        <v>0</v>
      </c>
      <c r="Q1323" s="20">
        <v>0</v>
      </c>
      <c r="R1323" s="19">
        <f>M1323+N1323+O1323+P1323+Q1323</f>
        <v>764789</v>
      </c>
      <c r="S1323" s="19">
        <v>3000</v>
      </c>
      <c r="T1323" s="19">
        <f>R1323+S1323</f>
        <v>767789</v>
      </c>
      <c r="U1323" s="105"/>
      <c r="X1323" s="10">
        <f t="shared" si="179"/>
        <v>764789</v>
      </c>
      <c r="Y1323" s="2">
        <f t="shared" si="180"/>
        <v>0</v>
      </c>
      <c r="Z1323" s="10">
        <f>Q1323-Y1323</f>
        <v>0</v>
      </c>
    </row>
    <row r="1324" spans="1:26" ht="18" customHeight="1" x14ac:dyDescent="0.25">
      <c r="A1324" s="15">
        <v>2</v>
      </c>
      <c r="B1324" s="129" t="s">
        <v>3442</v>
      </c>
      <c r="C1324" s="14" t="s">
        <v>3443</v>
      </c>
      <c r="D1324" s="14" t="s">
        <v>28</v>
      </c>
      <c r="E1324" s="130" t="s">
        <v>3444</v>
      </c>
      <c r="F1324" s="131" t="s">
        <v>24</v>
      </c>
      <c r="G1324" s="132">
        <v>5500</v>
      </c>
      <c r="H1324" s="131" t="s">
        <v>25</v>
      </c>
      <c r="I1324" s="131" t="s">
        <v>3445</v>
      </c>
      <c r="J1324" s="130">
        <v>8642</v>
      </c>
      <c r="K1324" s="130">
        <v>8988</v>
      </c>
      <c r="L1324" s="133">
        <v>346</v>
      </c>
      <c r="M1324" s="133">
        <v>588037</v>
      </c>
      <c r="N1324" s="20">
        <v>0</v>
      </c>
      <c r="O1324" s="20">
        <v>0</v>
      </c>
      <c r="P1324" s="20">
        <v>0</v>
      </c>
      <c r="Q1324" s="20">
        <v>0</v>
      </c>
      <c r="R1324" s="19">
        <f>M1324+N1324+O1324+P1324+Q1324</f>
        <v>588037</v>
      </c>
      <c r="S1324" s="19">
        <v>3000</v>
      </c>
      <c r="T1324" s="19">
        <f>R1324+S1324</f>
        <v>591037</v>
      </c>
      <c r="U1324" s="105"/>
      <c r="X1324" s="10">
        <f t="shared" si="179"/>
        <v>588037</v>
      </c>
      <c r="Y1324" s="2">
        <f t="shared" si="180"/>
        <v>0</v>
      </c>
      <c r="Z1324" s="10">
        <f>Q1324-Y1324</f>
        <v>0</v>
      </c>
    </row>
    <row r="1325" spans="1:26" ht="18" customHeight="1" x14ac:dyDescent="0.25">
      <c r="A1325" s="15">
        <v>3</v>
      </c>
      <c r="B1325" s="129" t="s">
        <v>3446</v>
      </c>
      <c r="C1325" s="14" t="s">
        <v>3447</v>
      </c>
      <c r="D1325" s="14" t="s">
        <v>28</v>
      </c>
      <c r="E1325" s="130" t="s">
        <v>3299</v>
      </c>
      <c r="F1325" s="131" t="s">
        <v>24</v>
      </c>
      <c r="G1325" s="132">
        <v>5500</v>
      </c>
      <c r="H1325" s="131" t="s">
        <v>25</v>
      </c>
      <c r="I1325" s="131" t="s">
        <v>3448</v>
      </c>
      <c r="J1325" s="130">
        <v>6664</v>
      </c>
      <c r="K1325" s="130">
        <v>6927</v>
      </c>
      <c r="L1325" s="133">
        <v>263</v>
      </c>
      <c r="M1325" s="133">
        <v>446976</v>
      </c>
      <c r="N1325" s="20">
        <v>0</v>
      </c>
      <c r="O1325" s="20">
        <v>0</v>
      </c>
      <c r="P1325" s="20">
        <v>0</v>
      </c>
      <c r="Q1325" s="20">
        <v>0</v>
      </c>
      <c r="R1325" s="19">
        <f>M1325+N1325+O1325+P1325+Q1325</f>
        <v>446976</v>
      </c>
      <c r="S1325" s="19">
        <v>3000</v>
      </c>
      <c r="T1325" s="19">
        <f>R1325+S1325</f>
        <v>449976</v>
      </c>
      <c r="U1325" s="105"/>
      <c r="X1325" s="10">
        <f t="shared" si="179"/>
        <v>446976</v>
      </c>
      <c r="Y1325" s="2">
        <f t="shared" si="180"/>
        <v>0</v>
      </c>
      <c r="Z1325" s="10">
        <f>Q1325-Y1325</f>
        <v>0</v>
      </c>
    </row>
    <row r="1326" spans="1:26" ht="18" customHeight="1" x14ac:dyDescent="0.25">
      <c r="A1326" s="15">
        <v>4</v>
      </c>
      <c r="B1326" s="129" t="s">
        <v>3449</v>
      </c>
      <c r="C1326" s="14" t="s">
        <v>3450</v>
      </c>
      <c r="D1326" s="14" t="s">
        <v>28</v>
      </c>
      <c r="E1326" s="130" t="s">
        <v>3451</v>
      </c>
      <c r="F1326" s="131" t="s">
        <v>24</v>
      </c>
      <c r="G1326" s="132">
        <v>5500</v>
      </c>
      <c r="H1326" s="131" t="s">
        <v>25</v>
      </c>
      <c r="I1326" s="131" t="s">
        <v>3452</v>
      </c>
      <c r="J1326" s="130">
        <v>6067</v>
      </c>
      <c r="K1326" s="130">
        <v>6293</v>
      </c>
      <c r="L1326" s="133">
        <v>226</v>
      </c>
      <c r="M1326" s="133">
        <v>384094</v>
      </c>
      <c r="N1326" s="20">
        <v>0</v>
      </c>
      <c r="O1326" s="20">
        <v>0</v>
      </c>
      <c r="P1326" s="20">
        <v>0</v>
      </c>
      <c r="Q1326" s="20">
        <v>0</v>
      </c>
      <c r="R1326" s="19">
        <f>M1326+N1326+O1326+P1326+Q1326</f>
        <v>384094</v>
      </c>
      <c r="S1326" s="19">
        <v>3000</v>
      </c>
      <c r="T1326" s="19">
        <f>R1326+S1326</f>
        <v>387094</v>
      </c>
      <c r="U1326" s="105"/>
      <c r="X1326" s="10">
        <f t="shared" si="179"/>
        <v>384094</v>
      </c>
      <c r="Y1326" s="2">
        <f t="shared" si="180"/>
        <v>0</v>
      </c>
      <c r="Z1326" s="10">
        <f>Q1326-Y1326</f>
        <v>0</v>
      </c>
    </row>
    <row r="1327" spans="1:26" ht="18" customHeight="1" x14ac:dyDescent="0.25">
      <c r="A1327" s="14"/>
      <c r="B1327" s="15"/>
      <c r="C1327" s="14"/>
      <c r="D1327" s="14"/>
      <c r="E1327" s="14"/>
      <c r="F1327" s="15"/>
      <c r="G1327" s="125"/>
      <c r="H1327" s="18"/>
      <c r="I1327" s="15"/>
      <c r="J1327" s="15"/>
      <c r="K1327" s="15"/>
      <c r="L1327" s="18"/>
      <c r="M1327" s="19"/>
      <c r="N1327" s="20"/>
      <c r="O1327" s="20"/>
      <c r="P1327" s="20"/>
      <c r="Q1327" s="20"/>
      <c r="R1327" s="19"/>
      <c r="S1327" s="19"/>
      <c r="T1327" s="19"/>
      <c r="U1327" s="105"/>
      <c r="X1327" s="10">
        <f t="shared" si="179"/>
        <v>0</v>
      </c>
    </row>
    <row r="1328" spans="1:26" ht="33" customHeight="1" x14ac:dyDescent="0.25">
      <c r="A1328" s="34" t="s">
        <v>3453</v>
      </c>
      <c r="B1328" s="40"/>
      <c r="C1328" s="40"/>
      <c r="D1328" s="40"/>
      <c r="E1328" s="40"/>
      <c r="F1328" s="40"/>
      <c r="G1328" s="36">
        <f>SUM(G1323:G1327)</f>
        <v>20000</v>
      </c>
      <c r="H1328" s="36">
        <f t="shared" ref="H1328:R1328" si="185">SUM(H1323:H1327)</f>
        <v>0</v>
      </c>
      <c r="I1328" s="36">
        <f t="shared" si="185"/>
        <v>0</v>
      </c>
      <c r="J1328" s="36"/>
      <c r="K1328" s="36"/>
      <c r="L1328" s="36">
        <f t="shared" si="185"/>
        <v>1285</v>
      </c>
      <c r="M1328" s="36">
        <f t="shared" si="185"/>
        <v>2183896</v>
      </c>
      <c r="N1328" s="36">
        <f t="shared" si="185"/>
        <v>0</v>
      </c>
      <c r="O1328" s="36">
        <f t="shared" si="185"/>
        <v>0</v>
      </c>
      <c r="P1328" s="36">
        <f t="shared" si="185"/>
        <v>0</v>
      </c>
      <c r="Q1328" s="36">
        <f t="shared" si="185"/>
        <v>0</v>
      </c>
      <c r="R1328" s="36">
        <f t="shared" si="185"/>
        <v>2183896</v>
      </c>
      <c r="S1328" s="36">
        <f>SUM(S1323:S1327)</f>
        <v>12000</v>
      </c>
      <c r="T1328" s="36">
        <f>SUM(T1323:T1327)</f>
        <v>2195896</v>
      </c>
      <c r="U1328" s="39"/>
      <c r="V1328" s="2">
        <v>2183896</v>
      </c>
      <c r="W1328" s="99">
        <f>R1328-V1328</f>
        <v>0</v>
      </c>
      <c r="X1328" s="10">
        <f t="shared" si="179"/>
        <v>2183896</v>
      </c>
    </row>
    <row r="1329" spans="1:21" ht="18" customHeight="1" x14ac:dyDescent="0.25">
      <c r="A1329" s="25"/>
      <c r="B1329" s="7"/>
      <c r="E1329" s="4"/>
      <c r="G1329" s="39"/>
      <c r="H1329" s="39"/>
    </row>
    <row r="1330" spans="1:21" ht="18" customHeight="1" x14ac:dyDescent="0.25">
      <c r="A1330" s="25"/>
      <c r="B1330" s="7"/>
      <c r="E1330" s="4"/>
      <c r="G1330" s="39"/>
      <c r="H1330" s="39"/>
      <c r="L1330" s="31"/>
    </row>
    <row r="1331" spans="1:21" ht="18" customHeight="1" x14ac:dyDescent="0.25">
      <c r="B1331" s="7" t="s">
        <v>3454</v>
      </c>
      <c r="D1331" s="25"/>
      <c r="G1331" s="7"/>
      <c r="H1331" s="134"/>
      <c r="L1331" s="31"/>
      <c r="M1331" s="2"/>
      <c r="N1331" s="2"/>
      <c r="O1331" s="2"/>
      <c r="P1331" s="2"/>
      <c r="Q1331" s="2"/>
      <c r="R1331" s="2"/>
      <c r="S1331" s="2"/>
      <c r="T1331" s="2"/>
      <c r="U1331" s="2"/>
    </row>
    <row r="1332" spans="1:21" s="3" customFormat="1" ht="36.75" customHeight="1" x14ac:dyDescent="0.25">
      <c r="A1332" s="9" t="s">
        <v>3455</v>
      </c>
      <c r="B1332" s="182" t="s">
        <v>3456</v>
      </c>
      <c r="C1332" s="182"/>
      <c r="D1332" s="9" t="s">
        <v>3457</v>
      </c>
      <c r="E1332" s="9" t="s">
        <v>3458</v>
      </c>
      <c r="F1332" s="182" t="s">
        <v>3459</v>
      </c>
      <c r="G1332" s="182"/>
      <c r="H1332" s="143" t="s">
        <v>3471</v>
      </c>
      <c r="I1332" s="143" t="s">
        <v>3472</v>
      </c>
      <c r="L1332" s="31"/>
    </row>
    <row r="1333" spans="1:21" ht="18" customHeight="1" x14ac:dyDescent="0.25">
      <c r="A1333" s="15">
        <v>1</v>
      </c>
      <c r="B1333" s="35" t="s">
        <v>3460</v>
      </c>
      <c r="C1333" s="35"/>
      <c r="D1333" s="15">
        <f>A279</f>
        <v>232</v>
      </c>
      <c r="E1333" s="135">
        <f>R281</f>
        <v>478265455</v>
      </c>
      <c r="F1333" s="186">
        <f>G281</f>
        <v>1101980</v>
      </c>
      <c r="G1333" s="186"/>
      <c r="H1333" s="170">
        <f>S281</f>
        <v>696000</v>
      </c>
      <c r="I1333" s="171">
        <f>T281</f>
        <v>478961455</v>
      </c>
      <c r="J1333" s="136"/>
      <c r="K1333" s="136"/>
      <c r="L1333" s="136"/>
      <c r="M1333" s="2"/>
      <c r="N1333" s="2"/>
      <c r="O1333" s="2"/>
      <c r="P1333" s="2"/>
      <c r="Q1333" s="2"/>
      <c r="R1333" s="2"/>
      <c r="S1333" s="2"/>
      <c r="T1333" s="2"/>
      <c r="U1333" s="2"/>
    </row>
    <row r="1334" spans="1:21" ht="18" customHeight="1" x14ac:dyDescent="0.25">
      <c r="A1334" s="15">
        <v>2</v>
      </c>
      <c r="B1334" s="185" t="s">
        <v>3461</v>
      </c>
      <c r="C1334" s="185"/>
      <c r="D1334" s="15">
        <f>A343</f>
        <v>51</v>
      </c>
      <c r="E1334" s="135">
        <f>+R345</f>
        <v>106310700</v>
      </c>
      <c r="F1334" s="186">
        <f>G345</f>
        <v>267700</v>
      </c>
      <c r="G1334" s="186"/>
      <c r="H1334" s="170">
        <f>S345</f>
        <v>153000</v>
      </c>
      <c r="I1334" s="171">
        <f>T345</f>
        <v>106463700</v>
      </c>
      <c r="J1334" s="136"/>
      <c r="K1334" s="136"/>
      <c r="L1334" s="136"/>
      <c r="M1334" s="2"/>
      <c r="N1334" s="2"/>
      <c r="O1334" s="2"/>
      <c r="P1334" s="2"/>
      <c r="Q1334" s="2"/>
      <c r="R1334" s="2"/>
      <c r="S1334" s="2"/>
      <c r="T1334" s="2"/>
      <c r="U1334" s="2"/>
    </row>
    <row r="1335" spans="1:21" ht="18" customHeight="1" x14ac:dyDescent="0.25">
      <c r="A1335" s="15">
        <v>3</v>
      </c>
      <c r="B1335" s="185" t="s">
        <v>3462</v>
      </c>
      <c r="C1335" s="185"/>
      <c r="D1335" s="15">
        <f>A788</f>
        <v>369</v>
      </c>
      <c r="E1335" s="135">
        <f>+R790</f>
        <v>670594789</v>
      </c>
      <c r="F1335" s="186">
        <f>+G790</f>
        <v>1621460</v>
      </c>
      <c r="G1335" s="186"/>
      <c r="H1335" s="170">
        <f>S790</f>
        <v>1107000</v>
      </c>
      <c r="I1335" s="171">
        <f>T790</f>
        <v>671701789</v>
      </c>
      <c r="J1335" s="136"/>
      <c r="K1335" s="136"/>
      <c r="L1335" s="136"/>
      <c r="M1335" s="2"/>
      <c r="N1335" s="2"/>
      <c r="O1335" s="2"/>
      <c r="P1335" s="2"/>
      <c r="Q1335" s="2"/>
      <c r="R1335" s="2"/>
      <c r="S1335" s="2"/>
      <c r="T1335" s="2"/>
      <c r="U1335" s="2"/>
    </row>
    <row r="1336" spans="1:21" ht="18" customHeight="1" x14ac:dyDescent="0.25">
      <c r="A1336" s="15">
        <v>4</v>
      </c>
      <c r="B1336" s="35" t="s">
        <v>3463</v>
      </c>
      <c r="C1336" s="35"/>
      <c r="D1336" s="15">
        <f>A1018</f>
        <v>195</v>
      </c>
      <c r="E1336" s="135">
        <f>+R1020</f>
        <v>496255296</v>
      </c>
      <c r="F1336" s="186">
        <f>G1020</f>
        <v>943010</v>
      </c>
      <c r="G1336" s="186"/>
      <c r="H1336" s="170">
        <f>S1020</f>
        <v>585000</v>
      </c>
      <c r="I1336" s="171">
        <f>T1020</f>
        <v>496840296</v>
      </c>
      <c r="J1336" s="136"/>
      <c r="K1336" s="136"/>
      <c r="L1336" s="136"/>
      <c r="M1336" s="2"/>
      <c r="N1336" s="2"/>
      <c r="O1336" s="2"/>
      <c r="P1336" s="2"/>
      <c r="Q1336" s="2"/>
      <c r="R1336" s="2"/>
      <c r="S1336" s="2"/>
      <c r="T1336" s="2"/>
      <c r="U1336" s="2"/>
    </row>
    <row r="1337" spans="1:21" ht="18" customHeight="1" x14ac:dyDescent="0.25">
      <c r="A1337" s="15">
        <v>5</v>
      </c>
      <c r="B1337" s="35" t="s">
        <v>3464</v>
      </c>
      <c r="C1337" s="35"/>
      <c r="D1337" s="15">
        <f>A1287</f>
        <v>225</v>
      </c>
      <c r="E1337" s="135">
        <f>+R1289</f>
        <v>456243657</v>
      </c>
      <c r="F1337" s="186">
        <f>G1289</f>
        <v>1062685</v>
      </c>
      <c r="G1337" s="186"/>
      <c r="H1337" s="170">
        <f>S1289</f>
        <v>675000</v>
      </c>
      <c r="I1337" s="171">
        <f>T1289</f>
        <v>456918657</v>
      </c>
      <c r="J1337" s="136"/>
      <c r="K1337" s="136"/>
      <c r="L1337" s="136"/>
      <c r="M1337" s="2"/>
      <c r="N1337" s="2"/>
      <c r="O1337" s="2"/>
      <c r="P1337" s="2"/>
      <c r="Q1337" s="2"/>
      <c r="R1337" s="2"/>
      <c r="S1337" s="2"/>
      <c r="T1337" s="2"/>
      <c r="U1337" s="2"/>
    </row>
    <row r="1338" spans="1:21" ht="18" customHeight="1" x14ac:dyDescent="0.25">
      <c r="A1338" s="15">
        <v>6</v>
      </c>
      <c r="B1338" s="35" t="s">
        <v>3465</v>
      </c>
      <c r="C1338" s="35"/>
      <c r="D1338" s="15">
        <f>A1315</f>
        <v>21</v>
      </c>
      <c r="E1338" s="135">
        <f>R1317</f>
        <v>18863083</v>
      </c>
      <c r="F1338" s="186">
        <f>G1317</f>
        <v>71600</v>
      </c>
      <c r="G1338" s="186"/>
      <c r="H1338" s="170">
        <f>S1317</f>
        <v>63000</v>
      </c>
      <c r="I1338" s="171">
        <f>T1317</f>
        <v>18926083</v>
      </c>
      <c r="J1338" s="136"/>
      <c r="K1338" s="136"/>
      <c r="L1338" s="136"/>
      <c r="M1338" s="2"/>
      <c r="N1338" s="2"/>
      <c r="O1338" s="2"/>
      <c r="P1338" s="2"/>
      <c r="Q1338" s="2"/>
      <c r="R1338" s="2"/>
      <c r="S1338" s="2"/>
      <c r="T1338" s="2"/>
      <c r="U1338" s="2"/>
    </row>
    <row r="1339" spans="1:21" ht="18" customHeight="1" x14ac:dyDescent="0.25">
      <c r="A1339" s="15">
        <v>7</v>
      </c>
      <c r="B1339" s="35" t="s">
        <v>3466</v>
      </c>
      <c r="C1339" s="35"/>
      <c r="D1339" s="15">
        <f>A1326</f>
        <v>4</v>
      </c>
      <c r="E1339" s="135">
        <f>+R1328</f>
        <v>2183896</v>
      </c>
      <c r="F1339" s="186">
        <f>+G1328</f>
        <v>20000</v>
      </c>
      <c r="G1339" s="186"/>
      <c r="H1339" s="170">
        <f>S1328</f>
        <v>12000</v>
      </c>
      <c r="I1339" s="171">
        <f>T1328</f>
        <v>2195896</v>
      </c>
      <c r="J1339" s="136"/>
      <c r="K1339" s="136"/>
      <c r="L1339" s="136"/>
      <c r="M1339" s="2"/>
      <c r="N1339" s="2"/>
      <c r="O1339" s="2"/>
      <c r="P1339" s="2"/>
      <c r="Q1339" s="2"/>
      <c r="R1339" s="2"/>
      <c r="S1339" s="2"/>
      <c r="T1339" s="2"/>
      <c r="U1339" s="2"/>
    </row>
    <row r="1340" spans="1:21" ht="33" customHeight="1" x14ac:dyDescent="0.25">
      <c r="A1340" s="51"/>
      <c r="B1340" s="182" t="s">
        <v>3467</v>
      </c>
      <c r="C1340" s="182"/>
      <c r="D1340" s="172">
        <f>SUM(D1333:D1339)</f>
        <v>1097</v>
      </c>
      <c r="E1340" s="172">
        <f>SUM(E1333:E1339)</f>
        <v>2228716876</v>
      </c>
      <c r="F1340" s="183">
        <f>SUM(F1333:G1339)</f>
        <v>5088435</v>
      </c>
      <c r="G1340" s="183"/>
      <c r="H1340" s="173">
        <f>SUM(H1333:H1339)</f>
        <v>3291000</v>
      </c>
      <c r="I1340" s="173">
        <f>SUM(I1333:I1339)</f>
        <v>2232007876</v>
      </c>
      <c r="J1340" s="136"/>
      <c r="K1340" s="136"/>
      <c r="L1340" s="136"/>
      <c r="M1340" s="140"/>
      <c r="N1340" s="2"/>
      <c r="O1340" s="2"/>
      <c r="P1340" s="2"/>
      <c r="Q1340" s="2"/>
      <c r="R1340" s="2"/>
      <c r="S1340" s="2"/>
      <c r="T1340" s="2"/>
      <c r="U1340" s="2"/>
    </row>
    <row r="1341" spans="1:21" ht="18" customHeight="1" x14ac:dyDescent="0.25">
      <c r="C1341" s="85" t="s">
        <v>0</v>
      </c>
      <c r="D1341" s="85"/>
      <c r="E1341" s="137"/>
      <c r="F1341" s="84"/>
      <c r="G1341" s="84"/>
      <c r="H1341" s="84"/>
      <c r="M1341" s="140"/>
      <c r="N1341" s="2"/>
      <c r="O1341" s="2"/>
      <c r="P1341" s="2"/>
      <c r="Q1341" s="2"/>
      <c r="R1341" s="2"/>
      <c r="S1341" s="2"/>
      <c r="T1341" s="2"/>
      <c r="U1341" s="2"/>
    </row>
    <row r="1342" spans="1:21" s="85" customFormat="1" ht="37.5" customHeight="1" x14ac:dyDescent="0.25">
      <c r="A1342" s="2"/>
      <c r="B1342" s="155" t="s">
        <v>3468</v>
      </c>
      <c r="C1342" s="187" t="str" cm="1">
        <f t="array" ref="C1342">UPPER([4]!erwien(I1340))</f>
        <v xml:space="preserve">(== DUA MILYAR DUA RATUS TIGA PULUH DUA JUTA TUJUH RIBU DELAPAN RATUS TUJUH PULUH ENAM RUPIAH ==) </v>
      </c>
      <c r="D1342" s="187"/>
      <c r="E1342" s="187"/>
      <c r="F1342" s="187"/>
      <c r="G1342" s="187"/>
      <c r="H1342" s="187"/>
      <c r="I1342" s="187"/>
      <c r="J1342" s="187"/>
      <c r="K1342" s="187"/>
      <c r="L1342" s="187"/>
      <c r="M1342" s="156"/>
      <c r="N1342" s="157"/>
      <c r="O1342" s="157"/>
      <c r="P1342" s="157"/>
      <c r="Q1342" s="157"/>
      <c r="R1342" s="156"/>
      <c r="S1342" s="156"/>
      <c r="T1342" s="156"/>
      <c r="U1342" s="156"/>
    </row>
    <row r="1343" spans="1:21" s="85" customFormat="1" ht="18" customHeight="1" x14ac:dyDescent="0.25">
      <c r="A1343" s="2"/>
      <c r="B1343" s="84"/>
      <c r="C1343" s="138"/>
      <c r="D1343" s="138"/>
      <c r="E1343" s="4"/>
      <c r="F1343" s="84"/>
      <c r="G1343" s="84"/>
      <c r="H1343" s="84"/>
      <c r="I1343" s="84"/>
      <c r="J1343" s="84"/>
      <c r="K1343" s="84"/>
      <c r="L1343" s="84"/>
      <c r="M1343" s="156"/>
      <c r="N1343" s="157"/>
      <c r="O1343" s="157"/>
      <c r="P1343" s="157"/>
      <c r="Q1343" s="157"/>
      <c r="R1343" s="156"/>
      <c r="S1343" s="156"/>
      <c r="T1343" s="156"/>
      <c r="U1343" s="156"/>
    </row>
    <row r="1344" spans="1:21" s="85" customFormat="1" ht="18" customHeight="1" x14ac:dyDescent="0.25">
      <c r="A1344" s="2"/>
      <c r="B1344" s="84"/>
      <c r="E1344" s="2"/>
      <c r="F1344" s="84"/>
      <c r="G1344" s="84"/>
      <c r="H1344" s="84"/>
      <c r="I1344" s="84"/>
      <c r="J1344" s="84"/>
      <c r="K1344" s="84"/>
      <c r="L1344" s="84"/>
      <c r="M1344" s="156"/>
      <c r="N1344" s="157"/>
      <c r="O1344" s="157"/>
      <c r="P1344" s="157"/>
      <c r="Q1344" s="157"/>
      <c r="R1344" s="156"/>
      <c r="S1344" s="156"/>
      <c r="T1344" s="156"/>
      <c r="U1344" s="156"/>
    </row>
    <row r="1345" spans="1:21" ht="20.25" customHeight="1" x14ac:dyDescent="0.25">
      <c r="C1345" s="138"/>
      <c r="D1345" s="138"/>
      <c r="E1345" s="138"/>
      <c r="F1345" s="84"/>
      <c r="G1345" s="84"/>
      <c r="H1345" s="84"/>
      <c r="I1345" s="84"/>
      <c r="J1345" s="84"/>
      <c r="K1345" s="5"/>
      <c r="L1345" s="6"/>
      <c r="M1345" s="6"/>
      <c r="O1345" s="158"/>
      <c r="P1345" s="180" t="s">
        <v>3486</v>
      </c>
      <c r="Q1345" s="180"/>
      <c r="R1345" s="180"/>
      <c r="S1345" s="105"/>
      <c r="T1345" s="159"/>
      <c r="U1345" s="159"/>
    </row>
    <row r="1346" spans="1:21" s="161" customFormat="1" ht="20.25" customHeight="1" x14ac:dyDescent="0.25">
      <c r="A1346" s="177" t="s">
        <v>3473</v>
      </c>
      <c r="B1346" s="177"/>
      <c r="C1346" s="177"/>
      <c r="D1346" s="177"/>
      <c r="E1346" s="181" t="s">
        <v>3474</v>
      </c>
      <c r="F1346" s="181"/>
      <c r="G1346" s="181"/>
      <c r="H1346" s="181"/>
      <c r="I1346" s="181"/>
      <c r="J1346" s="181"/>
      <c r="K1346" s="181"/>
      <c r="L1346" s="181"/>
      <c r="M1346" s="181"/>
      <c r="N1346" s="181"/>
      <c r="O1346" s="181"/>
      <c r="P1346" s="180" t="s">
        <v>3475</v>
      </c>
      <c r="Q1346" s="180"/>
      <c r="R1346" s="180"/>
      <c r="S1346" s="105"/>
      <c r="T1346" s="159"/>
      <c r="U1346" s="159"/>
    </row>
    <row r="1347" spans="1:21" s="161" customFormat="1" ht="20.25" customHeight="1" x14ac:dyDescent="0.25">
      <c r="A1347" s="177" t="s">
        <v>3476</v>
      </c>
      <c r="B1347" s="177"/>
      <c r="C1347" s="177"/>
      <c r="D1347" s="177"/>
      <c r="E1347" s="178" t="s">
        <v>3477</v>
      </c>
      <c r="F1347" s="178"/>
      <c r="G1347" s="178"/>
      <c r="H1347" s="178"/>
      <c r="I1347" s="178"/>
      <c r="J1347" s="178"/>
      <c r="K1347" s="178"/>
      <c r="L1347" s="178"/>
      <c r="M1347" s="178"/>
      <c r="N1347" s="178"/>
      <c r="O1347" s="178"/>
      <c r="P1347" s="180" t="s">
        <v>3478</v>
      </c>
      <c r="Q1347" s="180"/>
      <c r="R1347" s="180"/>
      <c r="S1347" s="105"/>
      <c r="T1347" s="159"/>
      <c r="U1347" s="159"/>
    </row>
    <row r="1348" spans="1:21" s="161" customFormat="1" ht="15.75" customHeight="1" x14ac:dyDescent="0.25">
      <c r="F1348" s="160"/>
      <c r="H1348" s="161" t="s">
        <v>3479</v>
      </c>
      <c r="P1348" s="162"/>
      <c r="Q1348" s="163"/>
      <c r="S1348" s="105"/>
    </row>
    <row r="1349" spans="1:21" s="161" customFormat="1" ht="15.75" customHeight="1" x14ac:dyDescent="0.25">
      <c r="A1349" s="25"/>
      <c r="B1349" s="164"/>
      <c r="C1349" s="164"/>
      <c r="F1349" s="160"/>
      <c r="G1349" s="165"/>
      <c r="H1349" s="166"/>
      <c r="M1349" s="162"/>
      <c r="P1349" s="162"/>
      <c r="Q1349" s="163"/>
    </row>
    <row r="1350" spans="1:21" s="161" customFormat="1" ht="15.75" customHeight="1" x14ac:dyDescent="0.25">
      <c r="A1350" s="25"/>
      <c r="B1350" s="164"/>
      <c r="C1350" s="164"/>
      <c r="F1350" s="160"/>
      <c r="G1350" s="165"/>
      <c r="H1350" s="166"/>
      <c r="M1350" s="162"/>
      <c r="O1350" s="167"/>
      <c r="P1350" s="162"/>
      <c r="Q1350" s="163"/>
    </row>
    <row r="1351" spans="1:21" s="161" customFormat="1" ht="15.75" customHeight="1" x14ac:dyDescent="0.25">
      <c r="A1351" s="25"/>
      <c r="B1351" s="164"/>
      <c r="C1351" s="164"/>
      <c r="F1351" s="160"/>
      <c r="G1351" s="165"/>
      <c r="H1351" s="166"/>
      <c r="M1351" s="162"/>
      <c r="O1351" s="167"/>
    </row>
    <row r="1352" spans="1:21" s="161" customFormat="1" ht="15.75" customHeight="1" x14ac:dyDescent="0.25">
      <c r="A1352" s="25"/>
      <c r="B1352" s="164"/>
      <c r="C1352" s="164"/>
      <c r="F1352" s="160"/>
      <c r="G1352" s="165"/>
      <c r="H1352" s="166"/>
      <c r="M1352" s="162"/>
    </row>
    <row r="1353" spans="1:21" s="161" customFormat="1" ht="20.25" customHeight="1" x14ac:dyDescent="0.25">
      <c r="A1353" s="188" t="s">
        <v>3480</v>
      </c>
      <c r="B1353" s="188"/>
      <c r="C1353" s="188"/>
      <c r="D1353" s="188"/>
      <c r="E1353" s="189" t="s">
        <v>3481</v>
      </c>
      <c r="F1353" s="189"/>
      <c r="G1353" s="189"/>
      <c r="H1353" s="189"/>
      <c r="I1353" s="189"/>
      <c r="J1353" s="189"/>
      <c r="K1353" s="189"/>
      <c r="L1353" s="189"/>
      <c r="M1353" s="189"/>
      <c r="N1353" s="189"/>
      <c r="O1353" s="189"/>
      <c r="P1353" s="176" t="s">
        <v>3482</v>
      </c>
      <c r="Q1353" s="176"/>
      <c r="R1353" s="176"/>
      <c r="S1353" s="168"/>
      <c r="T1353" s="168"/>
      <c r="U1353" s="168"/>
    </row>
    <row r="1354" spans="1:21" s="161" customFormat="1" ht="20.25" customHeight="1" x14ac:dyDescent="0.25">
      <c r="A1354" s="177" t="s">
        <v>3483</v>
      </c>
      <c r="B1354" s="177"/>
      <c r="C1354" s="177"/>
      <c r="D1354" s="177"/>
      <c r="E1354" s="178" t="s">
        <v>3484</v>
      </c>
      <c r="F1354" s="178"/>
      <c r="G1354" s="178"/>
      <c r="H1354" s="178"/>
      <c r="I1354" s="178"/>
      <c r="J1354" s="178"/>
      <c r="K1354" s="178"/>
      <c r="L1354" s="178"/>
      <c r="M1354" s="178"/>
      <c r="N1354" s="178"/>
      <c r="O1354" s="178"/>
      <c r="P1354" s="179" t="s">
        <v>3485</v>
      </c>
      <c r="Q1354" s="179"/>
      <c r="R1354" s="179"/>
      <c r="S1354" s="169"/>
      <c r="T1354" s="169"/>
      <c r="U1354" s="169"/>
    </row>
    <row r="1355" spans="1:21" ht="18" customHeight="1" x14ac:dyDescent="0.25">
      <c r="B1355" s="3" t="s">
        <v>3468</v>
      </c>
      <c r="C1355" s="184" t="e">
        <f ca="1">PROPER([3]!terbilang(E1340))&amp;" Rupiah"</f>
        <v>#NAME?</v>
      </c>
      <c r="D1355" s="184"/>
      <c r="E1355" s="184"/>
      <c r="F1355" s="184"/>
      <c r="G1355" s="184"/>
      <c r="H1355" s="184"/>
      <c r="I1355" s="184"/>
      <c r="J1355" s="184"/>
      <c r="K1355" s="184"/>
      <c r="L1355" s="184"/>
      <c r="M1355" s="2"/>
      <c r="N1355" s="2"/>
      <c r="O1355" s="2"/>
      <c r="P1355" s="2"/>
      <c r="Q1355" s="2"/>
      <c r="R1355" s="2"/>
      <c r="S1355" s="2"/>
      <c r="T1355" s="2"/>
      <c r="U1355" s="2"/>
    </row>
    <row r="1356" spans="1:21" ht="18" customHeight="1" x14ac:dyDescent="0.25">
      <c r="C1356" s="138"/>
      <c r="D1356" s="138"/>
      <c r="E1356" s="138"/>
      <c r="F1356" s="84"/>
      <c r="G1356" s="84"/>
      <c r="H1356" s="84"/>
      <c r="I1356" s="84"/>
      <c r="J1356" s="84"/>
      <c r="K1356" s="84"/>
      <c r="L1356" s="84"/>
      <c r="M1356" s="2"/>
      <c r="N1356" s="2"/>
      <c r="O1356" s="2"/>
      <c r="P1356" s="2"/>
      <c r="Q1356" s="2"/>
      <c r="R1356" s="2"/>
      <c r="S1356" s="2"/>
      <c r="T1356" s="2"/>
      <c r="U1356" s="2"/>
    </row>
    <row r="1357" spans="1:21" ht="18" customHeight="1" x14ac:dyDescent="0.25">
      <c r="M1357" s="2"/>
      <c r="N1357" s="2"/>
      <c r="O1357" s="2"/>
      <c r="P1357" s="2"/>
      <c r="Q1357" s="2"/>
      <c r="R1357" s="2"/>
      <c r="S1357" s="2"/>
      <c r="T1357" s="2"/>
      <c r="U1357" s="2"/>
    </row>
    <row r="1358" spans="1:21" ht="18" customHeight="1" x14ac:dyDescent="0.25">
      <c r="E1358" s="139"/>
      <c r="F1358" s="3" t="s">
        <v>3469</v>
      </c>
      <c r="M1358" s="2"/>
      <c r="N1358" s="2"/>
      <c r="O1358" s="2"/>
      <c r="P1358" s="2"/>
      <c r="Q1358" s="2"/>
      <c r="R1358" s="2"/>
      <c r="S1358" s="2"/>
      <c r="T1358" s="2"/>
      <c r="U1358" s="2"/>
    </row>
    <row r="1359" spans="1:21" ht="18" customHeight="1" x14ac:dyDescent="0.25">
      <c r="F1359" s="43" t="str">
        <f>[1]DINKAB!F88</f>
        <v>Manager</v>
      </c>
      <c r="M1359" s="2"/>
      <c r="N1359" s="2"/>
      <c r="O1359" s="2"/>
      <c r="P1359" s="2"/>
      <c r="Q1359" s="2"/>
      <c r="R1359" s="2"/>
      <c r="S1359" s="2"/>
      <c r="T1359" s="2"/>
      <c r="U1359" s="2"/>
    </row>
    <row r="1360" spans="1:21" ht="18" customHeight="1" x14ac:dyDescent="0.25">
      <c r="E1360" s="140"/>
      <c r="M1360" s="2"/>
      <c r="N1360" s="2"/>
      <c r="O1360" s="2"/>
      <c r="P1360" s="2"/>
      <c r="Q1360" s="2"/>
      <c r="R1360" s="2"/>
      <c r="S1360" s="2"/>
      <c r="T1360" s="2"/>
      <c r="U1360" s="2"/>
    </row>
    <row r="1361" spans="1:21" ht="18" customHeight="1" x14ac:dyDescent="0.25">
      <c r="E1361" s="140"/>
      <c r="M1361" s="2"/>
      <c r="N1361" s="2"/>
      <c r="O1361" s="2"/>
      <c r="P1361" s="2"/>
      <c r="Q1361" s="2"/>
      <c r="R1361" s="2"/>
      <c r="S1361" s="2"/>
      <c r="T1361" s="2"/>
      <c r="U1361" s="2"/>
    </row>
    <row r="1362" spans="1:21" ht="18" customHeight="1" x14ac:dyDescent="0.25">
      <c r="E1362" s="62"/>
      <c r="L1362" s="3" t="s">
        <v>3470</v>
      </c>
      <c r="M1362" s="2"/>
      <c r="N1362" s="2"/>
      <c r="O1362" s="2"/>
      <c r="P1362" s="2"/>
      <c r="Q1362" s="2"/>
      <c r="R1362" s="2"/>
      <c r="S1362" s="2"/>
      <c r="T1362" s="2"/>
      <c r="U1362" s="2"/>
    </row>
    <row r="1363" spans="1:21" ht="18" customHeight="1" x14ac:dyDescent="0.25">
      <c r="E1363" s="140"/>
      <c r="M1363" s="2"/>
      <c r="N1363" s="2"/>
      <c r="O1363" s="2"/>
      <c r="P1363" s="2"/>
      <c r="Q1363" s="2"/>
      <c r="R1363" s="2"/>
      <c r="S1363" s="2"/>
      <c r="T1363" s="2"/>
      <c r="U1363" s="2"/>
    </row>
    <row r="1364" spans="1:21" ht="18" customHeight="1" x14ac:dyDescent="0.25">
      <c r="E1364" s="62"/>
      <c r="M1364" s="2"/>
      <c r="N1364" s="2"/>
      <c r="O1364" s="2"/>
      <c r="P1364" s="2"/>
      <c r="Q1364" s="2"/>
      <c r="R1364" s="2"/>
      <c r="S1364" s="2"/>
      <c r="T1364" s="2"/>
      <c r="U1364" s="2"/>
    </row>
    <row r="1365" spans="1:21" ht="18" customHeight="1" x14ac:dyDescent="0.25">
      <c r="E1365" s="140"/>
      <c r="M1365" s="2"/>
      <c r="N1365" s="2"/>
      <c r="O1365" s="2"/>
      <c r="P1365" s="2"/>
      <c r="Q1365" s="2"/>
      <c r="R1365" s="2"/>
      <c r="S1365" s="2"/>
      <c r="T1365" s="2"/>
      <c r="U1365" s="2"/>
    </row>
    <row r="1366" spans="1:21" ht="18" customHeight="1" x14ac:dyDescent="0.25">
      <c r="F1366" s="3" t="str">
        <f>[1]DINKAB!F95</f>
        <v>MUHAMMAD ARIEF FRIYANTO</v>
      </c>
      <c r="M1366" s="2"/>
      <c r="N1366" s="2"/>
      <c r="O1366" s="2"/>
      <c r="P1366" s="2"/>
      <c r="Q1366" s="2"/>
      <c r="R1366" s="2"/>
      <c r="S1366" s="2"/>
      <c r="T1366" s="2"/>
      <c r="U1366" s="2"/>
    </row>
    <row r="1367" spans="1:21" ht="18" customHeight="1" x14ac:dyDescent="0.25">
      <c r="F1367" s="39" t="s">
        <v>0</v>
      </c>
      <c r="G1367" s="39"/>
      <c r="H1367" s="39"/>
      <c r="M1367" s="2"/>
      <c r="N1367" s="2"/>
      <c r="O1367" s="2"/>
      <c r="P1367" s="2"/>
      <c r="Q1367" s="2"/>
      <c r="R1367" s="2"/>
      <c r="S1367" s="2"/>
      <c r="T1367" s="2"/>
      <c r="U1367" s="2"/>
    </row>
    <row r="1370" spans="1:21" ht="18" customHeight="1" x14ac:dyDescent="0.25">
      <c r="A1370" s="43"/>
      <c r="B1370" s="43"/>
      <c r="C1370" s="43"/>
      <c r="M1370" s="2"/>
      <c r="N1370" s="2"/>
      <c r="O1370" s="2"/>
      <c r="P1370" s="2"/>
      <c r="Q1370" s="2"/>
      <c r="R1370" s="2"/>
      <c r="S1370" s="2"/>
      <c r="T1370" s="2"/>
      <c r="U1370" s="2"/>
    </row>
    <row r="1371" spans="1:21" ht="18" customHeight="1" x14ac:dyDescent="0.25">
      <c r="C1371" s="141"/>
      <c r="M1371" s="2"/>
      <c r="N1371" s="2"/>
      <c r="O1371" s="2"/>
      <c r="P1371" s="2"/>
      <c r="Q1371" s="2"/>
      <c r="R1371" s="2"/>
      <c r="S1371" s="2"/>
      <c r="T1371" s="2"/>
      <c r="U1371" s="2"/>
    </row>
    <row r="1372" spans="1:21" ht="18" customHeight="1" x14ac:dyDescent="0.25">
      <c r="C1372" s="141"/>
      <c r="M1372" s="2"/>
      <c r="N1372" s="2"/>
      <c r="O1372" s="2"/>
      <c r="P1372" s="2"/>
      <c r="Q1372" s="2"/>
      <c r="R1372" s="2"/>
      <c r="S1372" s="2"/>
      <c r="T1372" s="2"/>
      <c r="U1372" s="2"/>
    </row>
    <row r="1373" spans="1:21" ht="18" customHeight="1" x14ac:dyDescent="0.25">
      <c r="C1373" s="141"/>
      <c r="M1373" s="2"/>
      <c r="N1373" s="2"/>
      <c r="O1373" s="2"/>
      <c r="P1373" s="2"/>
      <c r="Q1373" s="2"/>
      <c r="R1373" s="2"/>
      <c r="S1373" s="2"/>
      <c r="T1373" s="2"/>
      <c r="U1373" s="2"/>
    </row>
    <row r="1374" spans="1:21" ht="18" customHeight="1" x14ac:dyDescent="0.25">
      <c r="C1374" s="142"/>
      <c r="M1374" s="2"/>
      <c r="N1374" s="2"/>
      <c r="O1374" s="2"/>
      <c r="P1374" s="2"/>
      <c r="Q1374" s="2"/>
      <c r="R1374" s="2"/>
      <c r="S1374" s="2"/>
      <c r="T1374" s="2"/>
      <c r="U1374" s="2"/>
    </row>
    <row r="1375" spans="1:21" ht="18" customHeight="1" x14ac:dyDescent="0.25">
      <c r="C1375" s="142"/>
      <c r="M1375" s="2"/>
      <c r="N1375" s="2"/>
      <c r="O1375" s="2"/>
      <c r="P1375" s="2"/>
      <c r="Q1375" s="2"/>
      <c r="R1375" s="2"/>
      <c r="S1375" s="2"/>
      <c r="T1375" s="2"/>
      <c r="U1375" s="2"/>
    </row>
    <row r="1376" spans="1:21" ht="18" customHeight="1" x14ac:dyDescent="0.25">
      <c r="B1376" s="2"/>
      <c r="C1376" s="14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</row>
    <row r="1377" spans="3:3" s="2" customFormat="1" ht="18" customHeight="1" x14ac:dyDescent="0.25">
      <c r="C1377" s="142"/>
    </row>
    <row r="1378" spans="3:3" s="2" customFormat="1" ht="18" customHeight="1" x14ac:dyDescent="0.25">
      <c r="C1378" s="142"/>
    </row>
    <row r="1379" spans="3:3" s="2" customFormat="1" ht="18" customHeight="1" x14ac:dyDescent="0.25">
      <c r="C1379" s="142"/>
    </row>
    <row r="1380" spans="3:3" s="2" customFormat="1" ht="18" customHeight="1" x14ac:dyDescent="0.25">
      <c r="C1380" s="142"/>
    </row>
    <row r="1381" spans="3:3" s="2" customFormat="1" ht="18" customHeight="1" x14ac:dyDescent="0.25">
      <c r="C1381" s="142"/>
    </row>
    <row r="1382" spans="3:3" s="2" customFormat="1" ht="18" customHeight="1" x14ac:dyDescent="0.25">
      <c r="C1382" s="142"/>
    </row>
  </sheetData>
  <mergeCells count="35">
    <mergeCell ref="A8:T8"/>
    <mergeCell ref="A195:F195"/>
    <mergeCell ref="A54:F54"/>
    <mergeCell ref="A101:F101"/>
    <mergeCell ref="A148:F148"/>
    <mergeCell ref="A9:T9"/>
    <mergeCell ref="A242:F242"/>
    <mergeCell ref="B1332:C1332"/>
    <mergeCell ref="F1332:G1332"/>
    <mergeCell ref="F1333:G1333"/>
    <mergeCell ref="B1334:C1334"/>
    <mergeCell ref="F1334:G1334"/>
    <mergeCell ref="B1340:C1340"/>
    <mergeCell ref="F1340:G1340"/>
    <mergeCell ref="C1355:L1355"/>
    <mergeCell ref="B1335:C1335"/>
    <mergeCell ref="F1335:G1335"/>
    <mergeCell ref="F1336:G1336"/>
    <mergeCell ref="F1337:G1337"/>
    <mergeCell ref="F1338:G1338"/>
    <mergeCell ref="F1339:G1339"/>
    <mergeCell ref="C1342:L1342"/>
    <mergeCell ref="A1353:D1353"/>
    <mergeCell ref="E1353:O1353"/>
    <mergeCell ref="P1353:R1353"/>
    <mergeCell ref="A1354:D1354"/>
    <mergeCell ref="E1354:O1354"/>
    <mergeCell ref="P1354:R1354"/>
    <mergeCell ref="P1345:R1345"/>
    <mergeCell ref="A1346:D1346"/>
    <mergeCell ref="E1346:O1346"/>
    <mergeCell ref="P1346:R1346"/>
    <mergeCell ref="A1347:D1347"/>
    <mergeCell ref="E1347:O1347"/>
    <mergeCell ref="P1347:R1347"/>
  </mergeCells>
  <conditionalFormatting sqref="B286:B325">
    <cfRule type="duplicateValues" dxfId="2" priority="3" stopIfTrue="1"/>
  </conditionalFormatting>
  <conditionalFormatting sqref="B333:B343">
    <cfRule type="duplicateValues" dxfId="1" priority="2" stopIfTrue="1"/>
  </conditionalFormatting>
  <conditionalFormatting sqref="B1018">
    <cfRule type="duplicateValues" dxfId="0" priority="1"/>
  </conditionalFormatting>
  <pageMargins left="0.31496062992125984" right="0.11811023622047245" top="0.74803149606299213" bottom="0.74803149606299213" header="0.31496062992125984" footer="0.31496062992125984"/>
  <pageSetup paperSize="9" scale="44" fitToHeight="0" orientation="landscape" horizontalDpi="0" verticalDpi="0" r:id="rId1"/>
  <rowBreaks count="30" manualBreakCount="30">
    <brk id="55" max="19" man="1"/>
    <brk id="102" max="19" man="1"/>
    <brk id="149" max="19" man="1"/>
    <brk id="196" max="19" man="1"/>
    <brk id="243" max="19" man="1"/>
    <brk id="282" max="19" man="1"/>
    <brk id="328" max="19" man="1"/>
    <brk id="346" max="19" man="1"/>
    <brk id="393" max="19" man="1"/>
    <brk id="442" max="19" man="1"/>
    <brk id="490" max="19" man="1"/>
    <brk id="538" max="19" man="1"/>
    <brk id="586" max="19" man="1"/>
    <brk id="634" max="19" man="1"/>
    <brk id="681" max="19" man="1"/>
    <brk id="728" max="19" man="1"/>
    <brk id="775" max="19" man="1"/>
    <brk id="791" max="19" man="1"/>
    <brk id="838" max="19" man="1"/>
    <brk id="885" max="19" man="1"/>
    <brk id="932" max="19" man="1"/>
    <brk id="979" max="19" man="1"/>
    <brk id="1021" max="19" man="1"/>
    <brk id="1068" max="19" man="1"/>
    <brk id="1115" max="19" man="1"/>
    <brk id="1162" max="19" man="1"/>
    <brk id="1210" max="19" man="1"/>
    <brk id="1258" max="19" man="1"/>
    <brk id="1290" max="19" man="1"/>
    <brk id="133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office original</cp:lastModifiedBy>
  <cp:lastPrinted>2025-05-15T02:57:13Z</cp:lastPrinted>
  <dcterms:created xsi:type="dcterms:W3CDTF">2025-05-08T07:55:47Z</dcterms:created>
  <dcterms:modified xsi:type="dcterms:W3CDTF">2025-05-15T02:58:55Z</dcterms:modified>
</cp:coreProperties>
</file>